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st\OneDrive\Documents\Work\Projects\PMH web tool\Thailand\"/>
    </mc:Choice>
  </mc:AlternateContent>
  <xr:revisionPtr revIDLastSave="0" documentId="13_ncr:1_{97E44F61-15DA-48E4-B67A-7A2F3F71742E}" xr6:coauthVersionLast="47" xr6:coauthVersionMax="47" xr10:uidLastSave="{00000000-0000-0000-0000-000000000000}"/>
  <bookViews>
    <workbookView xWindow="-108" yWindow="-108" windowWidth="23256" windowHeight="12456" xr2:uid="{0D2E9C17-1371-9741-AFE8-B54FBA3315B4}"/>
  </bookViews>
  <sheets>
    <sheet name="inputs" sheetId="1" r:id="rId1"/>
    <sheet name="computations" sheetId="2" r:id="rId2"/>
    <sheet name="outputs" sheetId="3" r:id="rId3"/>
  </sheets>
  <externalReferences>
    <externalReference r:id="rId4"/>
  </externalReferences>
  <definedNames>
    <definedName name="birth1">'[1]Admin Population'!$C$16</definedName>
    <definedName name="hrs_supervision_after_first_yr">'[1]Admin Training &amp; supervision'!$H$5</definedName>
    <definedName name="MMR">'[1]Admin Population'!$C$12</definedName>
    <definedName name="no_screened_pos_midwives_AN">'[1]Admin Population'!$C$40</definedName>
    <definedName name="No_visits_antenatal_period">'[1]Admin Screening &amp; treatment'!$C$6</definedName>
    <definedName name="Probability_of_still_birth">'[1]Admin Population'!$C$11</definedName>
    <definedName name="prop_accept_treatment">'[1]Admin Population'!$C$63</definedName>
    <definedName name="prop_access_clinics_AN">'[1]Admin Population'!$C$23</definedName>
    <definedName name="prop_screened_pos_year_1_AN">'[1]Admin Population'!$C$42</definedName>
    <definedName name="prop_screened_year_1">'[1]Admin Population'!$C$28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3" i="2" l="1"/>
  <c r="D136" i="2"/>
  <c r="D135" i="2"/>
  <c r="D134" i="2"/>
  <c r="D133" i="2"/>
  <c r="D132" i="2"/>
  <c r="D131" i="2"/>
  <c r="D130" i="2"/>
  <c r="D129" i="2"/>
  <c r="D128" i="2"/>
  <c r="D2" i="2" l="1"/>
  <c r="D50" i="2" s="1"/>
  <c r="E128" i="2"/>
  <c r="D89" i="2" l="1"/>
  <c r="D90" i="2"/>
  <c r="D91" i="2"/>
  <c r="D92" i="2"/>
  <c r="D93" i="2"/>
  <c r="D94" i="2"/>
  <c r="D95" i="2"/>
  <c r="D96" i="2"/>
  <c r="D97" i="2"/>
  <c r="D98" i="2"/>
  <c r="D99" i="2"/>
  <c r="D101" i="2"/>
  <c r="D102" i="2"/>
  <c r="D103" i="2"/>
  <c r="D104" i="2"/>
  <c r="D105" i="2"/>
  <c r="D106" i="2"/>
  <c r="D107" i="2"/>
  <c r="D108" i="2"/>
  <c r="D109" i="2"/>
  <c r="D110" i="2"/>
  <c r="D111" i="2"/>
  <c r="D113" i="2"/>
  <c r="D114" i="2"/>
  <c r="D115" i="2"/>
  <c r="D116" i="2"/>
  <c r="D117" i="2"/>
  <c r="D118" i="2"/>
  <c r="D119" i="2"/>
  <c r="D120" i="2"/>
  <c r="D121" i="2"/>
  <c r="D122" i="2"/>
  <c r="D123" i="2"/>
  <c r="D126" i="2"/>
  <c r="D12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745" i="2" s="1"/>
  <c r="D150" i="2"/>
  <c r="D355" i="2" s="1"/>
  <c r="D500" i="2" s="1"/>
  <c r="D151" i="2"/>
  <c r="D152" i="2"/>
  <c r="D153" i="2"/>
  <c r="D154" i="2"/>
  <c r="D155" i="2"/>
  <c r="D156" i="2"/>
  <c r="D157" i="2"/>
  <c r="D158" i="2"/>
  <c r="D277" i="2" s="1"/>
  <c r="D278" i="2" s="1"/>
  <c r="D279" i="2" s="1"/>
  <c r="D280" i="2" s="1"/>
  <c r="D159" i="2"/>
  <c r="D160" i="2"/>
  <c r="D161" i="2"/>
  <c r="D162" i="2" s="1"/>
  <c r="D163" i="2" s="1"/>
  <c r="D164" i="2" s="1"/>
  <c r="D165" i="2" s="1"/>
  <c r="D166" i="2"/>
  <c r="D167" i="2" s="1"/>
  <c r="D168" i="2" s="1"/>
  <c r="D169" i="2" s="1"/>
  <c r="D170" i="2" s="1"/>
  <c r="D171" i="2" s="1"/>
  <c r="D172" i="2" s="1"/>
  <c r="D173" i="2" s="1"/>
  <c r="D174" i="2" s="1"/>
  <c r="D199" i="2"/>
  <c r="D200" i="2" s="1"/>
  <c r="D201" i="2" s="1"/>
  <c r="D202" i="2" s="1"/>
  <c r="D238" i="2"/>
  <c r="D239" i="2" s="1"/>
  <c r="D240" i="2" s="1"/>
  <c r="D241" i="2" s="1"/>
  <c r="D316" i="2"/>
  <c r="D317" i="2"/>
  <c r="D318" i="2"/>
  <c r="D319" i="2" s="1"/>
  <c r="D747" i="2"/>
  <c r="D748" i="2"/>
  <c r="D749" i="2"/>
  <c r="D750" i="2"/>
  <c r="D751" i="2"/>
  <c r="D645" i="2" l="1"/>
  <c r="D175" i="2"/>
  <c r="D281" i="2"/>
  <c r="D428" i="2"/>
  <c r="D573" i="2" s="1"/>
  <c r="D203" i="2"/>
  <c r="D356" i="2"/>
  <c r="D501" i="2" s="1"/>
  <c r="D392" i="2"/>
  <c r="D537" i="2" s="1"/>
  <c r="D242" i="2"/>
  <c r="D746" i="2"/>
  <c r="D320" i="2"/>
  <c r="D464" i="2"/>
  <c r="D609" i="2" s="1"/>
  <c r="D393" i="2" l="1"/>
  <c r="D538" i="2" s="1"/>
  <c r="D243" i="2"/>
  <c r="D282" i="2"/>
  <c r="D429" i="2"/>
  <c r="D574" i="2" s="1"/>
  <c r="D321" i="2"/>
  <c r="D465" i="2"/>
  <c r="D610" i="2" s="1"/>
  <c r="D176" i="2"/>
  <c r="D646" i="2"/>
  <c r="D204" i="2"/>
  <c r="D357" i="2"/>
  <c r="D502" i="2" s="1"/>
  <c r="D322" i="2" l="1"/>
  <c r="D466" i="2"/>
  <c r="D611" i="2" s="1"/>
  <c r="D283" i="2"/>
  <c r="D430" i="2"/>
  <c r="D575" i="2" s="1"/>
  <c r="D177" i="2"/>
  <c r="D647" i="2"/>
  <c r="D394" i="2"/>
  <c r="D539" i="2" s="1"/>
  <c r="D244" i="2"/>
  <c r="D205" i="2"/>
  <c r="D358" i="2"/>
  <c r="D503" i="2" s="1"/>
  <c r="D395" i="2" l="1"/>
  <c r="D540" i="2" s="1"/>
  <c r="D245" i="2"/>
  <c r="D284" i="2"/>
  <c r="D431" i="2"/>
  <c r="D576" i="2" s="1"/>
  <c r="D648" i="2"/>
  <c r="D178" i="2"/>
  <c r="D359" i="2"/>
  <c r="D504" i="2" s="1"/>
  <c r="D206" i="2"/>
  <c r="D323" i="2"/>
  <c r="D467" i="2"/>
  <c r="D612" i="2" s="1"/>
  <c r="D360" i="2" l="1"/>
  <c r="D505" i="2" s="1"/>
  <c r="D207" i="2"/>
  <c r="D649" i="2"/>
  <c r="D179" i="2"/>
  <c r="D432" i="2"/>
  <c r="D577" i="2" s="1"/>
  <c r="D285" i="2"/>
  <c r="D396" i="2"/>
  <c r="D541" i="2" s="1"/>
  <c r="D246" i="2"/>
  <c r="D324" i="2"/>
  <c r="D468" i="2"/>
  <c r="D613" i="2" s="1"/>
  <c r="D208" i="2" l="1"/>
  <c r="D361" i="2"/>
  <c r="D506" i="2" s="1"/>
  <c r="D397" i="2"/>
  <c r="D542" i="2" s="1"/>
  <c r="D247" i="2"/>
  <c r="D433" i="2"/>
  <c r="D578" i="2" s="1"/>
  <c r="D286" i="2"/>
  <c r="D650" i="2"/>
  <c r="D180" i="2"/>
  <c r="D325" i="2"/>
  <c r="D469" i="2"/>
  <c r="D614" i="2" s="1"/>
  <c r="D651" i="2" l="1"/>
  <c r="D181" i="2"/>
  <c r="D434" i="2"/>
  <c r="D579" i="2" s="1"/>
  <c r="D287" i="2"/>
  <c r="D248" i="2"/>
  <c r="D398" i="2"/>
  <c r="D543" i="2" s="1"/>
  <c r="D326" i="2"/>
  <c r="D470" i="2"/>
  <c r="D615" i="2" s="1"/>
  <c r="D209" i="2"/>
  <c r="D362" i="2"/>
  <c r="D507" i="2" s="1"/>
  <c r="D327" i="2" l="1"/>
  <c r="D471" i="2"/>
  <c r="D616" i="2" s="1"/>
  <c r="D652" i="2"/>
  <c r="D182" i="2"/>
  <c r="D249" i="2"/>
  <c r="D399" i="2"/>
  <c r="D544" i="2" s="1"/>
  <c r="D288" i="2"/>
  <c r="D435" i="2"/>
  <c r="D580" i="2" s="1"/>
  <c r="D210" i="2"/>
  <c r="D363" i="2"/>
  <c r="D508" i="2" s="1"/>
  <c r="D289" i="2" l="1"/>
  <c r="D436" i="2"/>
  <c r="D581" i="2" s="1"/>
  <c r="D400" i="2"/>
  <c r="D545" i="2" s="1"/>
  <c r="D250" i="2"/>
  <c r="D653" i="2"/>
  <c r="D211" i="2"/>
  <c r="D364" i="2"/>
  <c r="D509" i="2" s="1"/>
  <c r="D328" i="2"/>
  <c r="D472" i="2"/>
  <c r="D617" i="2" s="1"/>
  <c r="D184" i="2" l="1"/>
  <c r="D654" i="2"/>
  <c r="D401" i="2"/>
  <c r="D546" i="2" s="1"/>
  <c r="D251" i="2"/>
  <c r="D212" i="2"/>
  <c r="D365" i="2"/>
  <c r="D510" i="2" s="1"/>
  <c r="D329" i="2"/>
  <c r="D473" i="2"/>
  <c r="D618" i="2" s="1"/>
  <c r="D290" i="2"/>
  <c r="D437" i="2"/>
  <c r="D582" i="2" s="1"/>
  <c r="D330" i="2" l="1"/>
  <c r="D474" i="2"/>
  <c r="D619" i="2" s="1"/>
  <c r="D213" i="2"/>
  <c r="D366" i="2"/>
  <c r="D511" i="2" s="1"/>
  <c r="D402" i="2"/>
  <c r="D547" i="2" s="1"/>
  <c r="D252" i="2"/>
  <c r="D291" i="2"/>
  <c r="D438" i="2"/>
  <c r="D583" i="2" s="1"/>
  <c r="D185" i="2"/>
  <c r="D655" i="2"/>
  <c r="D403" i="2" l="1"/>
  <c r="D548" i="2" s="1"/>
  <c r="D253" i="2"/>
  <c r="D670" i="2"/>
  <c r="D367" i="2"/>
  <c r="D512" i="2" s="1"/>
  <c r="D214" i="2"/>
  <c r="D292" i="2"/>
  <c r="D439" i="2"/>
  <c r="D584" i="2" s="1"/>
  <c r="D695" i="2"/>
  <c r="D656" i="2"/>
  <c r="D186" i="2"/>
  <c r="D720" i="2"/>
  <c r="D331" i="2"/>
  <c r="D475" i="2"/>
  <c r="D620" i="2" s="1"/>
  <c r="D721" i="2" l="1"/>
  <c r="D332" i="2"/>
  <c r="D476" i="2"/>
  <c r="D621" i="2" s="1"/>
  <c r="D368" i="2"/>
  <c r="D513" i="2" s="1"/>
  <c r="D215" i="2"/>
  <c r="D657" i="2"/>
  <c r="D187" i="2"/>
  <c r="D404" i="2"/>
  <c r="D549" i="2" s="1"/>
  <c r="D671" i="2"/>
  <c r="D254" i="2"/>
  <c r="D440" i="2"/>
  <c r="D585" i="2" s="1"/>
  <c r="D696" i="2"/>
  <c r="D293" i="2"/>
  <c r="D188" i="2" l="1"/>
  <c r="D658" i="2"/>
  <c r="D697" i="2"/>
  <c r="D441" i="2"/>
  <c r="D586" i="2" s="1"/>
  <c r="D294" i="2"/>
  <c r="D216" i="2"/>
  <c r="D369" i="2"/>
  <c r="D514" i="2" s="1"/>
  <c r="D672" i="2"/>
  <c r="D405" i="2"/>
  <c r="D550" i="2" s="1"/>
  <c r="D255" i="2"/>
  <c r="D333" i="2"/>
  <c r="D477" i="2"/>
  <c r="D622" i="2" s="1"/>
  <c r="D722" i="2"/>
  <c r="D442" i="2" l="1"/>
  <c r="D587" i="2" s="1"/>
  <c r="D295" i="2"/>
  <c r="D698" i="2"/>
  <c r="D256" i="2"/>
  <c r="D673" i="2"/>
  <c r="D406" i="2"/>
  <c r="D551" i="2" s="1"/>
  <c r="D217" i="2"/>
  <c r="D370" i="2"/>
  <c r="D515" i="2" s="1"/>
  <c r="D723" i="2"/>
  <c r="D334" i="2"/>
  <c r="D478" i="2"/>
  <c r="D623" i="2" s="1"/>
  <c r="D659" i="2"/>
  <c r="D189" i="2"/>
  <c r="D218" i="2" l="1"/>
  <c r="D371" i="2"/>
  <c r="D516" i="2" s="1"/>
  <c r="D257" i="2"/>
  <c r="D407" i="2"/>
  <c r="D552" i="2" s="1"/>
  <c r="D674" i="2"/>
  <c r="D724" i="2"/>
  <c r="D335" i="2"/>
  <c r="D479" i="2"/>
  <c r="D624" i="2" s="1"/>
  <c r="D296" i="2"/>
  <c r="D443" i="2"/>
  <c r="D588" i="2" s="1"/>
  <c r="D699" i="2"/>
  <c r="D660" i="2"/>
  <c r="D190" i="2"/>
  <c r="D408" i="2" l="1"/>
  <c r="D553" i="2" s="1"/>
  <c r="D258" i="2"/>
  <c r="D675" i="2"/>
  <c r="D336" i="2"/>
  <c r="D480" i="2"/>
  <c r="D625" i="2" s="1"/>
  <c r="D725" i="2"/>
  <c r="D661" i="2"/>
  <c r="D191" i="2"/>
  <c r="D297" i="2"/>
  <c r="D444" i="2"/>
  <c r="D589" i="2" s="1"/>
  <c r="D700" i="2"/>
  <c r="D219" i="2"/>
  <c r="D372" i="2"/>
  <c r="D517" i="2" s="1"/>
  <c r="D220" i="2" l="1"/>
  <c r="D373" i="2"/>
  <c r="D518" i="2" s="1"/>
  <c r="D409" i="2"/>
  <c r="D554" i="2" s="1"/>
  <c r="D259" i="2"/>
  <c r="D676" i="2"/>
  <c r="D192" i="2"/>
  <c r="D662" i="2"/>
  <c r="D337" i="2"/>
  <c r="D481" i="2"/>
  <c r="D626" i="2" s="1"/>
  <c r="D726" i="2"/>
  <c r="D298" i="2"/>
  <c r="D445" i="2"/>
  <c r="D590" i="2" s="1"/>
  <c r="D701" i="2"/>
  <c r="D338" i="2" l="1"/>
  <c r="D482" i="2"/>
  <c r="D627" i="2" s="1"/>
  <c r="D727" i="2"/>
  <c r="D410" i="2"/>
  <c r="D555" i="2" s="1"/>
  <c r="D260" i="2"/>
  <c r="D677" i="2"/>
  <c r="D193" i="2"/>
  <c r="D663" i="2"/>
  <c r="D299" i="2"/>
  <c r="D446" i="2"/>
  <c r="D591" i="2" s="1"/>
  <c r="D702" i="2"/>
  <c r="D221" i="2"/>
  <c r="D374" i="2"/>
  <c r="D519" i="2" s="1"/>
  <c r="D664" i="2" l="1"/>
  <c r="D194" i="2"/>
  <c r="D411" i="2"/>
  <c r="D556" i="2" s="1"/>
  <c r="D261" i="2"/>
  <c r="D678" i="2"/>
  <c r="D375" i="2"/>
  <c r="D520" i="2" s="1"/>
  <c r="D222" i="2"/>
  <c r="D300" i="2"/>
  <c r="D447" i="2"/>
  <c r="D592" i="2" s="1"/>
  <c r="D703" i="2"/>
  <c r="D728" i="2"/>
  <c r="D339" i="2"/>
  <c r="D483" i="2"/>
  <c r="D628" i="2" s="1"/>
  <c r="D448" i="2" l="1"/>
  <c r="D593" i="2" s="1"/>
  <c r="D704" i="2"/>
  <c r="D301" i="2"/>
  <c r="D376" i="2"/>
  <c r="D521" i="2" s="1"/>
  <c r="D223" i="2"/>
  <c r="D412" i="2"/>
  <c r="D557" i="2" s="1"/>
  <c r="D679" i="2"/>
  <c r="D262" i="2"/>
  <c r="D665" i="2"/>
  <c r="D195" i="2"/>
  <c r="D729" i="2"/>
  <c r="D340" i="2"/>
  <c r="D484" i="2"/>
  <c r="D629" i="2" s="1"/>
  <c r="D224" i="2" l="1"/>
  <c r="D377" i="2"/>
  <c r="D522" i="2" s="1"/>
  <c r="D449" i="2"/>
  <c r="D594" i="2" s="1"/>
  <c r="D705" i="2"/>
  <c r="D302" i="2"/>
  <c r="D680" i="2"/>
  <c r="D413" i="2"/>
  <c r="D558" i="2" s="1"/>
  <c r="D263" i="2"/>
  <c r="D341" i="2"/>
  <c r="D485" i="2"/>
  <c r="D630" i="2" s="1"/>
  <c r="D730" i="2"/>
  <c r="D196" i="2"/>
  <c r="D666" i="2"/>
  <c r="D264" i="2" l="1"/>
  <c r="D681" i="2"/>
  <c r="D414" i="2"/>
  <c r="D559" i="2" s="1"/>
  <c r="D450" i="2"/>
  <c r="D595" i="2" s="1"/>
  <c r="D303" i="2"/>
  <c r="D706" i="2"/>
  <c r="D667" i="2"/>
  <c r="D197" i="2"/>
  <c r="D731" i="2"/>
  <c r="D342" i="2"/>
  <c r="D486" i="2"/>
  <c r="D631" i="2" s="1"/>
  <c r="D225" i="2"/>
  <c r="D378" i="2"/>
  <c r="D523" i="2" s="1"/>
  <c r="D668" i="2" l="1"/>
  <c r="D198" i="2"/>
  <c r="D669" i="2" s="1"/>
  <c r="D732" i="2"/>
  <c r="D343" i="2"/>
  <c r="D487" i="2"/>
  <c r="D632" i="2" s="1"/>
  <c r="D304" i="2"/>
  <c r="D451" i="2"/>
  <c r="D596" i="2" s="1"/>
  <c r="D707" i="2"/>
  <c r="D226" i="2"/>
  <c r="D379" i="2"/>
  <c r="D524" i="2" s="1"/>
  <c r="D265" i="2"/>
  <c r="D415" i="2"/>
  <c r="D560" i="2" s="1"/>
  <c r="D682" i="2"/>
  <c r="D305" i="2" l="1"/>
  <c r="D452" i="2"/>
  <c r="D597" i="2" s="1"/>
  <c r="D708" i="2"/>
  <c r="D416" i="2"/>
  <c r="D561" i="2" s="1"/>
  <c r="D266" i="2"/>
  <c r="D683" i="2"/>
  <c r="D344" i="2"/>
  <c r="D488" i="2"/>
  <c r="D633" i="2" s="1"/>
  <c r="D733" i="2"/>
  <c r="D227" i="2"/>
  <c r="D380" i="2"/>
  <c r="D525" i="2" s="1"/>
  <c r="D345" i="2" l="1"/>
  <c r="D489" i="2"/>
  <c r="D634" i="2" s="1"/>
  <c r="D734" i="2"/>
  <c r="D417" i="2"/>
  <c r="D562" i="2" s="1"/>
  <c r="D267" i="2"/>
  <c r="D684" i="2"/>
  <c r="D228" i="2"/>
  <c r="D381" i="2"/>
  <c r="D526" i="2" s="1"/>
  <c r="D306" i="2"/>
  <c r="D453" i="2"/>
  <c r="D598" i="2" s="1"/>
  <c r="D709" i="2"/>
  <c r="D229" i="2" l="1"/>
  <c r="D382" i="2"/>
  <c r="D527" i="2" s="1"/>
  <c r="D418" i="2"/>
  <c r="D563" i="2" s="1"/>
  <c r="D268" i="2"/>
  <c r="D685" i="2"/>
  <c r="D307" i="2"/>
  <c r="D710" i="2"/>
  <c r="D454" i="2"/>
  <c r="D599" i="2" s="1"/>
  <c r="D346" i="2"/>
  <c r="D490" i="2"/>
  <c r="D635" i="2" s="1"/>
  <c r="D735" i="2"/>
  <c r="D308" i="2" l="1"/>
  <c r="D455" i="2"/>
  <c r="D600" i="2" s="1"/>
  <c r="D711" i="2"/>
  <c r="D419" i="2"/>
  <c r="D564" i="2" s="1"/>
  <c r="D269" i="2"/>
  <c r="D686" i="2"/>
  <c r="D736" i="2"/>
  <c r="D347" i="2"/>
  <c r="D491" i="2"/>
  <c r="D636" i="2" s="1"/>
  <c r="D383" i="2"/>
  <c r="D528" i="2" s="1"/>
  <c r="D230" i="2"/>
  <c r="D737" i="2" l="1"/>
  <c r="D348" i="2"/>
  <c r="D492" i="2"/>
  <c r="D637" i="2" s="1"/>
  <c r="D420" i="2"/>
  <c r="D565" i="2" s="1"/>
  <c r="D687" i="2"/>
  <c r="D270" i="2"/>
  <c r="D384" i="2"/>
  <c r="D529" i="2" s="1"/>
  <c r="D231" i="2"/>
  <c r="D456" i="2"/>
  <c r="D601" i="2" s="1"/>
  <c r="D712" i="2"/>
  <c r="D309" i="2"/>
  <c r="D232" i="2" l="1"/>
  <c r="D385" i="2"/>
  <c r="D530" i="2" s="1"/>
  <c r="D688" i="2"/>
  <c r="D421" i="2"/>
  <c r="D566" i="2" s="1"/>
  <c r="D271" i="2"/>
  <c r="D457" i="2"/>
  <c r="D602" i="2" s="1"/>
  <c r="D713" i="2"/>
  <c r="D310" i="2"/>
  <c r="D349" i="2"/>
  <c r="D493" i="2"/>
  <c r="D638" i="2" s="1"/>
  <c r="D738" i="2"/>
  <c r="D272" i="2" l="1"/>
  <c r="D689" i="2"/>
  <c r="D422" i="2"/>
  <c r="D567" i="2" s="1"/>
  <c r="D458" i="2"/>
  <c r="D603" i="2" s="1"/>
  <c r="D311" i="2"/>
  <c r="D714" i="2"/>
  <c r="D739" i="2"/>
  <c r="D350" i="2"/>
  <c r="D494" i="2"/>
  <c r="D639" i="2" s="1"/>
  <c r="D233" i="2"/>
  <c r="D386" i="2"/>
  <c r="D531" i="2" s="1"/>
  <c r="D740" i="2" l="1"/>
  <c r="D351" i="2"/>
  <c r="D495" i="2"/>
  <c r="D640" i="2" s="1"/>
  <c r="D312" i="2"/>
  <c r="D459" i="2"/>
  <c r="D604" i="2" s="1"/>
  <c r="D715" i="2"/>
  <c r="D234" i="2"/>
  <c r="D387" i="2"/>
  <c r="D532" i="2" s="1"/>
  <c r="D273" i="2"/>
  <c r="D423" i="2"/>
  <c r="D568" i="2" s="1"/>
  <c r="D690" i="2"/>
  <c r="D235" i="2" l="1"/>
  <c r="D388" i="2"/>
  <c r="D533" i="2" s="1"/>
  <c r="D313" i="2"/>
  <c r="D460" i="2"/>
  <c r="D605" i="2" s="1"/>
  <c r="D716" i="2"/>
  <c r="D352" i="2"/>
  <c r="D496" i="2"/>
  <c r="D641" i="2" s="1"/>
  <c r="D741" i="2"/>
  <c r="D424" i="2"/>
  <c r="D569" i="2" s="1"/>
  <c r="D274" i="2"/>
  <c r="D691" i="2"/>
  <c r="D353" i="2" l="1"/>
  <c r="D497" i="2"/>
  <c r="D642" i="2" s="1"/>
  <c r="D742" i="2"/>
  <c r="D314" i="2"/>
  <c r="D461" i="2"/>
  <c r="D606" i="2" s="1"/>
  <c r="D717" i="2"/>
  <c r="D425" i="2"/>
  <c r="D570" i="2" s="1"/>
  <c r="D275" i="2"/>
  <c r="D692" i="2"/>
  <c r="D236" i="2"/>
  <c r="D389" i="2"/>
  <c r="D534" i="2" s="1"/>
  <c r="D426" i="2" l="1"/>
  <c r="D571" i="2" s="1"/>
  <c r="D276" i="2"/>
  <c r="D693" i="2"/>
  <c r="D315" i="2"/>
  <c r="D462" i="2"/>
  <c r="D607" i="2" s="1"/>
  <c r="D718" i="2"/>
  <c r="D237" i="2"/>
  <c r="D391" i="2" s="1"/>
  <c r="D536" i="2" s="1"/>
  <c r="D390" i="2"/>
  <c r="D535" i="2" s="1"/>
  <c r="D354" i="2"/>
  <c r="D498" i="2"/>
  <c r="D643" i="2" s="1"/>
  <c r="D743" i="2"/>
  <c r="D463" i="2" l="1"/>
  <c r="D608" i="2" s="1"/>
  <c r="D719" i="2"/>
  <c r="D427" i="2"/>
  <c r="D572" i="2" s="1"/>
  <c r="D694" i="2"/>
  <c r="D744" i="2"/>
  <c r="D499" i="2"/>
  <c r="D644" i="2" s="1"/>
  <c r="E22" i="1" l="1"/>
  <c r="E23" i="1" s="1"/>
  <c r="E21" i="1"/>
  <c r="E30" i="1"/>
  <c r="E80" i="1"/>
  <c r="E81" i="1"/>
  <c r="E84" i="1"/>
  <c r="E85" i="1"/>
  <c r="E83" i="1"/>
  <c r="E82" i="1"/>
  <c r="E737" i="2"/>
  <c r="E730" i="2"/>
  <c r="E708" i="2"/>
  <c r="E675" i="2"/>
  <c r="E738" i="2"/>
  <c r="E720" i="2"/>
  <c r="E714" i="2"/>
  <c r="E678" i="2"/>
  <c r="E719" i="2"/>
  <c r="E703" i="2"/>
  <c r="E679" i="2"/>
  <c r="E733" i="2"/>
  <c r="E674" i="2"/>
  <c r="E704" i="2"/>
  <c r="E743" i="2"/>
  <c r="E688" i="2"/>
  <c r="E707" i="2"/>
  <c r="E693" i="2"/>
  <c r="E739" i="2"/>
  <c r="E731" i="2"/>
  <c r="E727" i="2"/>
  <c r="E740" i="2"/>
  <c r="E355" i="2"/>
  <c r="E673" i="2"/>
  <c r="E685" i="2"/>
  <c r="E705" i="2"/>
  <c r="E690" i="2"/>
  <c r="E687" i="2"/>
  <c r="E741" i="2"/>
  <c r="E721" i="2"/>
  <c r="E680" i="2"/>
  <c r="E709" i="2"/>
  <c r="E732" i="2"/>
  <c r="E697" i="2"/>
  <c r="E725" i="2"/>
  <c r="E717" i="2"/>
  <c r="E684" i="2"/>
  <c r="E696" i="2"/>
  <c r="E694" i="2"/>
  <c r="E715" i="2"/>
  <c r="E724" i="2"/>
  <c r="E728" i="2"/>
  <c r="E677" i="2"/>
  <c r="E151" i="2"/>
  <c r="E671" i="2"/>
  <c r="E742" i="2"/>
  <c r="E676" i="2"/>
  <c r="E716" i="2"/>
  <c r="E700" i="2"/>
  <c r="E712" i="2"/>
  <c r="E670" i="2"/>
  <c r="E428" i="2"/>
  <c r="E686" i="2"/>
  <c r="E713" i="2"/>
  <c r="E699" i="2"/>
  <c r="E160" i="2"/>
  <c r="E736" i="2"/>
  <c r="E723" i="2"/>
  <c r="E692" i="2"/>
  <c r="E718" i="2"/>
  <c r="E695" i="2"/>
  <c r="E698" i="2"/>
  <c r="E683" i="2"/>
  <c r="E701" i="2"/>
  <c r="E691" i="2"/>
  <c r="E672" i="2"/>
  <c r="E744" i="2"/>
  <c r="E735" i="2"/>
  <c r="E729" i="2"/>
  <c r="E706" i="2"/>
  <c r="E702" i="2"/>
  <c r="E710" i="2"/>
  <c r="E2" i="2"/>
  <c r="E681" i="2"/>
  <c r="E682" i="2"/>
  <c r="E689" i="2"/>
  <c r="E722" i="2"/>
  <c r="E734" i="2"/>
  <c r="E726" i="2"/>
  <c r="E711" i="2"/>
  <c r="D3" i="2" l="1"/>
  <c r="D4" i="2" l="1"/>
  <c r="D16" i="2" s="1"/>
  <c r="D53" i="2" s="1"/>
  <c r="D14" i="2"/>
  <c r="D15" i="2"/>
  <c r="D87" i="2"/>
  <c r="D124" i="2" s="1"/>
  <c r="D26" i="2"/>
  <c r="D63" i="2" s="1"/>
  <c r="D100" i="2" s="1"/>
  <c r="D27" i="2"/>
  <c r="D38" i="2"/>
  <c r="D137" i="2" s="1"/>
  <c r="D39" i="2"/>
  <c r="D125" i="2" l="1"/>
  <c r="D51" i="2"/>
  <c r="D88" i="2" s="1"/>
  <c r="E9" i="3"/>
  <c r="E8" i="3"/>
  <c r="D5" i="2"/>
  <c r="D41" i="2" s="1"/>
  <c r="D78" i="2" s="1"/>
  <c r="D28" i="2"/>
  <c r="D65" i="2" s="1"/>
  <c r="D40" i="2"/>
  <c r="D76" i="2"/>
  <c r="D75" i="2"/>
  <c r="D112" i="2" s="1"/>
  <c r="D52" i="2"/>
  <c r="D64" i="2"/>
  <c r="E41" i="3" l="1"/>
  <c r="D17" i="2"/>
  <c r="D54" i="2" s="1"/>
  <c r="D29" i="2"/>
  <c r="D66" i="2" s="1"/>
  <c r="D77" i="2"/>
  <c r="D6" i="2"/>
  <c r="D30" i="2" s="1"/>
  <c r="D67" i="2" s="1"/>
  <c r="E10" i="3" l="1"/>
  <c r="D18" i="2"/>
  <c r="D55" i="2" s="1"/>
  <c r="D7" i="2"/>
  <c r="D31" i="2" s="1"/>
  <c r="D68" i="2" s="1"/>
  <c r="D42" i="2"/>
  <c r="D79" i="2" s="1"/>
  <c r="D8" i="2" l="1"/>
  <c r="D32" i="2" s="1"/>
  <c r="D69" i="2" s="1"/>
  <c r="D19" i="2"/>
  <c r="D56" i="2" s="1"/>
  <c r="D43" i="2"/>
  <c r="D80" i="2" s="1"/>
  <c r="D9" i="2" l="1"/>
  <c r="D10" i="2" s="1"/>
  <c r="D34" i="2" s="1"/>
  <c r="D71" i="2" s="1"/>
  <c r="D20" i="2"/>
  <c r="D57" i="2" s="1"/>
  <c r="D44" i="2"/>
  <c r="D81" i="2" s="1"/>
  <c r="D45" i="2" l="1"/>
  <c r="D82" i="2" s="1"/>
  <c r="D22" i="2"/>
  <c r="D59" i="2" s="1"/>
  <c r="D11" i="2"/>
  <c r="D35" i="2" s="1"/>
  <c r="D72" i="2" s="1"/>
  <c r="D21" i="2"/>
  <c r="D58" i="2" s="1"/>
  <c r="D33" i="2"/>
  <c r="D70" i="2" s="1"/>
  <c r="D46" i="2"/>
  <c r="D83" i="2" s="1"/>
  <c r="E506" i="2"/>
  <c r="E183" i="2"/>
  <c r="E427" i="2"/>
  <c r="E508" i="2"/>
  <c r="E456" i="2"/>
  <c r="E146" i="2"/>
  <c r="E283" i="2"/>
  <c r="E53" i="2"/>
  <c r="E528" i="2"/>
  <c r="E167" i="2"/>
  <c r="E532" i="2"/>
  <c r="E654" i="2"/>
  <c r="E264" i="2"/>
  <c r="E19" i="2"/>
  <c r="E446" i="2"/>
  <c r="E580" i="2"/>
  <c r="E414" i="2"/>
  <c r="E51" i="2"/>
  <c r="E110" i="2"/>
  <c r="E149" i="2"/>
  <c r="E7" i="2"/>
  <c r="E286" i="2"/>
  <c r="E635" i="2"/>
  <c r="E536" i="2"/>
  <c r="E522" i="2"/>
  <c r="E222" i="2"/>
  <c r="E320" i="2"/>
  <c r="E240" i="2"/>
  <c r="E301" i="2"/>
  <c r="E445" i="2"/>
  <c r="E616" i="2"/>
  <c r="E197" i="2"/>
  <c r="E457" i="2"/>
  <c r="E398" i="2"/>
  <c r="E666" i="2"/>
  <c r="E352" i="2"/>
  <c r="E587" i="2"/>
  <c r="E424" i="2"/>
  <c r="E186" i="2"/>
  <c r="E99" i="2"/>
  <c r="E156" i="2"/>
  <c r="E142" i="2"/>
  <c r="E386" i="2"/>
  <c r="E648" i="2"/>
  <c r="E107" i="2"/>
  <c r="E23" i="2"/>
  <c r="E550" i="2"/>
  <c r="E332" i="2"/>
  <c r="E489" i="2"/>
  <c r="E215" i="2"/>
  <c r="E253" i="2"/>
  <c r="E548" i="2"/>
  <c r="E343" i="2"/>
  <c r="E746" i="2"/>
  <c r="E297" i="2"/>
  <c r="E486" i="2"/>
  <c r="E406" i="2"/>
  <c r="E276" i="2"/>
  <c r="E192" i="2"/>
  <c r="E100" i="2"/>
  <c r="E172" i="2"/>
  <c r="E234" i="2"/>
  <c r="E44" i="2"/>
  <c r="E275" i="2"/>
  <c r="E198" i="2"/>
  <c r="E442" i="2"/>
  <c r="E75" i="2"/>
  <c r="E447" i="2"/>
  <c r="E617" i="2"/>
  <c r="E467" i="2"/>
  <c r="E318" i="2"/>
  <c r="E505" i="2"/>
  <c r="E507" i="2"/>
  <c r="E547" i="2"/>
  <c r="E30" i="2"/>
  <c r="E583" i="2"/>
  <c r="E321" i="2"/>
  <c r="E189" i="2"/>
  <c r="E278" i="2"/>
  <c r="E658" i="2"/>
  <c r="E94" i="2"/>
  <c r="E474" i="2"/>
  <c r="E509" i="2"/>
  <c r="E209" i="2"/>
  <c r="E213" i="2"/>
  <c r="E319" i="2"/>
  <c r="E177" i="2"/>
  <c r="E494" i="2"/>
  <c r="E479" i="2"/>
  <c r="E521" i="2"/>
  <c r="E368" i="2"/>
  <c r="E402" i="2"/>
  <c r="E567" i="2"/>
  <c r="E176" i="2"/>
  <c r="E454" i="2"/>
  <c r="E350" i="2"/>
  <c r="E64" i="2"/>
  <c r="E629" i="2"/>
  <c r="E295" i="2"/>
  <c r="E527" i="2"/>
  <c r="E572" i="2"/>
  <c r="E208" i="2"/>
  <c r="E339" i="2"/>
  <c r="E563" i="2"/>
  <c r="E179" i="2"/>
  <c r="E367" i="2"/>
  <c r="E591" i="2"/>
  <c r="E359" i="2"/>
  <c r="E615" i="2"/>
  <c r="E136" i="2"/>
  <c r="E598" i="2"/>
  <c r="E751" i="2"/>
  <c r="E137" i="2"/>
  <c r="E114" i="2"/>
  <c r="E173" i="2"/>
  <c r="E191" i="2"/>
  <c r="E60" i="2"/>
  <c r="E623" i="2"/>
  <c r="E124" i="2"/>
  <c r="E409" i="2"/>
  <c r="E70" i="2"/>
  <c r="E22" i="2"/>
  <c r="E626" i="2"/>
  <c r="E304" i="2"/>
  <c r="E627" i="2"/>
  <c r="E180" i="2"/>
  <c r="E92" i="2"/>
  <c r="E631" i="2"/>
  <c r="E449" i="2"/>
  <c r="E417" i="2"/>
  <c r="E497" i="2"/>
  <c r="E47" i="2"/>
  <c r="E26" i="2"/>
  <c r="E307" i="2"/>
  <c r="E125" i="2"/>
  <c r="E504" i="2"/>
  <c r="E624" i="2"/>
  <c r="E129" i="2"/>
  <c r="E17" i="2"/>
  <c r="E566" i="2"/>
  <c r="E271" i="2"/>
  <c r="E162" i="2"/>
  <c r="E272" i="2"/>
  <c r="E5" i="2"/>
  <c r="E34" i="2"/>
  <c r="E384" i="2"/>
  <c r="E411" i="2"/>
  <c r="E126" i="2"/>
  <c r="E660" i="2"/>
  <c r="E164" i="2"/>
  <c r="E170" i="2"/>
  <c r="E630" i="2"/>
  <c r="E561" i="2"/>
  <c r="E52" i="2"/>
  <c r="E621" i="2"/>
  <c r="E58" i="2"/>
  <c r="E460" i="2"/>
  <c r="E471" i="2"/>
  <c r="E385" i="2"/>
  <c r="E645" i="2"/>
  <c r="E378" i="2"/>
  <c r="E108" i="2"/>
  <c r="E599" i="2"/>
  <c r="E175" i="2"/>
  <c r="E469" i="2"/>
  <c r="E184" i="2"/>
  <c r="E552" i="2"/>
  <c r="E6" i="2"/>
  <c r="E231" i="2"/>
  <c r="E365" i="2"/>
  <c r="E633" i="2"/>
  <c r="E199" i="2"/>
  <c r="E155" i="2"/>
  <c r="E292" i="2"/>
  <c r="E613" i="2"/>
  <c r="E46" i="2"/>
  <c r="E493" i="2"/>
  <c r="E512" i="2"/>
  <c r="E333" i="2"/>
  <c r="E20" i="2"/>
  <c r="E593" i="2"/>
  <c r="E250" i="2"/>
  <c r="E153" i="2"/>
  <c r="E620" i="2"/>
  <c r="E533" i="2"/>
  <c r="E579" i="2"/>
  <c r="E418" i="2"/>
  <c r="E185" i="2"/>
  <c r="E466" i="2"/>
  <c r="E575" i="2"/>
  <c r="E216" i="2"/>
  <c r="E592" i="2"/>
  <c r="E230" i="2"/>
  <c r="E10" i="2"/>
  <c r="E346" i="2"/>
  <c r="E569" i="2"/>
  <c r="E662" i="2"/>
  <c r="E27" i="2"/>
  <c r="E267" i="2"/>
  <c r="E210" i="2"/>
  <c r="E113" i="2"/>
  <c r="E9" i="2"/>
  <c r="E484" i="2"/>
  <c r="E96" i="2"/>
  <c r="E287" i="2"/>
  <c r="E91" i="2"/>
  <c r="E389" i="2"/>
  <c r="E451" i="2"/>
  <c r="E597" i="2"/>
  <c r="E227" i="2"/>
  <c r="E274" i="2"/>
  <c r="E246" i="2"/>
  <c r="E431" i="2"/>
  <c r="E143" i="2"/>
  <c r="E667" i="2"/>
  <c r="E15" i="2"/>
  <c r="E634" i="2"/>
  <c r="E25" i="2"/>
  <c r="E423" i="2"/>
  <c r="E212" i="2"/>
  <c r="E342" i="2"/>
  <c r="E433" i="2"/>
  <c r="E242" i="2"/>
  <c r="E405" i="2"/>
  <c r="E393" i="2"/>
  <c r="E144" i="2"/>
  <c r="E558" i="2"/>
  <c r="E538" i="2"/>
  <c r="E641" i="2"/>
  <c r="E584" i="2"/>
  <c r="E601" i="2"/>
  <c r="E71" i="2"/>
  <c r="E13" i="2"/>
  <c r="E366" i="2"/>
  <c r="E56" i="2"/>
  <c r="E399" i="2"/>
  <c r="E325" i="2"/>
  <c r="E480" i="2"/>
  <c r="E65" i="2"/>
  <c r="E618" i="2"/>
  <c r="E284" i="2"/>
  <c r="E397" i="2"/>
  <c r="E123" i="2"/>
  <c r="E612" i="2"/>
  <c r="E556" i="2"/>
  <c r="E98" i="2"/>
  <c r="E356" i="2"/>
  <c r="E112" i="2"/>
  <c r="E324" i="2"/>
  <c r="E243" i="2"/>
  <c r="E248" i="2"/>
  <c r="E568" i="2"/>
  <c r="E193" i="2"/>
  <c r="E40" i="2"/>
  <c r="E291" i="2"/>
  <c r="E628" i="2"/>
  <c r="E74" i="2"/>
  <c r="E148" i="2"/>
  <c r="E656" i="2"/>
  <c r="E441" i="2"/>
  <c r="E602" i="2"/>
  <c r="E419" i="2"/>
  <c r="E252" i="2"/>
  <c r="E482" i="2"/>
  <c r="E607" i="2"/>
  <c r="E224" i="2"/>
  <c r="E750" i="2"/>
  <c r="E260" i="2"/>
  <c r="E161" i="2"/>
  <c r="E133" i="2"/>
  <c r="E254" i="2"/>
  <c r="E29" i="2"/>
  <c r="E374" i="2"/>
  <c r="E394" i="2"/>
  <c r="E35" i="2"/>
  <c r="E657" i="2"/>
  <c r="E73" i="2"/>
  <c r="E331" i="2"/>
  <c r="E361" i="2"/>
  <c r="E279" i="2"/>
  <c r="E68" i="2"/>
  <c r="E79" i="2"/>
  <c r="E310" i="2"/>
  <c r="E513" i="2"/>
  <c r="E323" i="2"/>
  <c r="E492" i="2"/>
  <c r="E546" i="2"/>
  <c r="E476" i="2"/>
  <c r="E62" i="2"/>
  <c r="E195" i="2"/>
  <c r="E465" i="2"/>
  <c r="E589" i="2"/>
  <c r="E262" i="2"/>
  <c r="E470" i="2"/>
  <c r="E140" i="2"/>
  <c r="E370" i="2"/>
  <c r="E413" i="2"/>
  <c r="E501" i="2"/>
  <c r="E581" i="2"/>
  <c r="E261" i="2"/>
  <c r="E317" i="2"/>
  <c r="E103" i="2"/>
  <c r="E609" i="2"/>
  <c r="E655" i="2"/>
  <c r="E523" i="2"/>
  <c r="E390" i="2"/>
  <c r="E41" i="2"/>
  <c r="E77" i="2"/>
  <c r="E651" i="2"/>
  <c r="E181" i="2"/>
  <c r="E121" i="2"/>
  <c r="E235" i="2"/>
  <c r="E659" i="2"/>
  <c r="E313" i="2"/>
  <c r="E316" i="2"/>
  <c r="E59" i="2"/>
  <c r="E392" i="2"/>
  <c r="E643" i="2"/>
  <c r="E312" i="2"/>
  <c r="E625" i="2"/>
  <c r="E206" i="2"/>
  <c r="E436" i="2"/>
  <c r="E555" i="2"/>
  <c r="E207" i="2"/>
  <c r="E605" i="2"/>
  <c r="E747" i="2"/>
  <c r="E24" i="2"/>
  <c r="E67" i="2"/>
  <c r="E554" i="2"/>
  <c r="E269" i="2"/>
  <c r="E745" i="2"/>
  <c r="E588" i="2"/>
  <c r="E415" i="2"/>
  <c r="E537" i="2"/>
  <c r="E347" i="2"/>
  <c r="E543" i="2"/>
  <c r="E109" i="2"/>
  <c r="E37" i="2"/>
  <c r="E76" i="2"/>
  <c r="E444" i="2"/>
  <c r="E564" i="2"/>
  <c r="E363" i="2"/>
  <c r="E534" i="2"/>
  <c r="E496" i="2"/>
  <c r="E48" i="2"/>
  <c r="E328" i="2"/>
  <c r="E83" i="2"/>
  <c r="E604" i="2"/>
  <c r="E138" i="2"/>
  <c r="E430" i="2"/>
  <c r="E203" i="2"/>
  <c r="E16" i="2"/>
  <c r="E490" i="2"/>
  <c r="E596" i="2"/>
  <c r="E237" i="2"/>
  <c r="E219" i="2"/>
  <c r="E351" i="2"/>
  <c r="E97" i="2"/>
  <c r="E336" i="2"/>
  <c r="E300" i="2"/>
  <c r="E157" i="2"/>
  <c r="E115" i="2"/>
  <c r="E139" i="2"/>
  <c r="E586" i="2"/>
  <c r="E229" i="2"/>
  <c r="E127" i="2"/>
  <c r="E3" i="2"/>
  <c r="E302" i="2"/>
  <c r="E88" i="2"/>
  <c r="E315" i="2"/>
  <c r="E481" i="2"/>
  <c r="E435" i="2"/>
  <c r="E644" i="2"/>
  <c r="E220" i="2"/>
  <c r="E93" i="2"/>
  <c r="E388" i="2"/>
  <c r="E649" i="2"/>
  <c r="E85" i="2"/>
  <c r="E298" i="2"/>
  <c r="E169" i="2"/>
  <c r="E450" i="2"/>
  <c r="E102" i="2"/>
  <c r="E560" i="2"/>
  <c r="E362" i="2"/>
  <c r="E475" i="2"/>
  <c r="E147" i="2"/>
  <c r="E458" i="2"/>
  <c r="E459" i="2"/>
  <c r="E202" i="2"/>
  <c r="E382" i="2"/>
  <c r="E290" i="2"/>
  <c r="E495" i="2"/>
  <c r="E562" i="2"/>
  <c r="E369" i="2"/>
  <c r="E408" i="2"/>
  <c r="E309" i="2"/>
  <c r="E519" i="2"/>
  <c r="E14" i="2"/>
  <c r="E557" i="2"/>
  <c r="E12" i="2"/>
  <c r="E573" i="2"/>
  <c r="E182" i="2"/>
  <c r="E349" i="2"/>
  <c r="E211" i="2"/>
  <c r="E95" i="2"/>
  <c r="E544" i="2"/>
  <c r="E294" i="2"/>
  <c r="E33" i="2"/>
  <c r="E483" i="2"/>
  <c r="E376" i="2"/>
  <c r="E72" i="2"/>
  <c r="E578" i="2"/>
  <c r="E28" i="2"/>
  <c r="E134" i="2"/>
  <c r="E608" i="2"/>
  <c r="E585" i="2"/>
  <c r="E525" i="2"/>
  <c r="E251" i="2"/>
  <c r="E642" i="2"/>
  <c r="E400" i="2"/>
  <c r="E165" i="2"/>
  <c r="E329" i="2"/>
  <c r="E120" i="2"/>
  <c r="E145" i="2"/>
  <c r="E410" i="2"/>
  <c r="E245" i="2"/>
  <c r="E84" i="2"/>
  <c r="E517" i="2"/>
  <c r="E293" i="2"/>
  <c r="E371" i="2"/>
  <c r="E669" i="2"/>
  <c r="E407" i="2"/>
  <c r="E455" i="2"/>
  <c r="E344" i="2"/>
  <c r="E439" i="2"/>
  <c r="E305" i="2"/>
  <c r="E540" i="2"/>
  <c r="E244" i="2"/>
  <c r="E636" i="2"/>
  <c r="E422" i="2"/>
  <c r="E299" i="2"/>
  <c r="E168" i="2"/>
  <c r="E426" i="2"/>
  <c r="E233" i="2"/>
  <c r="E372" i="2"/>
  <c r="E595" i="2"/>
  <c r="E514" i="2"/>
  <c r="E437" i="2"/>
  <c r="E289" i="2"/>
  <c r="E18" i="2"/>
  <c r="E434" i="2"/>
  <c r="E8" i="2"/>
  <c r="E135" i="2"/>
  <c r="E478" i="2"/>
  <c r="E632" i="2"/>
  <c r="E379" i="2"/>
  <c r="E196" i="2"/>
  <c r="E448" i="2"/>
  <c r="E650" i="2"/>
  <c r="E375" i="2"/>
  <c r="E377" i="2"/>
  <c r="E50" i="2"/>
  <c r="E749" i="2"/>
  <c r="E249" i="2"/>
  <c r="E187" i="2"/>
  <c r="E214" i="2"/>
  <c r="E337" i="2"/>
  <c r="E334" i="2"/>
  <c r="E32" i="2"/>
  <c r="E473" i="2"/>
  <c r="E485" i="2"/>
  <c r="E335" i="2"/>
  <c r="E452" i="2"/>
  <c r="E421" i="2"/>
  <c r="E217" i="2"/>
  <c r="E551" i="2"/>
  <c r="E590" i="2"/>
  <c r="E45" i="2"/>
  <c r="E653" i="2"/>
  <c r="E36" i="2"/>
  <c r="E395" i="2"/>
  <c r="E204" i="2"/>
  <c r="E531" i="2"/>
  <c r="E619" i="2"/>
  <c r="E577" i="2"/>
  <c r="E403" i="2"/>
  <c r="E38" i="2"/>
  <c r="E559" i="2"/>
  <c r="E357" i="2"/>
  <c r="E39" i="2"/>
  <c r="E420" i="2"/>
  <c r="E131" i="2"/>
  <c r="E54" i="2"/>
  <c r="E391" i="2"/>
  <c r="E582" i="2"/>
  <c r="E594" i="2"/>
  <c r="E637" i="2"/>
  <c r="E154" i="2"/>
  <c r="E571" i="2"/>
  <c r="E327" i="2"/>
  <c r="E57" i="2"/>
  <c r="E221" i="2"/>
  <c r="E364" i="2"/>
  <c r="E31" i="2"/>
  <c r="E358" i="2"/>
  <c r="E600" i="2"/>
  <c r="E55" i="2"/>
  <c r="E42" i="2"/>
  <c r="E132" i="2"/>
  <c r="E487" i="2"/>
  <c r="E520" i="2"/>
  <c r="E453" i="2"/>
  <c r="E440" i="2"/>
  <c r="E232" i="2"/>
  <c r="E416" i="2"/>
  <c r="E381" i="2"/>
  <c r="E122" i="2"/>
  <c r="E383" i="2"/>
  <c r="E247" i="2"/>
  <c r="E462" i="2"/>
  <c r="E281" i="2"/>
  <c r="E311" i="2"/>
  <c r="E82" i="2"/>
  <c r="E515" i="2"/>
  <c r="E273" i="2"/>
  <c r="E255" i="2"/>
  <c r="E404" i="2"/>
  <c r="E130" i="2"/>
  <c r="E380" i="2"/>
  <c r="E259" i="2"/>
  <c r="E461" i="2"/>
  <c r="E477" i="2"/>
  <c r="E330" i="2"/>
  <c r="E49" i="2"/>
  <c r="E104" i="2"/>
  <c r="E256" i="2"/>
  <c r="E432" i="2"/>
  <c r="E338" i="2"/>
  <c r="E570" i="2"/>
  <c r="E87" i="2"/>
  <c r="E646" i="2"/>
  <c r="E194" i="2"/>
  <c r="E61" i="2"/>
  <c r="E500" i="2"/>
  <c r="E464" i="2"/>
  <c r="E288" i="2"/>
  <c r="E488" i="2"/>
  <c r="E603" i="2"/>
  <c r="E296" i="2"/>
  <c r="E499" i="2"/>
  <c r="E69" i="2"/>
  <c r="E174" i="2"/>
  <c r="E574" i="2"/>
  <c r="E640" i="2"/>
  <c r="E218" i="2"/>
  <c r="E116" i="2"/>
  <c r="E81" i="2"/>
  <c r="E150" i="2"/>
  <c r="E614" i="2"/>
  <c r="E545" i="2"/>
  <c r="E340" i="2"/>
  <c r="E498" i="2"/>
  <c r="E282" i="2"/>
  <c r="E257" i="2"/>
  <c r="E491" i="2"/>
  <c r="E661" i="2"/>
  <c r="E101" i="2"/>
  <c r="E524" i="2"/>
  <c r="E652" i="2"/>
  <c r="E90" i="2"/>
  <c r="E610" i="2"/>
  <c r="E530" i="2"/>
  <c r="E502" i="2"/>
  <c r="E341" i="2"/>
  <c r="E78" i="2"/>
  <c r="E239" i="2"/>
  <c r="E553" i="2"/>
  <c r="E438" i="2"/>
  <c r="E639" i="2"/>
  <c r="E472" i="2"/>
  <c r="E303" i="2"/>
  <c r="E236" i="2"/>
  <c r="E270" i="2"/>
  <c r="E118" i="2"/>
  <c r="E89" i="2"/>
  <c r="E4" i="2"/>
  <c r="E258" i="2"/>
  <c r="E503" i="2"/>
  <c r="E241" i="2"/>
  <c r="E638" i="2"/>
  <c r="E668" i="2"/>
  <c r="E263" i="2"/>
  <c r="E526" i="2"/>
  <c r="E80" i="2"/>
  <c r="E665" i="2"/>
  <c r="E225" i="2"/>
  <c r="E223" i="2"/>
  <c r="E511" i="2"/>
  <c r="E152" i="2"/>
  <c r="E280" i="2"/>
  <c r="E518" i="2"/>
  <c r="E565" i="2"/>
  <c r="E205" i="2"/>
  <c r="E468" i="2"/>
  <c r="E277" i="2"/>
  <c r="E463" i="2"/>
  <c r="E322" i="2"/>
  <c r="E21" i="2"/>
  <c r="E111" i="2"/>
  <c r="E443" i="2"/>
  <c r="E266" i="2"/>
  <c r="E348" i="2"/>
  <c r="E611" i="2"/>
  <c r="E576" i="2"/>
  <c r="E106" i="2"/>
  <c r="E11" i="2"/>
  <c r="E622" i="2"/>
  <c r="E541" i="2"/>
  <c r="E119" i="2"/>
  <c r="E285" i="2"/>
  <c r="E158" i="2"/>
  <c r="E188" i="2"/>
  <c r="E228" i="2"/>
  <c r="E166" i="2"/>
  <c r="E353" i="2"/>
  <c r="E163" i="2"/>
  <c r="E529" i="2"/>
  <c r="E268" i="2"/>
  <c r="E86" i="2"/>
  <c r="E748" i="2"/>
  <c r="E159" i="2"/>
  <c r="E201" i="2"/>
  <c r="E226" i="2"/>
  <c r="E326" i="2"/>
  <c r="E360" i="2"/>
  <c r="E510" i="2"/>
  <c r="E105" i="2"/>
  <c r="E345" i="2"/>
  <c r="E664" i="2"/>
  <c r="E314" i="2"/>
  <c r="E647" i="2"/>
  <c r="E354" i="2"/>
  <c r="E373" i="2"/>
  <c r="E516" i="2"/>
  <c r="E663" i="2"/>
  <c r="E43" i="2"/>
  <c r="E141" i="2"/>
  <c r="E542" i="2"/>
  <c r="E117" i="2"/>
  <c r="E66" i="2"/>
  <c r="E535" i="2"/>
  <c r="E539" i="2"/>
  <c r="E306" i="2"/>
  <c r="E412" i="2"/>
  <c r="E425" i="2"/>
  <c r="E387" i="2"/>
  <c r="E190" i="2"/>
  <c r="E238" i="2"/>
  <c r="E200" i="2"/>
  <c r="E429" i="2"/>
  <c r="E171" i="2"/>
  <c r="E396" i="2"/>
  <c r="E265" i="2"/>
  <c r="E549" i="2"/>
  <c r="E178" i="2"/>
  <c r="E401" i="2"/>
  <c r="E63" i="2"/>
  <c r="E308" i="2"/>
  <c r="E606" i="2"/>
  <c r="D47" i="2" l="1"/>
  <c r="D84" i="2" s="1"/>
  <c r="D12" i="2"/>
  <c r="D36" i="2" s="1"/>
  <c r="D73" i="2" s="1"/>
  <c r="D23" i="2"/>
  <c r="D60" i="2" s="1"/>
  <c r="D13" i="2" l="1"/>
  <c r="D49" i="2" s="1"/>
  <c r="D86" i="2" s="1"/>
  <c r="D24" i="2"/>
  <c r="D61" i="2" s="1"/>
  <c r="D48" i="2"/>
  <c r="D85" i="2" s="1"/>
  <c r="E7" i="3" l="1"/>
  <c r="E6" i="3"/>
  <c r="D37" i="2"/>
  <c r="D74" i="2" s="1"/>
  <c r="D25" i="2"/>
  <c r="D62" i="2" s="1"/>
  <c r="E5" i="3" l="1"/>
  <c r="E4" i="3"/>
  <c r="E11" i="3"/>
  <c r="G42" i="3" s="1"/>
  <c r="E56" i="3" l="1"/>
  <c r="E42" i="3"/>
  <c r="E44" i="3" s="1"/>
  <c r="G36" i="3"/>
  <c r="E36" i="3" l="1"/>
  <c r="E24" i="3"/>
  <c r="E12" i="3"/>
  <c r="E43" i="3" l="1"/>
  <c r="E45" i="3" s="1"/>
</calcChain>
</file>

<file path=xl/sharedStrings.xml><?xml version="1.0" encoding="utf-8"?>
<sst xmlns="http://schemas.openxmlformats.org/spreadsheetml/2006/main" count="3497" uniqueCount="1056">
  <si>
    <t>Section</t>
  </si>
  <si>
    <t>Subsection</t>
  </si>
  <si>
    <t>Variable name</t>
  </si>
  <si>
    <t>Is Tunable By User?</t>
  </si>
  <si>
    <t>Min range</t>
  </si>
  <si>
    <t>Max range</t>
  </si>
  <si>
    <t>Unit</t>
  </si>
  <si>
    <t>Default Value</t>
  </si>
  <si>
    <t>Comments (note on the value, source of the default, etc.)</t>
  </si>
  <si>
    <t>No</t>
  </si>
  <si>
    <t>Yes</t>
  </si>
  <si>
    <t>Variable Name</t>
  </si>
  <si>
    <t>must be unique</t>
  </si>
  <si>
    <t>Formula</t>
  </si>
  <si>
    <t>optional</t>
  </si>
  <si>
    <t>only if tunable</t>
  </si>
  <si>
    <t>Mother impact</t>
  </si>
  <si>
    <t>Cohort</t>
  </si>
  <si>
    <t xml:space="preserve">With ongoing mental health problems </t>
  </si>
  <si>
    <t xml:space="preserve">Disability Adjusted Life Years </t>
  </si>
  <si>
    <t>Duration of perinatal mental health problems</t>
  </si>
  <si>
    <t>Yrs</t>
  </si>
  <si>
    <t>Disability weight for moderate depression</t>
  </si>
  <si>
    <t xml:space="preserve">Disability weight for severe depression </t>
  </si>
  <si>
    <t>Disability weight for moderate anxiety</t>
  </si>
  <si>
    <t>Years of Life Lost</t>
  </si>
  <si>
    <t>Number</t>
  </si>
  <si>
    <t>Percentage</t>
  </si>
  <si>
    <t>Weight</t>
  </si>
  <si>
    <t>Rate</t>
  </si>
  <si>
    <t>Weight for valuing DALY with GDP per capita</t>
  </si>
  <si>
    <t>Disability Adjusted Life Years</t>
  </si>
  <si>
    <t>Children impact</t>
  </si>
  <si>
    <t>Mortality probability (women aged 15 to 39yrs)</t>
  </si>
  <si>
    <t xml:space="preserve">Mortality probability during / after birth </t>
  </si>
  <si>
    <t>Number of women antenatal period</t>
  </si>
  <si>
    <t>Number of women postnatal period</t>
  </si>
  <si>
    <t>Number of women Year + 1</t>
  </si>
  <si>
    <t>Number of women Year + 2</t>
  </si>
  <si>
    <t>Number of women Year + 3</t>
  </si>
  <si>
    <t>Number of women Year + 4</t>
  </si>
  <si>
    <t>Number of women Year + 5</t>
  </si>
  <si>
    <t>Number of women Year + 6</t>
  </si>
  <si>
    <t>Number of women Year + 7</t>
  </si>
  <si>
    <t>Number of women Year + 8</t>
  </si>
  <si>
    <t>Number of women Year + 9</t>
  </si>
  <si>
    <t>Number of women Year + 10</t>
  </si>
  <si>
    <t xml:space="preserve">Women with moderate depression </t>
  </si>
  <si>
    <t xml:space="preserve">Number women moderately depressed antenatal </t>
  </si>
  <si>
    <t xml:space="preserve">Number women moderately depressed postnatal </t>
  </si>
  <si>
    <t>Number women moderately depressed Year +1</t>
  </si>
  <si>
    <t>Number women moderately depressed Year +2</t>
  </si>
  <si>
    <t>Number women moderately depressed Year +3</t>
  </si>
  <si>
    <t>Number women moderately depressed Year +4</t>
  </si>
  <si>
    <t>Number women moderately depressed Year +5</t>
  </si>
  <si>
    <t>Number women moderately depressed Year +6</t>
  </si>
  <si>
    <t>Number women moderately depressed Year +7</t>
  </si>
  <si>
    <t>Number women moderately depressed Year +8</t>
  </si>
  <si>
    <t>Number women moderately depressed Year +9</t>
  </si>
  <si>
    <t xml:space="preserve">Women with severe depression </t>
  </si>
  <si>
    <t>Prevalence postnatal depression (moderate or severe)</t>
  </si>
  <si>
    <t xml:space="preserve">Number women severely depressed antenatal </t>
  </si>
  <si>
    <t xml:space="preserve">Number women severly depressed postnatal </t>
  </si>
  <si>
    <t>Women with anxiety</t>
  </si>
  <si>
    <t>Number women anxious antenatal</t>
  </si>
  <si>
    <t>Number women anxious postnatal</t>
  </si>
  <si>
    <t>DALYs women moderately depresssed antenatal</t>
  </si>
  <si>
    <t>DALYs women moderately depresssed postnatal</t>
  </si>
  <si>
    <t>Discount rate +1</t>
  </si>
  <si>
    <t>DALYs women severely depresssed postnatal</t>
  </si>
  <si>
    <t>DALYs women severely depresssed Year +1</t>
  </si>
  <si>
    <t>DALYs women severely depresssed antenatal</t>
  </si>
  <si>
    <t>DALYs women anxious antenatal</t>
  </si>
  <si>
    <t>DALYs women anxious postnatal</t>
  </si>
  <si>
    <t>DALYs women anxious Year +1</t>
  </si>
  <si>
    <t>DALYs women anxious Year +2</t>
  </si>
  <si>
    <t>DALYs women anxious Year +3</t>
  </si>
  <si>
    <t>DALYs women anxious Year +4</t>
  </si>
  <si>
    <t>DALYs women anxious Year +5</t>
  </si>
  <si>
    <t>DALYs women anxious Year +6</t>
  </si>
  <si>
    <t>DALYs women anxious Year +7</t>
  </si>
  <si>
    <t>DALYs women anxious Year +8</t>
  </si>
  <si>
    <t>DALYs women anxious Year +9</t>
  </si>
  <si>
    <t>DALYs women anxious Year +10</t>
  </si>
  <si>
    <t>DALYs in USD</t>
  </si>
  <si>
    <t>DALYs women moderately depresssed antenatal, in USD</t>
  </si>
  <si>
    <t>DALYs women moderately depresssed postnatal, in USD</t>
  </si>
  <si>
    <t>DALYs women severely depresssed antenatal, in USD</t>
  </si>
  <si>
    <t>DALYs women severely depresssed postnatal, in USD</t>
  </si>
  <si>
    <t>DALYs women severely depresssed Year +1, in USD</t>
  </si>
  <si>
    <t>DALYs women anxious antenatal, in USD</t>
  </si>
  <si>
    <t>DALYs women anxious postnatal, in USD</t>
  </si>
  <si>
    <t>DALYs women anxious Year +1, in USD</t>
  </si>
  <si>
    <t>DALYs women anxious Year +2, in USD</t>
  </si>
  <si>
    <t>DALYs women anxious Year +3, in USD</t>
  </si>
  <si>
    <t>DALYs women anxious Year +4, in USD</t>
  </si>
  <si>
    <t>DALYs women anxious Year +5, in USD</t>
  </si>
  <si>
    <t>DALYs women anxious Year +6, in USD</t>
  </si>
  <si>
    <t>DALYs women anxious Year +7, in USD</t>
  </si>
  <si>
    <t>DALYs women anxious Year +8, in USD</t>
  </si>
  <si>
    <t>DALYs women anxious Year +9, in USD</t>
  </si>
  <si>
    <t>DALYs women anxious Year +10, in USD</t>
  </si>
  <si>
    <t>Discounting</t>
  </si>
  <si>
    <t xml:space="preserve">Mortality </t>
  </si>
  <si>
    <t>Mortality</t>
  </si>
  <si>
    <t>Probability</t>
  </si>
  <si>
    <t>GDP per capita (all)</t>
  </si>
  <si>
    <t xml:space="preserve">Women committing suicide </t>
  </si>
  <si>
    <t>Years of Life Lost due to suicide</t>
  </si>
  <si>
    <t>Suicide rate ante- and postnatal period (per 100,000)</t>
  </si>
  <si>
    <t>Number women moderately depressed Year +10</t>
  </si>
  <si>
    <t>Number women severly depressed Year +1</t>
  </si>
  <si>
    <t>Number women severly depressed Year +2</t>
  </si>
  <si>
    <t>Number women severly depressed Year +3</t>
  </si>
  <si>
    <t>Number women severly depressed Year +4</t>
  </si>
  <si>
    <t>Number women severly depressed Year +5</t>
  </si>
  <si>
    <t>Number women severly depressed Year +6</t>
  </si>
  <si>
    <t>Number women severly depressed Year +7</t>
  </si>
  <si>
    <t>Number women severly depressed Year +8</t>
  </si>
  <si>
    <t>Number women severly depressed Year +9</t>
  </si>
  <si>
    <t>Number women severly depressed Year +10</t>
  </si>
  <si>
    <t>Number women anxious Year +1</t>
  </si>
  <si>
    <t>Number women anxious Year +2</t>
  </si>
  <si>
    <t>Number women anxious Year +3</t>
  </si>
  <si>
    <t>Number women anxious Year +4</t>
  </si>
  <si>
    <t>Number women anxious Year +5</t>
  </si>
  <si>
    <t>Number women anxious Year +6</t>
  </si>
  <si>
    <t>Number women anxious Year +7</t>
  </si>
  <si>
    <t>Number women anxious Year +8</t>
  </si>
  <si>
    <t>Number women anxious Year +9</t>
  </si>
  <si>
    <t>Number women anxious Year +10</t>
  </si>
  <si>
    <t>Income loss women anxiety antenatal</t>
  </si>
  <si>
    <t>Income loss women anxiety postnatal</t>
  </si>
  <si>
    <t>Income loss women anxiety Year +1</t>
  </si>
  <si>
    <t>Income loss women anxiety Year +2</t>
  </si>
  <si>
    <t>Income loss women anxiety Year +3</t>
  </si>
  <si>
    <t>Income loss women anxiety Year +4</t>
  </si>
  <si>
    <t>Income loss women anxiety Year +5</t>
  </si>
  <si>
    <t>Income loss women anxiety Year +6</t>
  </si>
  <si>
    <t>Income loss women anxiety Year +7</t>
  </si>
  <si>
    <t>Income loss women anxiety Year +8</t>
  </si>
  <si>
    <t>Income loss women anxiety Year +9</t>
  </si>
  <si>
    <t>Income loss women anxiety Year +10</t>
  </si>
  <si>
    <t>Formula expanded</t>
  </si>
  <si>
    <t>Proportion of antenatal depression that is moderate depression</t>
  </si>
  <si>
    <t>Proportion of antenatal depression that is severe depression</t>
  </si>
  <si>
    <t>Proportion of postnatal depression that is moderate depression</t>
  </si>
  <si>
    <t>Proportion of postnatal depression that is severe depression</t>
  </si>
  <si>
    <t xml:space="preserve">Prevalence / probability ongoing depression </t>
  </si>
  <si>
    <t>Value for quality of life loss</t>
  </si>
  <si>
    <t>Number women committing suicide ante- and postnatal</t>
  </si>
  <si>
    <t>DALYs women moderately depresssed Year +1</t>
  </si>
  <si>
    <t>DALYs women moderately depresssed Year +2</t>
  </si>
  <si>
    <t>DALYs women committing suicide ante and postnatal</t>
  </si>
  <si>
    <t>DALYs women severely depresssed Year +2, in USD</t>
  </si>
  <si>
    <t>DALYs women severely depresssed Year +3, in USD</t>
  </si>
  <si>
    <t>DALYs women severely depresssed Year +4, in USD</t>
  </si>
  <si>
    <t>DALYs women severely depresssed Year +5, in USD</t>
  </si>
  <si>
    <t>DALYs women severely depresssed Year +6, in USD</t>
  </si>
  <si>
    <t>DALYs women severely depresssed Year +7, in USD</t>
  </si>
  <si>
    <t>DALYs women severely depresssed Year +8, in USD</t>
  </si>
  <si>
    <t>DALYs women severely depresssed Year +9, in USD</t>
  </si>
  <si>
    <t>DALYs women severely depresssed Year +10, in USD</t>
  </si>
  <si>
    <t>DALYs women moderately depresssed Year +1, in USD</t>
  </si>
  <si>
    <t>DALYs women severely depresssed Year +2</t>
  </si>
  <si>
    <t>DALYs women severely depresssed Year +3</t>
  </si>
  <si>
    <t>DALYs women moderately depresssed Year +3</t>
  </si>
  <si>
    <t>DALYs women moderately depresssed Year +4</t>
  </si>
  <si>
    <t>DALYs women moderately depresssed Year +5</t>
  </si>
  <si>
    <t>DALYs women moderately depresssed Year +6</t>
  </si>
  <si>
    <t>DALYs women moderately depresssed Year +7</t>
  </si>
  <si>
    <t>DALYs women moderately depresssed Year +8</t>
  </si>
  <si>
    <t>DALYs women moderately depresssed Year +9</t>
  </si>
  <si>
    <t>DALYs women moderately depresssed Year +10</t>
  </si>
  <si>
    <t>DALYs women severely depresssed Year +4</t>
  </si>
  <si>
    <t>DALYs women severely depresssed Year +5</t>
  </si>
  <si>
    <t>DALYs women severely depresssed Year +6</t>
  </si>
  <si>
    <t>DALYs women severely depresssed Year +7</t>
  </si>
  <si>
    <t>DALYs women severely depresssed Year +8</t>
  </si>
  <si>
    <t>DALYs women severely depresssed Year +9</t>
  </si>
  <si>
    <t>DALYs women severely depresssed Year +10</t>
  </si>
  <si>
    <t>DALYs women moderately depresssed Year +2, in USD</t>
  </si>
  <si>
    <t>DALYs women moderately depresssed Year +3, in USD</t>
  </si>
  <si>
    <t>DALYs women moderately depresssed Year +4, in USD</t>
  </si>
  <si>
    <t>DALYs women moderately depresssed Year +5, in USD</t>
  </si>
  <si>
    <t>DALYs women moderately depresssed Year +6, in USD</t>
  </si>
  <si>
    <t>DALYs women moderately depresssed Year +7, in USD</t>
  </si>
  <si>
    <t>DALYs women moderately depresssed Year +8, in USD</t>
  </si>
  <si>
    <t>DALYs women moderately depresssed Year +9, in USD</t>
  </si>
  <si>
    <t>DALYs women moderately depresssed Year +10, in USD</t>
  </si>
  <si>
    <t>DALYs discounted</t>
  </si>
  <si>
    <t>Income loss depression discounted</t>
  </si>
  <si>
    <t>Income loss anxiety discounted</t>
  </si>
  <si>
    <t>Years for calculating child impact</t>
  </si>
  <si>
    <t>Life year 1</t>
  </si>
  <si>
    <t>Life year 2</t>
  </si>
  <si>
    <t>Life year 3</t>
  </si>
  <si>
    <t>Life year 4</t>
  </si>
  <si>
    <t>Life year 5</t>
  </si>
  <si>
    <t>Life year 6</t>
  </si>
  <si>
    <t>Life year 7</t>
  </si>
  <si>
    <t>Life year 8</t>
  </si>
  <si>
    <t>Life year 9</t>
  </si>
  <si>
    <t>Life year 10</t>
  </si>
  <si>
    <t>Life year 11</t>
  </si>
  <si>
    <t>Life year 12</t>
  </si>
  <si>
    <t>Life year 13</t>
  </si>
  <si>
    <t>Life year 14</t>
  </si>
  <si>
    <t>Life year 15</t>
  </si>
  <si>
    <t>Life year 16</t>
  </si>
  <si>
    <t>Life year 17</t>
  </si>
  <si>
    <t>Life year 18</t>
  </si>
  <si>
    <t>Life year 19</t>
  </si>
  <si>
    <t>Life year 20</t>
  </si>
  <si>
    <t>Life year 21</t>
  </si>
  <si>
    <t>Life year 22</t>
  </si>
  <si>
    <t>Life year 23</t>
  </si>
  <si>
    <t>Life year 24</t>
  </si>
  <si>
    <t>Life year 25</t>
  </si>
  <si>
    <t>Life year 26</t>
  </si>
  <si>
    <t>Life year 27</t>
  </si>
  <si>
    <t>Life year 28</t>
  </si>
  <si>
    <t>Life year 29</t>
  </si>
  <si>
    <t>Life year 30</t>
  </si>
  <si>
    <t>Life year 31</t>
  </si>
  <si>
    <t>Life year 32</t>
  </si>
  <si>
    <t>Life year 33</t>
  </si>
  <si>
    <t>Life year 34</t>
  </si>
  <si>
    <t>Life year 35</t>
  </si>
  <si>
    <t>Life year 36</t>
  </si>
  <si>
    <t>Life year 37</t>
  </si>
  <si>
    <t>Life year 38</t>
  </si>
  <si>
    <t>Life year 39</t>
  </si>
  <si>
    <t>Life year 40</t>
  </si>
  <si>
    <t>Year</t>
  </si>
  <si>
    <t xml:space="preserve">Quality Adjusted Life Years </t>
  </si>
  <si>
    <t>we can't derive this</t>
  </si>
  <si>
    <t>Income decrement depression women per year, in USD</t>
  </si>
  <si>
    <t>Income decrement anxiety women per year, in USD</t>
  </si>
  <si>
    <t>Mothers impact</t>
  </si>
  <si>
    <t>Mothers + children impact</t>
  </si>
  <si>
    <t>Health utility weight for moderate depression</t>
  </si>
  <si>
    <t xml:space="preserve">Health utility weight for severe depression </t>
  </si>
  <si>
    <t>Exchange rate Thai Bat USD</t>
  </si>
  <si>
    <t>Exchange rate</t>
  </si>
  <si>
    <t>e.g., Calculated by muliplying birth rate w population</t>
  </si>
  <si>
    <t>Still birth rate (per 1,000)</t>
  </si>
  <si>
    <t>Health utility weight for moderate anxiety</t>
  </si>
  <si>
    <t>Exposure</t>
  </si>
  <si>
    <t>Valuing quality of life loss, in USD</t>
  </si>
  <si>
    <t>Valuing productivity loss, in USD</t>
  </si>
  <si>
    <t>GDP per capita</t>
  </si>
  <si>
    <t>Number of additional children outcome 1 Age 0 - 1</t>
  </si>
  <si>
    <t>Prevalence of perinatal mental health condition impacting on child outcome 1 PRTB</t>
  </si>
  <si>
    <t>Prevalence of perinatal mental health condition impacting on child outcome 3 HOSP</t>
  </si>
  <si>
    <t>Prevalence of perinatal mental health condition impacting on child outcome 5 ASTH</t>
  </si>
  <si>
    <t>Prevalence of perinatal mental health condition impacting on child outcome 4 DIARRH</t>
  </si>
  <si>
    <t>Prevalence of perinatal mental health condition impacting on child outcome 6 LRTI</t>
  </si>
  <si>
    <t>Prevalence of perinatal mental health condition impacting on child outcome 7 STUNT</t>
  </si>
  <si>
    <t>Prevalence of perinatal mental health condition impacting on child outcome 8 WAST</t>
  </si>
  <si>
    <t>Prevalence of perinatal mental health condition impacting on child outcome 9 CD</t>
  </si>
  <si>
    <t>Prevalence of perinatal mental health condition impacting on child outcome 10 AD</t>
  </si>
  <si>
    <t>Prevalence of perinatal mental health condition impacting on child outcome 11 ED</t>
  </si>
  <si>
    <t>PRTB = pre-term birth</t>
  </si>
  <si>
    <t>LBW = low birth weight</t>
  </si>
  <si>
    <t>HOSP = hospitalisation</t>
  </si>
  <si>
    <t>DIARRH = diarrhoea</t>
  </si>
  <si>
    <t>ASTH = asthma/ severe recurring wheezing</t>
  </si>
  <si>
    <t>LRTI = lower respiratory tract infections</t>
  </si>
  <si>
    <t>STUNT = stunting</t>
  </si>
  <si>
    <t>WAST = wasting</t>
  </si>
  <si>
    <t>CD = conduct disorder</t>
  </si>
  <si>
    <t>AD = attention disorder</t>
  </si>
  <si>
    <t>ED = emotional disorder</t>
  </si>
  <si>
    <t>Prevalence of perinatal mental health condition impacting on child outcome 2 LBW</t>
  </si>
  <si>
    <t>Disability weight outcome 5 ASTH</t>
  </si>
  <si>
    <t>Income decrement outcomes 9 to 11</t>
  </si>
  <si>
    <t>QALYs loss lifetime total outcome 2 LBW</t>
  </si>
  <si>
    <t>DALYs lifetime total outcome 2 LBW</t>
  </si>
  <si>
    <t>Number of additional children outcome 2 Age 0 - 1</t>
  </si>
  <si>
    <t>Number of additional children outcome 3 Age 0 - 1</t>
  </si>
  <si>
    <t>Number of additional children outcome 4 Age 0 -1</t>
  </si>
  <si>
    <t>Number of additional children outcome 5 Age 0 - 1</t>
  </si>
  <si>
    <t>Number of additional children outcome 6 Age 0 - 1</t>
  </si>
  <si>
    <t>Number of additional children outcome 7 Age 0 - 1</t>
  </si>
  <si>
    <t>Number of additional children outcome 8 Age 0 - 1</t>
  </si>
  <si>
    <t>Number of additional children outcome 9 Age 0 - 1</t>
  </si>
  <si>
    <t>Number of additional children outcome 10 Age 0 - 1</t>
  </si>
  <si>
    <t>Number of additional children outcome 11 Age 0 - 1</t>
  </si>
  <si>
    <t xml:space="preserve">Children 0 to 1 with problems due to exposure </t>
  </si>
  <si>
    <t xml:space="preserve">Children 1 onwards with problems due to exposure </t>
  </si>
  <si>
    <t>Number of additional children outcome 7 Age 2</t>
  </si>
  <si>
    <t>Number of additional children outcome 7 Age 3</t>
  </si>
  <si>
    <t>Number of additional children outcome 7 Age 4</t>
  </si>
  <si>
    <t>Number of additional children outcome 7 Age 5</t>
  </si>
  <si>
    <t>Number of additional children outcome 7 Age 6</t>
  </si>
  <si>
    <t>Number of additional children outcome 7 Age 7</t>
  </si>
  <si>
    <t>Number of additional children outcome 7 Age 8</t>
  </si>
  <si>
    <t>Number of additional children outcome 7 Age 9</t>
  </si>
  <si>
    <t>Number of additional children outcome 7 Age 10</t>
  </si>
  <si>
    <t>Number of additional children outcome 7 Age 11</t>
  </si>
  <si>
    <t>Number of additional children outcome 7 Age 12</t>
  </si>
  <si>
    <t>Number of additional children outcome 7 Age 13</t>
  </si>
  <si>
    <t>Number of additional children outcome 7 Age 14</t>
  </si>
  <si>
    <t>Number of additional children outcome 7 Age 15</t>
  </si>
  <si>
    <t>Number of additional children outcome 7 Age 16</t>
  </si>
  <si>
    <t>Number of additional children outcome 7 Age 17</t>
  </si>
  <si>
    <t>Number of additional children outcome 7 Age 18</t>
  </si>
  <si>
    <t>Number of additional children outcome 7 Age 19</t>
  </si>
  <si>
    <t>Number of additional children outcome 7 Age 20</t>
  </si>
  <si>
    <t>Number of additional children outcome 7 Age 21</t>
  </si>
  <si>
    <t>Number of additional children outcome 7 Age 22</t>
  </si>
  <si>
    <t>Number of additional children outcome 7 Age 23</t>
  </si>
  <si>
    <t>Number of additional children outcome 7 Age 24</t>
  </si>
  <si>
    <t>Number of additional children outcome 7 Age 25</t>
  </si>
  <si>
    <t>Number of additional children outcome 7 Age 26</t>
  </si>
  <si>
    <t>Number of additional children outcome 7 Age 27</t>
  </si>
  <si>
    <t>Number of additional children outcome 7 Age 28</t>
  </si>
  <si>
    <t>Number of additional children outcome 7 Age 29</t>
  </si>
  <si>
    <t>Number of additional children outcome 7 Age 30</t>
  </si>
  <si>
    <t>Number of additional children outcome 7 Age 31</t>
  </si>
  <si>
    <t>Number of additional children outcome 7 Age 32</t>
  </si>
  <si>
    <t>Number of additional children outcome 7 Age 33</t>
  </si>
  <si>
    <t>Number of additional children outcome 7 Age 34</t>
  </si>
  <si>
    <t>Number of additional children outcome 7 Age 35</t>
  </si>
  <si>
    <t>Number of additional children outcome 7 Age 36</t>
  </si>
  <si>
    <t>Number of additional children outcome 7 Age 37</t>
  </si>
  <si>
    <t>Number of additional children outcome 7 Age 38</t>
  </si>
  <si>
    <t>Number of additional children outcome 7 Age 39</t>
  </si>
  <si>
    <t>Number of additional children outcome 7 Age 40</t>
  </si>
  <si>
    <t>Number of additional children outcome 8 Age 2</t>
  </si>
  <si>
    <t>Number of additional children outcome 8 Age 3</t>
  </si>
  <si>
    <t>Number of additional children outcome 8 Age 4</t>
  </si>
  <si>
    <t>Number of additional children outcome 8 Age 5</t>
  </si>
  <si>
    <t>Number of additional children outcome 8 Age 6</t>
  </si>
  <si>
    <t>Number of additional children outcome 8 Age 7</t>
  </si>
  <si>
    <t>Number of additional children outcome 8 Age 8</t>
  </si>
  <si>
    <t>Number of additional children outcome 8 Age 9</t>
  </si>
  <si>
    <t>Number of additional children outcome 8 Age 10</t>
  </si>
  <si>
    <t>Number of additional children outcome 8 Age 11</t>
  </si>
  <si>
    <t>Number of additional children outcome 8 Age 12</t>
  </si>
  <si>
    <t>Number of additional children outcome 8 Age 13</t>
  </si>
  <si>
    <t>Number of additional children outcome 8 Age 14</t>
  </si>
  <si>
    <t>Number of additional children outcome 8 Age 15</t>
  </si>
  <si>
    <t>Number of additional children outcome 8 Age 16</t>
  </si>
  <si>
    <t>Number of additional children outcome 8 Age 17</t>
  </si>
  <si>
    <t>Number of additional children outcome 8 Age 18</t>
  </si>
  <si>
    <t>Number of additional children outcome 8 Age 19</t>
  </si>
  <si>
    <t>Number of additional children outcome 8 Age 20</t>
  </si>
  <si>
    <t>Number of additional children outcome 8 Age 21</t>
  </si>
  <si>
    <t>Number of additional children outcome 8 Age 22</t>
  </si>
  <si>
    <t>Number of additional children outcome 8 Age 23</t>
  </si>
  <si>
    <t>Number of additional children outcome 8 Age 24</t>
  </si>
  <si>
    <t>Number of additional children outcome 8 Age 25</t>
  </si>
  <si>
    <t>Number of additional children outcome 8 Age 26</t>
  </si>
  <si>
    <t>Number of additional children outcome 8 Age 27</t>
  </si>
  <si>
    <t>Number of additional children outcome 8 Age 28</t>
  </si>
  <si>
    <t>Number of additional children outcome 8 Age 29</t>
  </si>
  <si>
    <t>Number of additional children outcome 8 Age 30</t>
  </si>
  <si>
    <t>Number of additional children outcome 8 Age 31</t>
  </si>
  <si>
    <t>Number of additional children outcome 8 Age 32</t>
  </si>
  <si>
    <t>Number of additional children outcome 8 Age 33</t>
  </si>
  <si>
    <t>Number of additional children outcome 8 Age 34</t>
  </si>
  <si>
    <t>Number of additional children outcome 8 Age 35</t>
  </si>
  <si>
    <t>Number of additional children outcome 8 Age 36</t>
  </si>
  <si>
    <t>Number of additional children outcome 8 Age 37</t>
  </si>
  <si>
    <t>Number of additional children outcome 8 Age 38</t>
  </si>
  <si>
    <t>Number of additional children outcome 8 Age 39</t>
  </si>
  <si>
    <t>Number of additional children outcome 8 Age 40</t>
  </si>
  <si>
    <t>Number of additional children outcome 9 Age 2</t>
  </si>
  <si>
    <t>Number of additional children outcome 9 Age 3</t>
  </si>
  <si>
    <t>Number of additional children outcome 9 Age 4</t>
  </si>
  <si>
    <t>Number of additional children outcome 9 Age 5</t>
  </si>
  <si>
    <t>Number of additional children outcome 9 Age 6</t>
  </si>
  <si>
    <t>Number of additional children outcome 9 Age 7</t>
  </si>
  <si>
    <t>Number of additional children outcome 9 Age 8</t>
  </si>
  <si>
    <t>Number of additional children outcome 9 Age 9</t>
  </si>
  <si>
    <t>Number of additional children outcome 9 Age 10</t>
  </si>
  <si>
    <t>Number of additional children outcome 9 Age 11</t>
  </si>
  <si>
    <t>Number of additional children outcome 9 Age 12</t>
  </si>
  <si>
    <t>Number of additional children outcome 9 Age 13</t>
  </si>
  <si>
    <t>Number of additional children outcome 9 Age 14</t>
  </si>
  <si>
    <t>Number of additional children outcome 9 Age 15</t>
  </si>
  <si>
    <t>Number of additional children outcome 9 Age 16</t>
  </si>
  <si>
    <t>Number of additional children outcome 9 Age 17</t>
  </si>
  <si>
    <t>Number of additional children outcome 9 Age 18</t>
  </si>
  <si>
    <t>Number of additional children outcome 9 Age 19</t>
  </si>
  <si>
    <t>Number of additional children outcome 9 Age 20</t>
  </si>
  <si>
    <t>Number of additional children outcome 9 Age 21</t>
  </si>
  <si>
    <t>Number of additional children outcome 9 Age 22</t>
  </si>
  <si>
    <t>Number of additional children outcome 9 Age 23</t>
  </si>
  <si>
    <t>Number of additional children outcome 9 Age 24</t>
  </si>
  <si>
    <t>Number of additional children outcome 9 Age 25</t>
  </si>
  <si>
    <t>Number of additional children outcome 9 Age 26</t>
  </si>
  <si>
    <t>Number of additional children outcome 9 Age 27</t>
  </si>
  <si>
    <t>Number of additional children outcome 9 Age 28</t>
  </si>
  <si>
    <t>Number of additional children outcome 9 Age 29</t>
  </si>
  <si>
    <t>Number of additional children outcome 9 Age 30</t>
  </si>
  <si>
    <t>Number of additional children outcome 9 Age 31</t>
  </si>
  <si>
    <t>Number of additional children outcome 9 Age 32</t>
  </si>
  <si>
    <t>Number of additional children outcome 9 Age 33</t>
  </si>
  <si>
    <t>Number of additional children outcome 9 Age 34</t>
  </si>
  <si>
    <t>Number of additional children outcome 9 Age 35</t>
  </si>
  <si>
    <t>Number of additional children outcome 9 Age 36</t>
  </si>
  <si>
    <t>Number of additional children outcome 9 Age 37</t>
  </si>
  <si>
    <t>Number of additional children outcome 9 Age 38</t>
  </si>
  <si>
    <t>Number of additional children outcome 9 Age 39</t>
  </si>
  <si>
    <t>Number of additional children outcome 9 Age 40</t>
  </si>
  <si>
    <t>Number of additional children outcome 10 Age 2</t>
  </si>
  <si>
    <t>Number of additional children outcome 10 Age 3</t>
  </si>
  <si>
    <t>Number of additional children outcome 10 Age 4</t>
  </si>
  <si>
    <t>Number of additional children outcome 10 Age 5</t>
  </si>
  <si>
    <t>Number of additional children outcome 10 Age 6</t>
  </si>
  <si>
    <t>Number of additional children outcome 10 Age 7</t>
  </si>
  <si>
    <t>Number of additional children outcome 10 Age 8</t>
  </si>
  <si>
    <t>Number of additional children outcome 10 Age 9</t>
  </si>
  <si>
    <t>Number of additional children outcome 10 Age 10</t>
  </si>
  <si>
    <t>Number of additional children outcome 10 Age 11</t>
  </si>
  <si>
    <t>Number of additional children outcome 10 Age 12</t>
  </si>
  <si>
    <t>Number of additional children outcome 10 Age 13</t>
  </si>
  <si>
    <t>Number of additional children outcome 10 Age 14</t>
  </si>
  <si>
    <t>Number of additional children outcome 10 Age 15</t>
  </si>
  <si>
    <t>Number of additional children outcome 10 Age 16</t>
  </si>
  <si>
    <t>Number of additional children outcome 10 Age 17</t>
  </si>
  <si>
    <t>Number of additional children outcome 10 Age 18</t>
  </si>
  <si>
    <t>Number of additional children outcome 10 Age 19</t>
  </si>
  <si>
    <t>Number of additional children outcome 10 Age 20</t>
  </si>
  <si>
    <t>Number of additional children outcome 10 Age 21</t>
  </si>
  <si>
    <t>Number of additional children outcome 10 Age 22</t>
  </si>
  <si>
    <t>Number of additional children outcome 10 Age 23</t>
  </si>
  <si>
    <t>Number of additional children outcome 10 Age 24</t>
  </si>
  <si>
    <t>Number of additional children outcome 10 Age 25</t>
  </si>
  <si>
    <t>Number of additional children outcome 10 Age 26</t>
  </si>
  <si>
    <t>Number of additional children outcome 10 Age 27</t>
  </si>
  <si>
    <t>Number of additional children outcome 10 Age 28</t>
  </si>
  <si>
    <t>Number of additional children outcome 10 Age 29</t>
  </si>
  <si>
    <t>Number of additional children outcome 10 Age 30</t>
  </si>
  <si>
    <t>Number of additional children outcome 10 Age 31</t>
  </si>
  <si>
    <t>Number of additional children outcome 10 Age 32</t>
  </si>
  <si>
    <t>Number of additional children outcome 10 Age 33</t>
  </si>
  <si>
    <t>Number of additional children outcome 10 Age 34</t>
  </si>
  <si>
    <t>Number of additional children outcome 10 Age 35</t>
  </si>
  <si>
    <t>Number of additional children outcome 10 Age 36</t>
  </si>
  <si>
    <t>Number of additional children outcome 10 Age 37</t>
  </si>
  <si>
    <t>Number of additional children outcome 10 Age 38</t>
  </si>
  <si>
    <t>Number of additional children outcome 10 Age 39</t>
  </si>
  <si>
    <t>Number of additional children outcome 10 Age 40</t>
  </si>
  <si>
    <t>Number of additional children outcome 11 Age 2</t>
  </si>
  <si>
    <t>Number of additional children outcome 11 Age 3</t>
  </si>
  <si>
    <t>Number of additional children outcome 11 Age 4</t>
  </si>
  <si>
    <t>Number of additional children outcome 11 Age 5</t>
  </si>
  <si>
    <t>Number of additional children outcome 11 Age 6</t>
  </si>
  <si>
    <t>Number of additional children outcome 11 Age 7</t>
  </si>
  <si>
    <t>Number of additional children outcome 11 Age 8</t>
  </si>
  <si>
    <t>Number of additional children outcome 11 Age 9</t>
  </si>
  <si>
    <t>Number of additional children outcome 11 Age 10</t>
  </si>
  <si>
    <t>Number of additional children outcome 11 Age 11</t>
  </si>
  <si>
    <t>Number of additional children outcome 11 Age 12</t>
  </si>
  <si>
    <t>Number of additional children outcome 11 Age 13</t>
  </si>
  <si>
    <t>Number of additional children outcome 11 Age 14</t>
  </si>
  <si>
    <t>Number of additional children outcome 11 Age 15</t>
  </si>
  <si>
    <t>Number of additional children outcome 11 Age 16</t>
  </si>
  <si>
    <t>Number of additional children outcome 11 Age 17</t>
  </si>
  <si>
    <t>Number of additional children outcome 11 Age 18</t>
  </si>
  <si>
    <t>Number of additional children outcome 11 Age 19</t>
  </si>
  <si>
    <t>Number of additional children outcome 11 Age 20</t>
  </si>
  <si>
    <t>Number of additional children outcome 11 Age 21</t>
  </si>
  <si>
    <t>Number of additional children outcome 11 Age 22</t>
  </si>
  <si>
    <t>Number of additional children outcome 11 Age 23</t>
  </si>
  <si>
    <t>Number of additional children outcome 11 Age 24</t>
  </si>
  <si>
    <t>Number of additional children outcome 11 Age 25</t>
  </si>
  <si>
    <t>Number of additional children outcome 11 Age 26</t>
  </si>
  <si>
    <t>Number of additional children outcome 11 Age 27</t>
  </si>
  <si>
    <t>Number of additional children outcome 11 Age 28</t>
  </si>
  <si>
    <t>Number of additional children outcome 11 Age 29</t>
  </si>
  <si>
    <t>Number of additional children outcome 11 Age 30</t>
  </si>
  <si>
    <t>Number of additional children outcome 11 Age 31</t>
  </si>
  <si>
    <t>Number of additional children outcome 11 Age 32</t>
  </si>
  <si>
    <t>Number of additional children outcome 11 Age 33</t>
  </si>
  <si>
    <t>Number of additional children outcome 11 Age 34</t>
  </si>
  <si>
    <t>Number of additional children outcome 11 Age 35</t>
  </si>
  <si>
    <t>Number of additional children outcome 11 Age 36</t>
  </si>
  <si>
    <t>Number of additional children outcome 11 Age 37</t>
  </si>
  <si>
    <t>Number of additional children outcome 11 Age 38</t>
  </si>
  <si>
    <t>Number of additional children outcome 11 Age 39</t>
  </si>
  <si>
    <t>Number of additional children outcome 11 Age 40</t>
  </si>
  <si>
    <t>refers to short-term costs in 1st year per average child with that problem (i.e. reflects a probabilty that child is being treated fore the problem)</t>
  </si>
  <si>
    <t>Health utility weight (HUW) outcome 5 ASTH</t>
  </si>
  <si>
    <t>Health utility weight outcome 6 LRTI</t>
  </si>
  <si>
    <t>Health utility weight outcome 8 WAST</t>
  </si>
  <si>
    <t>Health utility weight outcome 9 CD</t>
  </si>
  <si>
    <t>Health utility weight outcome 10 AD</t>
  </si>
  <si>
    <t>Health utility weight outcome 11 ED</t>
  </si>
  <si>
    <t>Disability weight outcome 6 LRTI</t>
  </si>
  <si>
    <t>DALYs children outcome 2 LBW Lifetime</t>
  </si>
  <si>
    <t xml:space="preserve">Children impact </t>
  </si>
  <si>
    <t>DALYs children  outcome 8 Age 5</t>
  </si>
  <si>
    <t>DALYs children  outcome 8 Age 6</t>
  </si>
  <si>
    <t>DALYs children  outcome 8 Age 7</t>
  </si>
  <si>
    <t>DALYs children  outcome 8 Age 8</t>
  </si>
  <si>
    <t>DALYs children  outcome 8 Age 9</t>
  </si>
  <si>
    <t>DALYs children  outcome 8 Age 10</t>
  </si>
  <si>
    <t>DALYs children  outcome 8 Age 11</t>
  </si>
  <si>
    <t>DALYs children  outcome 8 Age 12</t>
  </si>
  <si>
    <t>DALYs children  outcome 8 Age 13</t>
  </si>
  <si>
    <t>DALYs children  outcome 8 Age 14</t>
  </si>
  <si>
    <t>DALYs children  outcome 8 Age 15</t>
  </si>
  <si>
    <t>DALYs children  outcome 8 Age 16</t>
  </si>
  <si>
    <t>DALYs children  outcome 8 Age 17</t>
  </si>
  <si>
    <t>DALYs children  outcome 8 Age 18</t>
  </si>
  <si>
    <t>DALYs children  outcome 8 Age 19</t>
  </si>
  <si>
    <t>DALYs children  outcome 8 Age 20</t>
  </si>
  <si>
    <t>DALYs children  outcome 8 Age 21</t>
  </si>
  <si>
    <t>DALYs children  outcome 8 Age 22</t>
  </si>
  <si>
    <t>DALYs children  outcome 8 Age 23</t>
  </si>
  <si>
    <t>DALYs children  outcome 8 Age 24</t>
  </si>
  <si>
    <t>DALYs children  outcome 8 Age 25</t>
  </si>
  <si>
    <t>DALYs children  outcome 8 Age 26</t>
  </si>
  <si>
    <t>DALYs children  outcome 8 Age 27</t>
  </si>
  <si>
    <t>DALYs children  outcome 8 Age 28</t>
  </si>
  <si>
    <t>DALYs children  outcome 8 Age 29</t>
  </si>
  <si>
    <t>DALYs children  outcome 8 Age 30</t>
  </si>
  <si>
    <t>DALYs children  outcome 8 Age 31</t>
  </si>
  <si>
    <t>DALYs children  outcome 8 Age 32</t>
  </si>
  <si>
    <t>DALYs children  outcome 8 Age 33</t>
  </si>
  <si>
    <t>DALYs children  outcome 8 Age 34</t>
  </si>
  <si>
    <t>DALYs children  outcome 8 Age 35</t>
  </si>
  <si>
    <t>DALYs children  outcome 8 Age 36</t>
  </si>
  <si>
    <t>DALYs children  outcome 8 Age 37</t>
  </si>
  <si>
    <t>DALYs children  outcome 8 Age 38</t>
  </si>
  <si>
    <t>DALYs children  outcome 8 Age 39</t>
  </si>
  <si>
    <t>DALYs children  outcome 8 Age 40</t>
  </si>
  <si>
    <t>Income loss children outcome 7 Age 16</t>
  </si>
  <si>
    <t>Income loss children outcome 7 Age 17</t>
  </si>
  <si>
    <t>Income loss children outcome 7 Age 18</t>
  </si>
  <si>
    <t>Income loss children outcome 7 Age 19</t>
  </si>
  <si>
    <t>Income loss children outcome 7 Age 20</t>
  </si>
  <si>
    <t>Income loss children outcome 7 Age 21</t>
  </si>
  <si>
    <t>Income loss children outcome 7 Age 22</t>
  </si>
  <si>
    <t>Income loss children outcome 7 Age 23</t>
  </si>
  <si>
    <t>Income loss children outcome 7 Age 24</t>
  </si>
  <si>
    <t>Income loss children outcome 7 Age 25</t>
  </si>
  <si>
    <t>Income loss children outcome 7 Age 26</t>
  </si>
  <si>
    <t>Income loss children outcome 7 Age 27</t>
  </si>
  <si>
    <t>Income loss children outcome 7 Age 28</t>
  </si>
  <si>
    <t>Income loss children outcome 7 Age 29</t>
  </si>
  <si>
    <t>Income loss children outcome 7 Age 30</t>
  </si>
  <si>
    <t>Income loss children outcome 7 Age 31</t>
  </si>
  <si>
    <t>Income loss children outcome 7 Age 32</t>
  </si>
  <si>
    <t>Income loss children outcome 7 Age 33</t>
  </si>
  <si>
    <t>Income loss children outcome 7 Age 34</t>
  </si>
  <si>
    <t>Income loss children outcome 7 Age 35</t>
  </si>
  <si>
    <t>Income loss children outcome 7 Age 36</t>
  </si>
  <si>
    <t>Income loss children outcome 7 Age 37</t>
  </si>
  <si>
    <t>Income loss children outcome 7 Age 38</t>
  </si>
  <si>
    <t>Income loss children outcome 7 Age 39</t>
  </si>
  <si>
    <t>Income loss children outcome 7 Age 40</t>
  </si>
  <si>
    <t>DALYs children  outcome 9 Age 5</t>
  </si>
  <si>
    <t>DALYs children  outcome 9 Age 6</t>
  </si>
  <si>
    <t>DALYs children  outcome 9 Age 7</t>
  </si>
  <si>
    <t>DALYs children  outcome 9 Age 8</t>
  </si>
  <si>
    <t>DALYs children  outcome 9 Age 9</t>
  </si>
  <si>
    <t>DALYs children  outcome 9 Age 10</t>
  </si>
  <si>
    <t>DALYs children  outcome 9 Age 11</t>
  </si>
  <si>
    <t>DALYs children  outcome 9 Age 12</t>
  </si>
  <si>
    <t>DALYs children  outcome 9 Age 13</t>
  </si>
  <si>
    <t>DALYs children  outcome 9 Age 14</t>
  </si>
  <si>
    <t>DALYs children  outcome 9 Age 15</t>
  </si>
  <si>
    <t>DALYs children  outcome 9 Age 16</t>
  </si>
  <si>
    <t>DALYs children  outcome 9 Age 17</t>
  </si>
  <si>
    <t>DALYs children  outcome 9 Age 18</t>
  </si>
  <si>
    <t>DALYs children  outcome 9 Age 19</t>
  </si>
  <si>
    <t>DALYs children  outcome 9 Age 20</t>
  </si>
  <si>
    <t>DALYs children  outcome 9 Age 21</t>
  </si>
  <si>
    <t>DALYs children  outcome 9 Age 22</t>
  </si>
  <si>
    <t>DALYs children  outcome 9 Age 23</t>
  </si>
  <si>
    <t>DALYs children  outcome 9 Age 24</t>
  </si>
  <si>
    <t>DALYs children  outcome 9 Age 25</t>
  </si>
  <si>
    <t>DALYs children  outcome 9 Age 26</t>
  </si>
  <si>
    <t>DALYs children  outcome 9 Age 27</t>
  </si>
  <si>
    <t>DALYs children  outcome 9 Age 28</t>
  </si>
  <si>
    <t>DALYs children  outcome 9 Age 29</t>
  </si>
  <si>
    <t>DALYs children  outcome 9 Age 30</t>
  </si>
  <si>
    <t>DALYs children  outcome 9 Age 31</t>
  </si>
  <si>
    <t>DALYs children  outcome 9 Age 32</t>
  </si>
  <si>
    <t>DALYs children  outcome 9 Age 33</t>
  </si>
  <si>
    <t>DALYs children  outcome 9 Age 34</t>
  </si>
  <si>
    <t>DALYs children  outcome 9 Age 35</t>
  </si>
  <si>
    <t>DALYs children  outcome 9 Age 36</t>
  </si>
  <si>
    <t>DALYs children  outcome 9 Age 37</t>
  </si>
  <si>
    <t>DALYs children  outcome 9 Age 38</t>
  </si>
  <si>
    <t>DALYs children  outcome 9 Age 39</t>
  </si>
  <si>
    <t>DALYs children  outcome 9 Age 40</t>
  </si>
  <si>
    <t>DALYs children  outcome 10 Age 5</t>
  </si>
  <si>
    <t>DALYs children  outcome 10 Age 6</t>
  </si>
  <si>
    <t>DALYs children  outcome 10 Age 7</t>
  </si>
  <si>
    <t>DALYs children  outcome 10 Age 8</t>
  </si>
  <si>
    <t>DALYs children  outcome 10 Age 9</t>
  </si>
  <si>
    <t>DALYs children  outcome 10 Age 10</t>
  </si>
  <si>
    <t>DALYs children  outcome 10 Age 11</t>
  </si>
  <si>
    <t>DALYs children  outcome 10 Age 12</t>
  </si>
  <si>
    <t>DALYs children  outcome 10 Age 13</t>
  </si>
  <si>
    <t>DALYs children  outcome 10 Age 14</t>
  </si>
  <si>
    <t>DALYs children  outcome 10 Age 15</t>
  </si>
  <si>
    <t>DALYs children  outcome 10 Age 16</t>
  </si>
  <si>
    <t>DALYs children  outcome 10 Age 17</t>
  </si>
  <si>
    <t>DALYs children  outcome 10 Age 18</t>
  </si>
  <si>
    <t>DALYs children  outcome 10 Age 19</t>
  </si>
  <si>
    <t>DALYs children  outcome 10 Age 20</t>
  </si>
  <si>
    <t>DALYs children  outcome 10 Age 21</t>
  </si>
  <si>
    <t>DALYs children  outcome 10 Age 22</t>
  </si>
  <si>
    <t>DALYs children  outcome 10 Age 23</t>
  </si>
  <si>
    <t>DALYs children  outcome 10 Age 24</t>
  </si>
  <si>
    <t>DALYs children  outcome 10 Age 25</t>
  </si>
  <si>
    <t>DALYs children  outcome 10 Age 26</t>
  </si>
  <si>
    <t>DALYs children  outcome 10 Age 27</t>
  </si>
  <si>
    <t>DALYs children  outcome 10 Age 28</t>
  </si>
  <si>
    <t>DALYs children  outcome 10 Age 29</t>
  </si>
  <si>
    <t>DALYs children  outcome 10 Age 30</t>
  </si>
  <si>
    <t>DALYs children  outcome 10 Age 31</t>
  </si>
  <si>
    <t>DALYs children  outcome 10 Age 32</t>
  </si>
  <si>
    <t>DALYs children  outcome 10 Age 33</t>
  </si>
  <si>
    <t>DALYs children  outcome 10 Age 34</t>
  </si>
  <si>
    <t>DALYs children  outcome 10 Age 35</t>
  </si>
  <si>
    <t>DALYs children  outcome 10 Age 36</t>
  </si>
  <si>
    <t>DALYs children  outcome 10 Age 37</t>
  </si>
  <si>
    <t>DALYs children  outcome 10 Age 38</t>
  </si>
  <si>
    <t>DALYs children  outcome 10 Age 39</t>
  </si>
  <si>
    <t>DALYs children  outcome 10 Age 40</t>
  </si>
  <si>
    <t>DALYs children  outcome 11 Age 40</t>
  </si>
  <si>
    <t>DALYs children  outcome 11 Age 5</t>
  </si>
  <si>
    <t>DALYs children  outcome 11 Age 6</t>
  </si>
  <si>
    <t>DALYs children  outcome 11 Age 7</t>
  </si>
  <si>
    <t>DALYs children  outcome 11 Age 8</t>
  </si>
  <si>
    <t>DALYs children  outcome 11 Age 9</t>
  </si>
  <si>
    <t>DALYs children  outcome 11 Age 10</t>
  </si>
  <si>
    <t>DALYs children  outcome 11 Age 11</t>
  </si>
  <si>
    <t>DALYs children  outcome 11 Age 12</t>
  </si>
  <si>
    <t>DALYs children  outcome 11 Age 13</t>
  </si>
  <si>
    <t>DALYs children  outcome 11 Age 14</t>
  </si>
  <si>
    <t>DALYs children  outcome 11 Age 15</t>
  </si>
  <si>
    <t>DALYs children  outcome 11 Age 16</t>
  </si>
  <si>
    <t>DALYs children  outcome 11 Age 17</t>
  </si>
  <si>
    <t>DALYs children  outcome 11 Age 18</t>
  </si>
  <si>
    <t>DALYs children  outcome 11 Age 19</t>
  </si>
  <si>
    <t>DALYs children  outcome 11 Age 20</t>
  </si>
  <si>
    <t>DALYs children  outcome 11 Age 21</t>
  </si>
  <si>
    <t>DALYs children  outcome 11 Age 22</t>
  </si>
  <si>
    <t>DALYs children  outcome 11 Age 23</t>
  </si>
  <si>
    <t>DALYs children  outcome 11 Age 24</t>
  </si>
  <si>
    <t>DALYs children  outcome 11 Age 25</t>
  </si>
  <si>
    <t>DALYs children  outcome 11 Age 26</t>
  </si>
  <si>
    <t>DALYs children  outcome 11 Age 27</t>
  </si>
  <si>
    <t>DALYs children  outcome 11 Age 28</t>
  </si>
  <si>
    <t>DALYs children  outcome 11 Age 29</t>
  </si>
  <si>
    <t>DALYs children  outcome 11 Age 30</t>
  </si>
  <si>
    <t>DALYs children  outcome 11 Age 31</t>
  </si>
  <si>
    <t>DALYs children  outcome 11 Age 32</t>
  </si>
  <si>
    <t>DALYs children  outcome 11 Age 33</t>
  </si>
  <si>
    <t>DALYs children  outcome 11 Age 34</t>
  </si>
  <si>
    <t>DALYs children  outcome 11 Age 35</t>
  </si>
  <si>
    <t>DALYs children  outcome 11 Age 36</t>
  </si>
  <si>
    <t>DALYs children  outcome 11 Age 37</t>
  </si>
  <si>
    <t>DALYs children  outcome 11 Age 38</t>
  </si>
  <si>
    <t>DALYs children  outcome 11 Age 39</t>
  </si>
  <si>
    <t>Hospital cost outcome 1 Age 0 to 1</t>
  </si>
  <si>
    <t>Hospital cost outcome 2 Age 0 to 1</t>
  </si>
  <si>
    <t>Hospital cost outcome 4 Age 0 to 1</t>
  </si>
  <si>
    <t>Hospital cost outcome 5 Age 0 to 1</t>
  </si>
  <si>
    <t>Hospital cost outcome 6 Age 0 to 1</t>
  </si>
  <si>
    <t xml:space="preserve">DALY loss Mothers depression </t>
  </si>
  <si>
    <t>DALY loss Mothers anxiety</t>
  </si>
  <si>
    <t>Hospital cost outcome 7 Age 0 to 1</t>
  </si>
  <si>
    <t>Hospital cost outcome 8 Age 0 to 1</t>
  </si>
  <si>
    <t>Income loss children outcome 9 Age 16</t>
  </si>
  <si>
    <t>Income loss children outcome 9 Age 17</t>
  </si>
  <si>
    <t>Income loss children outcome 9 Age 18</t>
  </si>
  <si>
    <t>Income loss children outcome 9 Age 19</t>
  </si>
  <si>
    <t>Income loss children outcome 9 Age 20</t>
  </si>
  <si>
    <t>Income loss children outcome 9 Age 21</t>
  </si>
  <si>
    <t>Income loss children outcome 9 Age 22</t>
  </si>
  <si>
    <t>Income loss children outcome 9 Age 23</t>
  </si>
  <si>
    <t>Income loss children outcome 9 Age 24</t>
  </si>
  <si>
    <t>Income loss children outcome 9 Age 25</t>
  </si>
  <si>
    <t>Income loss children outcome 9 Age 26</t>
  </si>
  <si>
    <t>Income loss children outcome 9 Age 27</t>
  </si>
  <si>
    <t>Income loss children outcome 9 Age 28</t>
  </si>
  <si>
    <t>Income loss children outcome 9 Age 29</t>
  </si>
  <si>
    <t>Income loss children outcome 9 Age 30</t>
  </si>
  <si>
    <t>Income loss children outcome 9 Age 31</t>
  </si>
  <si>
    <t>Income loss children outcome 9 Age 32</t>
  </si>
  <si>
    <t>Income loss children outcome 9 Age 33</t>
  </si>
  <si>
    <t>Income loss children outcome 9 Age 34</t>
  </si>
  <si>
    <t>Income loss children outcome 9 Age 35</t>
  </si>
  <si>
    <t>Income loss children outcome 9 Age 36</t>
  </si>
  <si>
    <t>Income loss children outcome 9 Age 37</t>
  </si>
  <si>
    <t>Income loss children outcome 9 Age 38</t>
  </si>
  <si>
    <t>Income loss children outcome 9 Age 39</t>
  </si>
  <si>
    <t>Income loss children outcome 9 Age 40</t>
  </si>
  <si>
    <t>Income loss children outcome 10 Age 16</t>
  </si>
  <si>
    <t>Income loss children outcome 10 Age 17</t>
  </si>
  <si>
    <t>Income loss children outcome 10 Age 18</t>
  </si>
  <si>
    <t>Income loss children outcome 10 Age 19</t>
  </si>
  <si>
    <t>Income loss children outcome 10 Age 20</t>
  </si>
  <si>
    <t>Income loss children outcome 10 Age 21</t>
  </si>
  <si>
    <t>Income loss children outcome 10 Age 22</t>
  </si>
  <si>
    <t>Income loss children outcome 10 Age 23</t>
  </si>
  <si>
    <t>Income loss children outcome 10 Age 24</t>
  </si>
  <si>
    <t>Income loss children outcome 10 Age 25</t>
  </si>
  <si>
    <t>Income loss children outcome 10 Age 26</t>
  </si>
  <si>
    <t>Income loss children outcome 10 Age 27</t>
  </si>
  <si>
    <t>Income loss children outcome 10 Age 28</t>
  </si>
  <si>
    <t>Income loss children outcome 10 Age 29</t>
  </si>
  <si>
    <t>Income loss children outcome 10 Age 30</t>
  </si>
  <si>
    <t>Income loss children outcome 10 Age 31</t>
  </si>
  <si>
    <t>Income loss children outcome 10 Age 32</t>
  </si>
  <si>
    <t>Income loss children outcome 10 Age 33</t>
  </si>
  <si>
    <t>Income loss children outcome 10 Age 34</t>
  </si>
  <si>
    <t>Income loss children outcome 10 Age 35</t>
  </si>
  <si>
    <t>Income loss children outcome 10 Age 36</t>
  </si>
  <si>
    <t>Income loss children outcome 10 Age 37</t>
  </si>
  <si>
    <t>Income loss children outcome 10 Age 38</t>
  </si>
  <si>
    <t>Income loss children outcome 10 Age 39</t>
  </si>
  <si>
    <t>Income loss children outcome 10 Age 40</t>
  </si>
  <si>
    <t>Income loss children outcome 11 Age 16</t>
  </si>
  <si>
    <t>Income loss children outcome 11 Age 17</t>
  </si>
  <si>
    <t>Income loss children outcome 11 Age 18</t>
  </si>
  <si>
    <t>Income loss children outcome 11 Age 19</t>
  </si>
  <si>
    <t>Income loss children outcome 11 Age 20</t>
  </si>
  <si>
    <t>Income loss children outcome 11 Age 21</t>
  </si>
  <si>
    <t>Income loss children outcome 11 Age 22</t>
  </si>
  <si>
    <t>Income loss children outcome 11 Age 23</t>
  </si>
  <si>
    <t>Income loss children outcome 11 Age 24</t>
  </si>
  <si>
    <t>Income loss children outcome 11 Age 25</t>
  </si>
  <si>
    <t>Income loss children outcome 11 Age 26</t>
  </si>
  <si>
    <t>Income loss children outcome 11 Age 27</t>
  </si>
  <si>
    <t>Income loss children outcome 11 Age 28</t>
  </si>
  <si>
    <t>Income loss children outcome 11 Age 29</t>
  </si>
  <si>
    <t>Income loss children outcome 11 Age 30</t>
  </si>
  <si>
    <t>Income loss children outcome 11 Age 31</t>
  </si>
  <si>
    <t>Income loss children outcome 11 Age 32</t>
  </si>
  <si>
    <t>Income loss children outcome 11 Age 33</t>
  </si>
  <si>
    <t>Income loss children outcome 11 Age 34</t>
  </si>
  <si>
    <t>Income loss children outcome 11 Age 35</t>
  </si>
  <si>
    <t>Income loss children outcome 11 Age 36</t>
  </si>
  <si>
    <t>Income loss children outcome 11 Age 37</t>
  </si>
  <si>
    <t>Income loss children outcome 11 Age 38</t>
  </si>
  <si>
    <t>Income loss children outcome 11 Age 39</t>
  </si>
  <si>
    <t>Income loss children outcome 11 Age 40</t>
  </si>
  <si>
    <t>Income loss discounted</t>
  </si>
  <si>
    <t xml:space="preserve">Healthcare costs 1st year only </t>
  </si>
  <si>
    <t>DALY loss Mothers suicide</t>
  </si>
  <si>
    <t>DALY loss Mothers depression in USD</t>
  </si>
  <si>
    <t>DALY loss Mothers anxiety in USD</t>
  </si>
  <si>
    <t>DALY loss Mothers suicide in USD</t>
  </si>
  <si>
    <t>DALYs women committing suicide ante and postnatal, in USD</t>
  </si>
  <si>
    <t>Income loss Mothers depression in USD</t>
  </si>
  <si>
    <t>Income loss Mothers anxiety in USD</t>
  </si>
  <si>
    <t>Healthcare expenditure children</t>
  </si>
  <si>
    <t>Childrens impact</t>
  </si>
  <si>
    <t xml:space="preserve">Mothers DALY loss mothers depression </t>
  </si>
  <si>
    <t>Mothers DALY loss mothers depression in USD</t>
  </si>
  <si>
    <t>Mothers DALY loss mothers anxiety</t>
  </si>
  <si>
    <t>Mothers DALY loss mothers anxiety in USD</t>
  </si>
  <si>
    <t>Mothers DALY loss mothers suicide</t>
  </si>
  <si>
    <t>Mothers DALY loss mothers suicide in USD</t>
  </si>
  <si>
    <t>Mothers income loss mothers depression in USD</t>
  </si>
  <si>
    <t>Mothers income loss mothers anxiety in USD</t>
  </si>
  <si>
    <t>Childrens healthcare cost Age 0 to 1 in USD</t>
  </si>
  <si>
    <t>DALYs children outcome 2 LBW Lifetime, in USD</t>
  </si>
  <si>
    <t>DALY loss Children</t>
  </si>
  <si>
    <t>DALY loss Children in USD</t>
  </si>
  <si>
    <t>Income loss Children in USD</t>
  </si>
  <si>
    <t>Total cost children</t>
  </si>
  <si>
    <t>Total cost mothers</t>
  </si>
  <si>
    <t>Childrens DALY loss total</t>
  </si>
  <si>
    <t>Childrens DALY loss outcome 1</t>
  </si>
  <si>
    <t>Childrens DALY loss outcome 2</t>
  </si>
  <si>
    <t>Childrens DALY loss outcome 3</t>
  </si>
  <si>
    <t>Childrens DALY loss outcome 4</t>
  </si>
  <si>
    <t>Childrens DALY loss outcome 5</t>
  </si>
  <si>
    <t>Childrens DALY loss outcome 6</t>
  </si>
  <si>
    <t>Childrens DALY loss outcome 7</t>
  </si>
  <si>
    <t>Childrens DALY loss outcome 8</t>
  </si>
  <si>
    <t>Childrens DALY loss outcome 9</t>
  </si>
  <si>
    <t>Childrens DALY loss outcome 10</t>
  </si>
  <si>
    <t>Childrens DALY loss outcome 11</t>
  </si>
  <si>
    <t>Childrens DALY loss in USD total</t>
  </si>
  <si>
    <t>Childrens DALY loss in USD outcome 1</t>
  </si>
  <si>
    <t>Childrens DALY loss in USD outcome 2</t>
  </si>
  <si>
    <t>Childrens DALY loss in USD outcome 3</t>
  </si>
  <si>
    <t>Childrens DALY loss in USD outcome 4</t>
  </si>
  <si>
    <t>Childrens DALY loss in USD outcome 5</t>
  </si>
  <si>
    <t>Childrens DALY loss in USD outcome 6</t>
  </si>
  <si>
    <t>Childrens DALY loss in USD outcome 7</t>
  </si>
  <si>
    <t>Childrens DALY loss in USD outcome 8</t>
  </si>
  <si>
    <t>Childrens DALY loss in USD outcome 9</t>
  </si>
  <si>
    <t>Childrens DALY loss in USD outcome 10</t>
  </si>
  <si>
    <t>Childrens DALY loss in USD outcome 11</t>
  </si>
  <si>
    <t>Childrens income loss in USD total</t>
  </si>
  <si>
    <t>Childrens income loss in USD outcome 9</t>
  </si>
  <si>
    <t>Childrens income loss in USD outcome 7</t>
  </si>
  <si>
    <t>Childrens income loss in USD outcome 10</t>
  </si>
  <si>
    <t>Childrens income loss in USD outcome 11</t>
  </si>
  <si>
    <t xml:space="preserve">Total cost mothers, in billion </t>
  </si>
  <si>
    <t>Total cost children, in billion</t>
  </si>
  <si>
    <t>Relative Risk</t>
  </si>
  <si>
    <t>*** Sam *** Changed all of these from "None" to "Relative Risk" as they were being interpreted as numbers by the code that reads in this excel file.</t>
  </si>
  <si>
    <t>*** Sam *** edited this to say "Children Impact". Before it was just blank.</t>
  </si>
  <si>
    <t>Prevalence / probability antenatal depression (moderate and severe only)</t>
  </si>
  <si>
    <t>Prevalence / probability ongoing anxiety</t>
  </si>
  <si>
    <t>Prevalence / probability antenatal anxiety (any) without depression</t>
  </si>
  <si>
    <t xml:space="preserve">Prevalence / probability postnatal anxiety (any) without depression </t>
  </si>
  <si>
    <r>
      <rPr>
        <sz val="11"/>
        <color theme="1"/>
        <rFont val="Aptos"/>
        <family val="2"/>
      </rPr>
      <t xml:space="preserve">This formula has been edited, it is now: </t>
    </r>
    <r>
      <rPr>
        <i/>
        <sz val="11"/>
        <color theme="1"/>
        <rFont val="Aptos"/>
        <family val="2"/>
      </rPr>
      <t xml:space="preserve">live births / (1 – stillbirth rate) </t>
    </r>
    <r>
      <rPr>
        <sz val="11"/>
        <color theme="1"/>
        <rFont val="Aptos"/>
        <family val="2"/>
      </rPr>
      <t xml:space="preserve">rather than </t>
    </r>
    <r>
      <rPr>
        <i/>
        <sz val="11"/>
        <color theme="1"/>
        <rFont val="Aptos"/>
        <family val="2"/>
      </rPr>
      <t>live births * (1 + stillbirth rate)</t>
    </r>
    <r>
      <rPr>
        <sz val="11"/>
        <color theme="1"/>
        <rFont val="Aptos"/>
        <family val="2"/>
      </rPr>
      <t xml:space="preserve">. This is because the stillbirths are not included in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and so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does not represent 100% of all births.</t>
    </r>
  </si>
  <si>
    <t>These formulae were edited to use inputs!E33.</t>
  </si>
  <si>
    <t>These formulae were edited to use the mortality rates corresponding to the correct age groups. Previously they all used the year 1 to year 5 mortality rate.</t>
  </si>
  <si>
    <t>Edited to use the mortality rates for the correct age range, as well as following on from the previous age rather than all being based on the age 2 number.</t>
  </si>
  <si>
    <t>These formulae contained the same errors as those for outcome 8, with an additional error in line 238 where the base number for outcome 10 was used rather than 9.</t>
  </si>
  <si>
    <t>These formulae contained the same errors as those for outcome 8.</t>
  </si>
  <si>
    <t>Formula corrected. The formula was using D149 rather than D150.</t>
  </si>
  <si>
    <t>Formulae corrected: the final term (the exponent) in all formulae was wrong. They have been edited go back to E100 at age 5 for each outcome, and incrementally up from there.</t>
  </si>
  <si>
    <t>This formula has been corrected. It used to refer to inputs!E352 which does not exist, rather than E27 as it should.</t>
  </si>
  <si>
    <t>Total DALY loss Mothers in USD</t>
  </si>
  <si>
    <t>Million Dollars</t>
  </si>
  <si>
    <t>Income loss women depression antenatal</t>
  </si>
  <si>
    <t>Income loss women depression postnatal</t>
  </si>
  <si>
    <t>Income loss women depression Year +1</t>
  </si>
  <si>
    <t>Income loss women depression Year +2</t>
  </si>
  <si>
    <t>Income loss women depression Year +3</t>
  </si>
  <si>
    <t>Income loss women depression Year +4</t>
  </si>
  <si>
    <t>Income loss women depression Year +5</t>
  </si>
  <si>
    <t>Income loss women depression Year +6</t>
  </si>
  <si>
    <t>Income loss women depression Year +7</t>
  </si>
  <si>
    <t>Income loss women depression Year +8</t>
  </si>
  <si>
    <t>Income loss women depression Year +9</t>
  </si>
  <si>
    <t>Income loss women depression Year +10</t>
  </si>
  <si>
    <t>Disability weight outcome 8</t>
  </si>
  <si>
    <t>Disability weight outcome 9</t>
  </si>
  <si>
    <t>Disability weight outcome 10</t>
  </si>
  <si>
    <t>Disability weight outcome 11</t>
  </si>
  <si>
    <t>DALYs children outcome 8 Age 5, in USD</t>
  </si>
  <si>
    <t>DALYs children outcome 8 Age 6, in USD</t>
  </si>
  <si>
    <t>DALYs children outcome 8 Age 7, in USD</t>
  </si>
  <si>
    <t>DALYs children outcome 8 Age 8, in USD</t>
  </si>
  <si>
    <t>DALYs children outcome 8 Age 9, in USD</t>
  </si>
  <si>
    <t>DALYs children outcome 8 Age 10, in USD</t>
  </si>
  <si>
    <t>DALYs children outcome 8 Age 11, in USD</t>
  </si>
  <si>
    <t>DALYs children outcome 8 Age 12, in USD</t>
  </si>
  <si>
    <t>DALYs children outcome 8 Age 13, in USD</t>
  </si>
  <si>
    <t>DALYs children outcome 8 Age 14, in USD</t>
  </si>
  <si>
    <t>DALYs children outcome 8 Age 15, in USD</t>
  </si>
  <si>
    <t>DALYs children outcome 8 Age 16, in USD</t>
  </si>
  <si>
    <t>DALYs children outcome 8 Age 17, in USD</t>
  </si>
  <si>
    <t>DALYs children outcome 8 Age 18, in USD</t>
  </si>
  <si>
    <t>DALYs children outcome 8 Age 19, in USD</t>
  </si>
  <si>
    <t>DALYs children outcome 8 Age 20, in USD</t>
  </si>
  <si>
    <t>DALYs children outcome 8 Age 21, in USD</t>
  </si>
  <si>
    <t>DALYs children outcome 8 Age 22, in USD</t>
  </si>
  <si>
    <t>DALYs children outcome 8 Age 23, in USD</t>
  </si>
  <si>
    <t>DALYs children outcome 8 Age 24, in USD</t>
  </si>
  <si>
    <t>DALYs children outcome 8 Age 25, in USD</t>
  </si>
  <si>
    <t>DALYs children outcome 8 Age 26, in USD</t>
  </si>
  <si>
    <t>DALYs children outcome 8 Age 27, in USD</t>
  </si>
  <si>
    <t>DALYs children outcome 8 Age 28, in USD</t>
  </si>
  <si>
    <t>DALYs children outcome 8 Age 29, in USD</t>
  </si>
  <si>
    <t>DALYs children outcome 8 Age 30, in USD</t>
  </si>
  <si>
    <t>DALYs children outcome 8 Age 31, in USD</t>
  </si>
  <si>
    <t>DALYs children outcome 8 Age 32, in USD</t>
  </si>
  <si>
    <t>DALYs children outcome 8 Age 33, in USD</t>
  </si>
  <si>
    <t>DALYs children outcome 8 Age 34, in USD</t>
  </si>
  <si>
    <t>DALYs children outcome 8 Age 35, in USD</t>
  </si>
  <si>
    <t>DALYs children outcome 8 Age 36, in USD</t>
  </si>
  <si>
    <t>DALYs children outcome 8 Age 37, in USD</t>
  </si>
  <si>
    <t>DALYs children outcome 8 Age 38, in USD</t>
  </si>
  <si>
    <t>DALYs children outcome 8 Age 39, in USD</t>
  </si>
  <si>
    <t>DALYs children outcome 8 Age 40, in USD</t>
  </si>
  <si>
    <t>DALYs children outcome 9 Age 5, in USD</t>
  </si>
  <si>
    <t>DALYs children outcome 9 Age 6, in USD</t>
  </si>
  <si>
    <t>DALYs children outcome 9 Age 7, in USD</t>
  </si>
  <si>
    <t>DALYs children outcome 9 Age 8, in USD</t>
  </si>
  <si>
    <t>DALYs children outcome 9 Age 9, in USD</t>
  </si>
  <si>
    <t>DALYs children outcome 9 Age 10, in USD</t>
  </si>
  <si>
    <t>DALYs children outcome 9 Age 11, in USD</t>
  </si>
  <si>
    <t>DALYs children outcome 9 Age 12, in USD</t>
  </si>
  <si>
    <t>DALYs children outcome 9 Age 13, in USD</t>
  </si>
  <si>
    <t>DALYs children outcome 9 Age 14, in USD</t>
  </si>
  <si>
    <t>DALYs children outcome 9 Age 15, in USD</t>
  </si>
  <si>
    <t>DALYs children outcome 9 Age 16, in USD</t>
  </si>
  <si>
    <t>DALYs children outcome 9 Age 17, in USD</t>
  </si>
  <si>
    <t>DALYs children outcome 9 Age 18, in USD</t>
  </si>
  <si>
    <t>DALYs children outcome 9 Age 19, in USD</t>
  </si>
  <si>
    <t>DALYs children outcome 9 Age 20, in USD</t>
  </si>
  <si>
    <t>DALYs children outcome 9 Age 21, in USD</t>
  </si>
  <si>
    <t>DALYs children outcome 9 Age 22, in USD</t>
  </si>
  <si>
    <t>DALYs children outcome 9 Age 23, in USD</t>
  </si>
  <si>
    <t>DALYs children outcome 9 Age 24, in USD</t>
  </si>
  <si>
    <t>DALYs children outcome 9 Age 25, in USD</t>
  </si>
  <si>
    <t>DALYs children outcome 9 Age 26, in USD</t>
  </si>
  <si>
    <t>DALYs children outcome 9 Age 27, in USD</t>
  </si>
  <si>
    <t>DALYs children outcome 9 Age 28, in USD</t>
  </si>
  <si>
    <t>DALYs children outcome 9 Age 29, in USD</t>
  </si>
  <si>
    <t>DALYs children outcome 9 Age 30, in USD</t>
  </si>
  <si>
    <t>DALYs children outcome 9 Age 31, in USD</t>
  </si>
  <si>
    <t>DALYs children outcome 9 Age 32, in USD</t>
  </si>
  <si>
    <t>DALYs children outcome 9 Age 33, in USD</t>
  </si>
  <si>
    <t>DALYs children outcome 9 Age 34, in USD</t>
  </si>
  <si>
    <t>DALYs children outcome 9 Age 35, in USD</t>
  </si>
  <si>
    <t>DALYs children outcome 9 Age 36, in USD</t>
  </si>
  <si>
    <t>DALYs children outcome 9 Age 37, in USD</t>
  </si>
  <si>
    <t>DALYs children outcome 9 Age 38, in USD</t>
  </si>
  <si>
    <t>DALYs children outcome 9 Age 39, in USD</t>
  </si>
  <si>
    <t>DALYs children outcome 9 Age 40, in USD</t>
  </si>
  <si>
    <t>DALYs children outcome 10 Age 5, in USD</t>
  </si>
  <si>
    <t>DALYs children outcome 10 Age 6, in USD</t>
  </si>
  <si>
    <t>DALYs children outcome 10 Age 7, in USD</t>
  </si>
  <si>
    <t>DALYs children outcome 10 Age 8, in USD</t>
  </si>
  <si>
    <t>DALYs children outcome 10 Age 9, in USD</t>
  </si>
  <si>
    <t>DALYs children outcome 10 Age 10, in USD</t>
  </si>
  <si>
    <t>DALYs children outcome 10 Age 11, in USD</t>
  </si>
  <si>
    <t>DALYs children outcome 10 Age 12, in USD</t>
  </si>
  <si>
    <t>DALYs children outcome 10 Age 13, in USD</t>
  </si>
  <si>
    <t>DALYs children outcome 10 Age 14, in USD</t>
  </si>
  <si>
    <t>DALYs children outcome 10 Age 15, in USD</t>
  </si>
  <si>
    <t>DALYs children outcome 10 Age 16, in USD</t>
  </si>
  <si>
    <t>DALYs children outcome 10 Age 17, in USD</t>
  </si>
  <si>
    <t>DALYs children outcome 10 Age 18, in USD</t>
  </si>
  <si>
    <t>DALYs children outcome 10 Age 19, in USD</t>
  </si>
  <si>
    <t>DALYs children outcome 10 Age 20, in USD</t>
  </si>
  <si>
    <t>DALYs children outcome 10 Age 21, in USD</t>
  </si>
  <si>
    <t>DALYs children outcome 10 Age 22, in USD</t>
  </si>
  <si>
    <t>DALYs children outcome 10 Age 23, in USD</t>
  </si>
  <si>
    <t>DALYs children outcome 10 Age 24, in USD</t>
  </si>
  <si>
    <t>DALYs children outcome 10 Age 25, in USD</t>
  </si>
  <si>
    <t>DALYs children outcome 10 Age 26, in USD</t>
  </si>
  <si>
    <t>DALYs children outcome 10 Age 27, in USD</t>
  </si>
  <si>
    <t>DALYs children outcome 10 Age 28, in USD</t>
  </si>
  <si>
    <t>DALYs children outcome 10 Age 29, in USD</t>
  </si>
  <si>
    <t>DALYs children outcome 10 Age 30, in USD</t>
  </si>
  <si>
    <t>DALYs children outcome 10 Age 31, in USD</t>
  </si>
  <si>
    <t>DALYs children outcome 10 Age 32, in USD</t>
  </si>
  <si>
    <t>DALYs children outcome 10 Age 33, in USD</t>
  </si>
  <si>
    <t>DALYs children outcome 10 Age 34, in USD</t>
  </si>
  <si>
    <t>DALYs children outcome 10 Age 35, in USD</t>
  </si>
  <si>
    <t>DALYs children outcome 10 Age 36, in USD</t>
  </si>
  <si>
    <t>DALYs children outcome 10 Age 37, in USD</t>
  </si>
  <si>
    <t>DALYs children outcome 10 Age 38, in USD</t>
  </si>
  <si>
    <t>DALYs children outcome 10 Age 39, in USD</t>
  </si>
  <si>
    <t>DALYs children outcome 10 Age 40, in USD</t>
  </si>
  <si>
    <t>DALYs children outcome 11 Age 5, in USD</t>
  </si>
  <si>
    <t>DALYs children outcome 11 Age 6, in USD</t>
  </si>
  <si>
    <t>DALYs children outcome 11 Age 7, in USD</t>
  </si>
  <si>
    <t>DALYs children outcome 11 Age 8, in USD</t>
  </si>
  <si>
    <t>DALYs children outcome 11 Age 9, in USD</t>
  </si>
  <si>
    <t>DALYs children outcome 11 Age 10, in USD</t>
  </si>
  <si>
    <t>DALYs children outcome 11 Age 11, in USD</t>
  </si>
  <si>
    <t>DALYs children outcome 11 Age 12, in USD</t>
  </si>
  <si>
    <t>DALYs children outcome 11 Age 13, in USD</t>
  </si>
  <si>
    <t>DALYs children outcome 11 Age 14, in USD</t>
  </si>
  <si>
    <t>DALYs children outcome 11 Age 15, in USD</t>
  </si>
  <si>
    <t>DALYs children outcome 11 Age 16, in USD</t>
  </si>
  <si>
    <t>DALYs children outcome 11 Age 17, in USD</t>
  </si>
  <si>
    <t>DALYs children outcome 11 Age 18, in USD</t>
  </si>
  <si>
    <t>DALYs children outcome 11 Age 19, in USD</t>
  </si>
  <si>
    <t>DALYs children outcome 11 Age 20, in USD</t>
  </si>
  <si>
    <t>DALYs children outcome 11 Age 21, in USD</t>
  </si>
  <si>
    <t>DALYs children outcome 11 Age 22, in USD</t>
  </si>
  <si>
    <t>DALYs children outcome 11 Age 23, in USD</t>
  </si>
  <si>
    <t>DALYs children outcome 11 Age 24, in USD</t>
  </si>
  <si>
    <t>DALYs children outcome 11 Age 25, in USD</t>
  </si>
  <si>
    <t>DALYs children outcome 11 Age 26, in USD</t>
  </si>
  <si>
    <t>DALYs children outcome 11 Age 27, in USD</t>
  </si>
  <si>
    <t>DALYs children outcome 11 Age 28, in USD</t>
  </si>
  <si>
    <t>DALYs children outcome 11 Age 29, in USD</t>
  </si>
  <si>
    <t>DALYs children outcome 11 Age 30, in USD</t>
  </si>
  <si>
    <t>DALYs children outcome 11 Age 31, in USD</t>
  </si>
  <si>
    <t>DALYs children outcome 11 Age 32, in USD</t>
  </si>
  <si>
    <t>DALYs children outcome 11 Age 33, in USD</t>
  </si>
  <si>
    <t>DALYs children outcome 11 Age 34, in USD</t>
  </si>
  <si>
    <t>DALYs children outcome 11 Age 35, in USD</t>
  </si>
  <si>
    <t>DALYs children outcome 11 Age 36, in USD</t>
  </si>
  <si>
    <t>DALYs children outcome 11 Age 37, in USD</t>
  </si>
  <si>
    <t>DALYs children outcome 11 Age 38, in USD</t>
  </si>
  <si>
    <t>DALYs children outcome 11 Age 39, in USD</t>
  </si>
  <si>
    <t>DALYs children outcome 11 Age 40, in USD</t>
  </si>
  <si>
    <t>I removed outcome acronyms from these lines to make encoding in Python easier.</t>
  </si>
  <si>
    <t>N/A</t>
  </si>
  <si>
    <t>Tooltip</t>
  </si>
  <si>
    <t>insert tooltip here</t>
  </si>
  <si>
    <t>Mothers' impact</t>
  </si>
  <si>
    <t xml:space="preserve">Live births </t>
  </si>
  <si>
    <t>Children's impact</t>
  </si>
  <si>
    <t>Mortality birth year</t>
  </si>
  <si>
    <t>Mortality Years 1 to 5</t>
  </si>
  <si>
    <t>Mortality Years 6 to 10</t>
  </si>
  <si>
    <t>Mortality Years 11 to 20</t>
  </si>
  <si>
    <t>Mortality Years 21 to 25</t>
  </si>
  <si>
    <t>Mortality Years 26 to 30</t>
  </si>
  <si>
    <t>Mortality Years 31 to 40</t>
  </si>
  <si>
    <t>Outcome 1 pre-term birth</t>
  </si>
  <si>
    <t>Outcome 2 low birth weight</t>
  </si>
  <si>
    <t>Outcome 3 hospitalisation</t>
  </si>
  <si>
    <t>Outcome 4 diarrhoea</t>
  </si>
  <si>
    <t>Outcome 5 asthma/ severe recurring wheezing</t>
  </si>
  <si>
    <t>Outcome 6 lower respiratory tract infections</t>
  </si>
  <si>
    <t>Outcome 7 stunting</t>
  </si>
  <si>
    <t>Outcome 8 wasting</t>
  </si>
  <si>
    <t>Outcome 9 conduct disorder</t>
  </si>
  <si>
    <t>Outcome 10 attention disorder</t>
  </si>
  <si>
    <t>Outcome 11 emotional disorder</t>
  </si>
  <si>
    <t>Outcome 1</t>
  </si>
  <si>
    <t>Outcome 2</t>
  </si>
  <si>
    <t>Outcome 4</t>
  </si>
  <si>
    <t>Outcome 5</t>
  </si>
  <si>
    <t>Outcome 6</t>
  </si>
  <si>
    <t>Outcome 7</t>
  </si>
  <si>
    <t>Outcome 8</t>
  </si>
  <si>
    <t>Income decrement outcome 7 stunting</t>
  </si>
  <si>
    <t>Text input</t>
  </si>
  <si>
    <t>Display name</t>
  </si>
  <si>
    <t>Pre-term birth</t>
  </si>
  <si>
    <t>Low birth weight</t>
  </si>
  <si>
    <t>Hospitalisation</t>
  </si>
  <si>
    <t>Diarrhoea</t>
  </si>
  <si>
    <t>Asthma / severe recurring wheezing</t>
  </si>
  <si>
    <t>Lower respiratory tract infections</t>
  </si>
  <si>
    <t>Stunting</t>
  </si>
  <si>
    <t>Wasting</t>
  </si>
  <si>
    <t>Conduct disorder</t>
  </si>
  <si>
    <t>Attention disorder</t>
  </si>
  <si>
    <t>Emotional disorder</t>
  </si>
  <si>
    <t>Asthma/ severe recurring wheezing</t>
  </si>
  <si>
    <t>Birth year</t>
  </si>
  <si>
    <t>Years 1 to 5</t>
  </si>
  <si>
    <t>Years 6 to 10</t>
  </si>
  <si>
    <t>Years 11 to 20</t>
  </si>
  <si>
    <t>Years 21 to 25</t>
  </si>
  <si>
    <t>Years 26 to 30</t>
  </si>
  <si>
    <t>Years 31 to 40</t>
  </si>
  <si>
    <t>Prevalence antenatal depression (moderate or severe)</t>
  </si>
  <si>
    <t>Prevalence antenatal anxiety without depression</t>
  </si>
  <si>
    <t xml:space="preserve">Prevalence postnatal anxiety without depression </t>
  </si>
  <si>
    <t xml:space="preserve">Prevalence ongoing depression </t>
  </si>
  <si>
    <t>Prevalence ongoing anxiety</t>
  </si>
  <si>
    <t>Currency</t>
  </si>
  <si>
    <t>Income decrement: Stunting</t>
  </si>
  <si>
    <t>Income decrement: Conduct, Attention and Emotional disorders</t>
  </si>
  <si>
    <t>Income decrement anxiety women per year</t>
  </si>
  <si>
    <t>Income decrement depression women per year</t>
  </si>
  <si>
    <t>Prevalence age 0-1</t>
  </si>
  <si>
    <t>Prevalence age 1+</t>
  </si>
  <si>
    <t>Relative risk</t>
  </si>
  <si>
    <t>With antenatal mental health problems</t>
  </si>
  <si>
    <t>With postnatal mental health problems</t>
  </si>
  <si>
    <t>Valuing healthcare age 0-1, in USD</t>
  </si>
  <si>
    <t>Mother's DALY</t>
  </si>
  <si>
    <t>Mother's Income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</si>
</sst>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%"/>
    <numFmt numFmtId="167" formatCode="0.0000000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name val="Aptos Narrow"/>
      <scheme val="minor"/>
    </font>
    <font>
      <b/>
      <i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8"/>
      <name val="Aptos Narrow"/>
      <family val="2"/>
      <scheme val="minor"/>
    </font>
    <font>
      <b/>
      <i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theme="1"/>
      <name val="Aptos"/>
      <family val="2"/>
    </font>
    <font>
      <i/>
      <sz val="11"/>
      <color theme="1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4">
    <xf numFmtId="0" fontId="0" fillId="0" borderId="0" xfId="0"/>
    <xf numFmtId="0" fontId="4" fillId="0" borderId="0" xfId="0" applyFont="1"/>
    <xf numFmtId="0" fontId="5" fillId="0" borderId="0" xfId="0" applyFont="1"/>
    <xf numFmtId="9" fontId="5" fillId="0" borderId="0" xfId="1" applyFont="1"/>
    <xf numFmtId="9" fontId="4" fillId="0" borderId="0" xfId="1" applyFont="1" applyFill="1" applyBorder="1"/>
    <xf numFmtId="9" fontId="0" fillId="0" borderId="0" xfId="1" applyFont="1"/>
    <xf numFmtId="1" fontId="0" fillId="0" borderId="0" xfId="1" applyNumberFormat="1" applyFont="1"/>
    <xf numFmtId="0" fontId="0" fillId="2" borderId="0" xfId="0" applyFill="1"/>
    <xf numFmtId="1" fontId="0" fillId="2" borderId="0" xfId="0" applyNumberFormat="1" applyFill="1"/>
    <xf numFmtId="0" fontId="8" fillId="0" borderId="0" xfId="0" applyFont="1"/>
    <xf numFmtId="1" fontId="0" fillId="0" borderId="0" xfId="0" applyNumberFormat="1"/>
    <xf numFmtId="0" fontId="0" fillId="3" borderId="0" xfId="0" applyFill="1"/>
    <xf numFmtId="0" fontId="0" fillId="4" borderId="0" xfId="0" applyFill="1"/>
    <xf numFmtId="1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0" fontId="0" fillId="6" borderId="0" xfId="0" applyFill="1"/>
    <xf numFmtId="0" fontId="2" fillId="7" borderId="0" xfId="0" applyFont="1" applyFill="1"/>
    <xf numFmtId="165" fontId="0" fillId="7" borderId="0" xfId="1" applyNumberFormat="1" applyFont="1" applyFill="1"/>
    <xf numFmtId="0" fontId="0" fillId="7" borderId="0" xfId="0" applyFill="1"/>
    <xf numFmtId="1" fontId="0" fillId="7" borderId="0" xfId="0" applyNumberFormat="1" applyFill="1"/>
    <xf numFmtId="0" fontId="0" fillId="0" borderId="0" xfId="0" applyFill="1"/>
    <xf numFmtId="0" fontId="2" fillId="0" borderId="0" xfId="0" applyFont="1" applyFill="1"/>
    <xf numFmtId="1" fontId="2" fillId="0" borderId="0" xfId="1" applyNumberFormat="1" applyFont="1" applyFill="1" applyBorder="1"/>
    <xf numFmtId="164" fontId="2" fillId="0" borderId="0" xfId="1" applyNumberFormat="1" applyFont="1" applyFill="1" applyBorder="1"/>
    <xf numFmtId="10" fontId="2" fillId="0" borderId="0" xfId="1" applyNumberFormat="1" applyFont="1" applyFill="1" applyBorder="1"/>
    <xf numFmtId="9" fontId="2" fillId="0" borderId="0" xfId="1" applyFont="1" applyFill="1" applyBorder="1"/>
    <xf numFmtId="0" fontId="2" fillId="0" borderId="0" xfId="1" applyNumberFormat="1" applyFont="1" applyFill="1" applyBorder="1"/>
    <xf numFmtId="9" fontId="3" fillId="0" borderId="0" xfId="1" applyFont="1" applyFill="1" applyBorder="1"/>
    <xf numFmtId="9" fontId="0" fillId="0" borderId="0" xfId="1" applyFont="1" applyFill="1"/>
    <xf numFmtId="165" fontId="0" fillId="0" borderId="0" xfId="1" applyNumberFormat="1" applyFont="1" applyFill="1"/>
    <xf numFmtId="164" fontId="0" fillId="0" borderId="0" xfId="1" applyNumberFormat="1" applyFont="1" applyFill="1"/>
    <xf numFmtId="1" fontId="0" fillId="0" borderId="0" xfId="1" applyNumberFormat="1" applyFont="1" applyFill="1"/>
    <xf numFmtId="2" fontId="0" fillId="0" borderId="0" xfId="1" applyNumberFormat="1" applyFont="1" applyFill="1"/>
    <xf numFmtId="10" fontId="0" fillId="0" borderId="0" xfId="1" applyNumberFormat="1" applyFont="1" applyFill="1"/>
    <xf numFmtId="166" fontId="0" fillId="0" borderId="0" xfId="1" applyNumberFormat="1" applyFont="1" applyFill="1"/>
    <xf numFmtId="0" fontId="0" fillId="0" borderId="0" xfId="1" applyNumberFormat="1" applyFont="1" applyFill="1"/>
    <xf numFmtId="0" fontId="2" fillId="0" borderId="0" xfId="0" applyFont="1" applyFill="1" applyAlignment="1">
      <alignment wrapText="1"/>
    </xf>
    <xf numFmtId="0" fontId="7" fillId="0" borderId="0" xfId="0" applyFont="1" applyFill="1"/>
    <xf numFmtId="0" fontId="8" fillId="0" borderId="0" xfId="0" applyFont="1" applyFill="1"/>
    <xf numFmtId="165" fontId="0" fillId="0" borderId="0" xfId="0" applyNumberFormat="1" applyFill="1"/>
    <xf numFmtId="0" fontId="9" fillId="0" borderId="0" xfId="0" applyFont="1" applyFill="1" applyAlignment="1">
      <alignment horizontal="left" vertical="center" indent="5"/>
    </xf>
    <xf numFmtId="1" fontId="0" fillId="0" borderId="0" xfId="0" applyNumberFormat="1" applyFill="1"/>
    <xf numFmtId="167" fontId="0" fillId="0" borderId="0" xfId="0" applyNumberForma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aulemiledugnat/Desktop/malawi_spreadshee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min Population"/>
      <sheetName val="Admin Training &amp; supervision"/>
      <sheetName val="Admin Screening &amp; treatment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7E1ED-3367-CE4A-8E14-9A806A5DCF40}">
  <dimension ref="A1:EY203"/>
  <sheetViews>
    <sheetView tabSelected="1" zoomScale="85" zoomScaleNormal="85" workbookViewId="0">
      <selection activeCell="AD14" sqref="AD14"/>
    </sheetView>
  </sheetViews>
  <sheetFormatPr defaultColWidth="11.19921875" defaultRowHeight="15.6" x14ac:dyDescent="0.3"/>
  <cols>
    <col min="2" max="2" width="25.69921875" customWidth="1"/>
    <col min="3" max="3" width="51.19921875" customWidth="1"/>
    <col min="4" max="4" width="88.8984375" customWidth="1"/>
    <col min="5" max="5" width="13.19921875" style="5" bestFit="1" customWidth="1"/>
    <col min="6" max="6" width="16.69921875" bestFit="1" customWidth="1"/>
    <col min="7" max="8" width="12.296875" bestFit="1" customWidth="1"/>
    <col min="11" max="11" width="60.09765625" customWidth="1"/>
    <col min="12" max="12" width="16.59765625" customWidth="1"/>
    <col min="13" max="13" width="47.69921875" bestFit="1" customWidth="1"/>
  </cols>
  <sheetData>
    <row r="1" spans="1:155" x14ac:dyDescent="0.3">
      <c r="A1" s="2"/>
      <c r="B1" s="2"/>
      <c r="C1" s="2" t="s">
        <v>14</v>
      </c>
      <c r="D1" s="2" t="s">
        <v>12</v>
      </c>
      <c r="E1" s="3"/>
      <c r="F1" s="2"/>
      <c r="G1" s="2" t="s">
        <v>15</v>
      </c>
      <c r="H1" s="2" t="s">
        <v>15</v>
      </c>
      <c r="I1" s="2" t="s">
        <v>14</v>
      </c>
      <c r="J1" s="2"/>
      <c r="K1" s="2"/>
      <c r="L1" s="2"/>
      <c r="M1" s="2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1"/>
      <c r="DF1" s="21"/>
      <c r="DG1" s="21"/>
      <c r="DH1" s="21"/>
      <c r="DI1" s="21"/>
      <c r="DJ1" s="21"/>
      <c r="DK1" s="21"/>
      <c r="DL1" s="21"/>
      <c r="DM1" s="21"/>
      <c r="DN1" s="21"/>
      <c r="DO1" s="21"/>
      <c r="DP1" s="21"/>
      <c r="DQ1" s="21"/>
      <c r="DR1" s="21"/>
      <c r="DS1" s="21"/>
      <c r="DT1" s="21"/>
      <c r="DU1" s="21"/>
      <c r="DV1" s="21"/>
      <c r="DW1" s="21"/>
      <c r="DX1" s="21"/>
      <c r="DY1" s="21"/>
      <c r="DZ1" s="21"/>
      <c r="EA1" s="21"/>
      <c r="EB1" s="21"/>
      <c r="EC1" s="21"/>
      <c r="ED1" s="21"/>
      <c r="EE1" s="21"/>
      <c r="EF1" s="21"/>
      <c r="EG1" s="21"/>
      <c r="EH1" s="21"/>
      <c r="EI1" s="21"/>
      <c r="EJ1" s="21"/>
      <c r="EK1" s="21"/>
      <c r="EL1" s="21"/>
      <c r="EM1" s="21"/>
      <c r="EN1" s="21"/>
      <c r="EO1" s="21"/>
      <c r="EP1" s="21"/>
      <c r="EQ1" s="21"/>
      <c r="ER1" s="21"/>
      <c r="ES1" s="21"/>
      <c r="ET1" s="21"/>
      <c r="EU1" s="21"/>
      <c r="EV1" s="21"/>
      <c r="EW1" s="21"/>
      <c r="EX1" s="21"/>
      <c r="EY1" s="21"/>
    </row>
    <row r="2" spans="1:155" x14ac:dyDescent="0.3">
      <c r="B2" s="1" t="s">
        <v>0</v>
      </c>
      <c r="C2" s="1" t="s">
        <v>1</v>
      </c>
      <c r="D2" s="1" t="s">
        <v>2</v>
      </c>
      <c r="E2" s="4" t="s">
        <v>7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1017</v>
      </c>
      <c r="K2" s="1" t="s">
        <v>1018</v>
      </c>
      <c r="L2" s="1" t="s">
        <v>986</v>
      </c>
      <c r="M2" s="1" t="s">
        <v>8</v>
      </c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  <c r="DO2" s="21"/>
      <c r="DP2" s="21"/>
      <c r="DQ2" s="21"/>
      <c r="DR2" s="21"/>
      <c r="DS2" s="21"/>
      <c r="DT2" s="21"/>
      <c r="DU2" s="21"/>
      <c r="DV2" s="21"/>
      <c r="DW2" s="21"/>
      <c r="DX2" s="21"/>
      <c r="DY2" s="21"/>
      <c r="DZ2" s="21"/>
      <c r="EA2" s="21"/>
      <c r="EB2" s="21"/>
      <c r="EC2" s="21"/>
      <c r="ED2" s="21"/>
      <c r="EE2" s="21"/>
      <c r="EF2" s="21"/>
      <c r="EG2" s="21"/>
      <c r="EH2" s="21"/>
      <c r="EI2" s="21"/>
      <c r="EJ2" s="21"/>
      <c r="EK2" s="21"/>
      <c r="EL2" s="21"/>
      <c r="EM2" s="21"/>
      <c r="EN2" s="21"/>
      <c r="EO2" s="21"/>
      <c r="EP2" s="21"/>
      <c r="EQ2" s="21"/>
      <c r="ER2" s="21"/>
      <c r="ES2" s="21"/>
      <c r="ET2" s="21"/>
      <c r="EU2" s="21"/>
      <c r="EV2" s="21"/>
      <c r="EW2" s="21"/>
      <c r="EX2" s="21"/>
      <c r="EY2" s="21"/>
    </row>
    <row r="3" spans="1:155" s="11" customFormat="1" x14ac:dyDescent="0.3">
      <c r="A3" s="21"/>
      <c r="B3" s="22" t="s">
        <v>988</v>
      </c>
      <c r="C3" s="21" t="s">
        <v>17</v>
      </c>
      <c r="D3" s="22" t="s">
        <v>989</v>
      </c>
      <c r="E3" s="23">
        <v>645273</v>
      </c>
      <c r="F3" s="22" t="s">
        <v>10</v>
      </c>
      <c r="G3" s="22">
        <v>0</v>
      </c>
      <c r="H3" s="22">
        <v>60000000</v>
      </c>
      <c r="I3" s="22" t="s">
        <v>26</v>
      </c>
      <c r="J3" s="22" t="s">
        <v>10</v>
      </c>
      <c r="K3" s="22" t="s">
        <v>989</v>
      </c>
      <c r="L3" s="22" t="s">
        <v>987</v>
      </c>
      <c r="M3" s="22" t="s">
        <v>245</v>
      </c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21"/>
      <c r="BB3" s="21"/>
      <c r="BC3" s="21"/>
      <c r="BD3" s="21"/>
      <c r="BE3" s="21"/>
      <c r="BF3" s="21"/>
      <c r="BG3" s="21"/>
      <c r="BH3" s="21"/>
      <c r="BI3" s="21"/>
      <c r="BJ3" s="21"/>
      <c r="BK3" s="21"/>
      <c r="BL3" s="21"/>
      <c r="BM3" s="21"/>
      <c r="BN3" s="21"/>
      <c r="BO3" s="21"/>
      <c r="BP3" s="21"/>
      <c r="BQ3" s="21"/>
      <c r="BR3" s="21"/>
      <c r="BS3" s="21"/>
      <c r="BT3" s="21"/>
      <c r="BU3" s="21"/>
      <c r="BV3" s="21"/>
      <c r="BW3" s="21"/>
      <c r="BX3" s="21"/>
      <c r="BY3" s="21"/>
      <c r="BZ3" s="21"/>
      <c r="CA3" s="21"/>
      <c r="CB3" s="21"/>
      <c r="CC3" s="21"/>
      <c r="CD3" s="21"/>
      <c r="CE3" s="21"/>
      <c r="CF3" s="21"/>
      <c r="CG3" s="21"/>
      <c r="CH3" s="21"/>
      <c r="CI3" s="21"/>
      <c r="CJ3" s="21"/>
      <c r="CK3" s="21"/>
      <c r="CL3" s="21"/>
      <c r="CM3" s="21"/>
      <c r="CN3" s="21"/>
      <c r="CO3" s="21"/>
      <c r="CP3" s="21"/>
      <c r="CQ3" s="21"/>
      <c r="CR3" s="21"/>
      <c r="CS3" s="21"/>
      <c r="CT3" s="21"/>
      <c r="CU3" s="21"/>
      <c r="CV3" s="21"/>
      <c r="CW3" s="21"/>
      <c r="CX3" s="21"/>
      <c r="CY3" s="21"/>
      <c r="CZ3" s="21"/>
      <c r="DA3" s="21"/>
      <c r="DB3" s="21"/>
      <c r="DC3" s="21"/>
      <c r="DD3" s="21"/>
      <c r="DE3" s="21"/>
      <c r="DF3" s="21"/>
      <c r="DG3" s="21"/>
      <c r="DH3" s="21"/>
      <c r="DI3" s="21"/>
      <c r="DJ3" s="21"/>
      <c r="DK3" s="21"/>
      <c r="DL3" s="21"/>
      <c r="DM3" s="21"/>
      <c r="DN3" s="21"/>
      <c r="DO3" s="21"/>
      <c r="DP3" s="21"/>
      <c r="DQ3" s="21"/>
      <c r="DR3" s="21"/>
      <c r="DS3" s="21"/>
      <c r="DT3" s="21"/>
      <c r="DU3" s="21"/>
      <c r="DV3" s="21"/>
      <c r="DW3" s="21"/>
      <c r="DX3" s="21"/>
      <c r="DY3" s="21"/>
      <c r="DZ3" s="21"/>
      <c r="EA3" s="21"/>
      <c r="EB3" s="21"/>
      <c r="EC3" s="21"/>
      <c r="ED3" s="21"/>
      <c r="EE3" s="21"/>
      <c r="EF3" s="21"/>
      <c r="EG3" s="21"/>
      <c r="EH3" s="21"/>
      <c r="EI3" s="21"/>
      <c r="EJ3" s="21"/>
      <c r="EK3" s="21"/>
      <c r="EL3" s="21"/>
      <c r="EM3" s="21"/>
      <c r="EN3" s="21"/>
      <c r="EO3" s="21"/>
      <c r="EP3" s="21"/>
      <c r="EQ3" s="21"/>
      <c r="ER3" s="21"/>
      <c r="ES3" s="21"/>
      <c r="ET3" s="21"/>
      <c r="EU3" s="21"/>
      <c r="EV3" s="21"/>
      <c r="EW3" s="21"/>
      <c r="EX3" s="21"/>
      <c r="EY3" s="21"/>
    </row>
    <row r="4" spans="1:155" s="11" customFormat="1" x14ac:dyDescent="0.3">
      <c r="A4" s="21"/>
      <c r="B4" s="22" t="s">
        <v>988</v>
      </c>
      <c r="C4" s="21" t="s">
        <v>17</v>
      </c>
      <c r="D4" s="22" t="s">
        <v>246</v>
      </c>
      <c r="E4" s="24">
        <v>3.9</v>
      </c>
      <c r="F4" s="22" t="s">
        <v>10</v>
      </c>
      <c r="G4" s="22">
        <v>0</v>
      </c>
      <c r="H4" s="22">
        <v>20</v>
      </c>
      <c r="I4" s="22" t="s">
        <v>29</v>
      </c>
      <c r="J4" s="22" t="s">
        <v>9</v>
      </c>
      <c r="K4" s="22" t="s">
        <v>246</v>
      </c>
      <c r="L4" s="22" t="s">
        <v>987</v>
      </c>
      <c r="M4" s="22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21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21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21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21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21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21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21"/>
      <c r="EF4" s="21"/>
      <c r="EG4" s="21"/>
      <c r="EH4" s="21"/>
      <c r="EI4" s="21"/>
      <c r="EJ4" s="21"/>
      <c r="EK4" s="21"/>
      <c r="EL4" s="21"/>
      <c r="EM4" s="21"/>
      <c r="EN4" s="21"/>
      <c r="EO4" s="21"/>
      <c r="EP4" s="21"/>
      <c r="EQ4" s="21"/>
      <c r="ER4" s="21"/>
      <c r="ES4" s="21"/>
      <c r="ET4" s="21"/>
      <c r="EU4" s="21"/>
      <c r="EV4" s="21"/>
      <c r="EW4" s="21"/>
      <c r="EX4" s="21"/>
      <c r="EY4" s="21"/>
    </row>
    <row r="5" spans="1:155" s="11" customFormat="1" x14ac:dyDescent="0.3">
      <c r="A5" s="21"/>
      <c r="B5" s="22" t="s">
        <v>988</v>
      </c>
      <c r="C5" s="21" t="s">
        <v>17</v>
      </c>
      <c r="D5" s="22" t="s">
        <v>34</v>
      </c>
      <c r="E5" s="25">
        <v>2.9999999999999997E-4</v>
      </c>
      <c r="F5" s="22" t="s">
        <v>10</v>
      </c>
      <c r="G5" s="22">
        <v>0</v>
      </c>
      <c r="H5" s="22">
        <v>1E-3</v>
      </c>
      <c r="I5" s="22" t="s">
        <v>105</v>
      </c>
      <c r="J5" s="22" t="s">
        <v>9</v>
      </c>
      <c r="K5" s="22" t="s">
        <v>34</v>
      </c>
      <c r="L5" s="22" t="s">
        <v>987</v>
      </c>
      <c r="M5" s="22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</row>
    <row r="6" spans="1:155" s="11" customFormat="1" x14ac:dyDescent="0.3">
      <c r="A6" s="21"/>
      <c r="B6" s="22" t="s">
        <v>988</v>
      </c>
      <c r="C6" s="21" t="s">
        <v>17</v>
      </c>
      <c r="D6" s="22" t="s">
        <v>33</v>
      </c>
      <c r="E6" s="25">
        <v>6.9999999999999999E-4</v>
      </c>
      <c r="F6" s="22" t="s">
        <v>10</v>
      </c>
      <c r="G6" s="22">
        <v>0</v>
      </c>
      <c r="H6" s="22">
        <v>2E-3</v>
      </c>
      <c r="I6" s="22" t="s">
        <v>105</v>
      </c>
      <c r="J6" s="22" t="s">
        <v>9</v>
      </c>
      <c r="K6" s="22" t="s">
        <v>33</v>
      </c>
      <c r="L6" s="22" t="s">
        <v>987</v>
      </c>
      <c r="M6" s="22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1"/>
      <c r="DQ6" s="21"/>
      <c r="DR6" s="21"/>
      <c r="DS6" s="21"/>
      <c r="DT6" s="21"/>
      <c r="DU6" s="21"/>
      <c r="DV6" s="21"/>
      <c r="DW6" s="21"/>
      <c r="DX6" s="21"/>
      <c r="DY6" s="21"/>
      <c r="DZ6" s="21"/>
      <c r="EA6" s="21"/>
      <c r="EB6" s="21"/>
      <c r="EC6" s="21"/>
      <c r="ED6" s="21"/>
      <c r="EE6" s="21"/>
      <c r="EF6" s="21"/>
      <c r="EG6" s="21"/>
      <c r="EH6" s="21"/>
      <c r="EI6" s="21"/>
      <c r="EJ6" s="21"/>
      <c r="EK6" s="21"/>
      <c r="EL6" s="21"/>
      <c r="EM6" s="21"/>
      <c r="EN6" s="21"/>
      <c r="EO6" s="21"/>
      <c r="EP6" s="21"/>
      <c r="EQ6" s="21"/>
      <c r="ER6" s="21"/>
      <c r="ES6" s="21"/>
      <c r="ET6" s="21"/>
      <c r="EU6" s="21"/>
      <c r="EV6" s="21"/>
      <c r="EW6" s="21"/>
      <c r="EX6" s="21"/>
      <c r="EY6" s="21"/>
    </row>
    <row r="7" spans="1:155" s="11" customFormat="1" x14ac:dyDescent="0.3">
      <c r="A7" s="21"/>
      <c r="B7" s="22" t="s">
        <v>988</v>
      </c>
      <c r="C7" s="22" t="s">
        <v>1051</v>
      </c>
      <c r="D7" s="22" t="s">
        <v>809</v>
      </c>
      <c r="E7" s="26">
        <v>0.2</v>
      </c>
      <c r="F7" s="22" t="s">
        <v>10</v>
      </c>
      <c r="G7" s="27">
        <v>0</v>
      </c>
      <c r="H7" s="27">
        <v>100</v>
      </c>
      <c r="I7" s="22" t="s">
        <v>27</v>
      </c>
      <c r="J7" s="22" t="s">
        <v>9</v>
      </c>
      <c r="K7" s="22" t="s">
        <v>1038</v>
      </c>
      <c r="L7" s="22" t="s">
        <v>987</v>
      </c>
      <c r="M7" s="22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21"/>
      <c r="CS7" s="21"/>
      <c r="CT7" s="21"/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1"/>
      <c r="DQ7" s="21"/>
      <c r="DR7" s="21"/>
      <c r="DS7" s="21"/>
      <c r="DT7" s="21"/>
      <c r="DU7" s="21"/>
      <c r="DV7" s="21"/>
      <c r="DW7" s="21"/>
      <c r="DX7" s="21"/>
      <c r="DY7" s="21"/>
      <c r="DZ7" s="21"/>
      <c r="EA7" s="21"/>
      <c r="EB7" s="21"/>
      <c r="EC7" s="21"/>
      <c r="ED7" s="21"/>
      <c r="EE7" s="21"/>
      <c r="EF7" s="21"/>
      <c r="EG7" s="21"/>
      <c r="EH7" s="21"/>
      <c r="EI7" s="21"/>
      <c r="EJ7" s="21"/>
      <c r="EK7" s="21"/>
      <c r="EL7" s="21"/>
      <c r="EM7" s="21"/>
      <c r="EN7" s="21"/>
      <c r="EO7" s="21"/>
      <c r="EP7" s="21"/>
      <c r="EQ7" s="21"/>
      <c r="ER7" s="21"/>
      <c r="ES7" s="21"/>
      <c r="ET7" s="21"/>
      <c r="EU7" s="21"/>
      <c r="EV7" s="21"/>
      <c r="EW7" s="21"/>
      <c r="EX7" s="21"/>
      <c r="EY7" s="21"/>
    </row>
    <row r="8" spans="1:155" s="11" customFormat="1" x14ac:dyDescent="0.3">
      <c r="A8" s="21"/>
      <c r="B8" s="22" t="s">
        <v>988</v>
      </c>
      <c r="C8" s="22" t="s">
        <v>1051</v>
      </c>
      <c r="D8" s="22" t="s">
        <v>144</v>
      </c>
      <c r="E8" s="26">
        <v>0.8</v>
      </c>
      <c r="F8" s="22" t="s">
        <v>9</v>
      </c>
      <c r="G8" s="22"/>
      <c r="H8" s="22"/>
      <c r="I8" s="22" t="s">
        <v>27</v>
      </c>
      <c r="J8" s="22" t="s">
        <v>9</v>
      </c>
      <c r="K8" s="22" t="s">
        <v>144</v>
      </c>
      <c r="L8" s="22" t="s">
        <v>987</v>
      </c>
      <c r="M8" s="22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21"/>
      <c r="CS8" s="21"/>
      <c r="CT8" s="21"/>
      <c r="CU8" s="21"/>
      <c r="CV8" s="21"/>
      <c r="CW8" s="21"/>
      <c r="CX8" s="21"/>
      <c r="CY8" s="21"/>
      <c r="CZ8" s="21"/>
      <c r="DA8" s="21"/>
      <c r="DB8" s="21"/>
      <c r="DC8" s="21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1"/>
      <c r="DQ8" s="21"/>
      <c r="DR8" s="21"/>
      <c r="DS8" s="21"/>
      <c r="DT8" s="21"/>
      <c r="DU8" s="21"/>
      <c r="DV8" s="21"/>
      <c r="DW8" s="21"/>
      <c r="DX8" s="21"/>
      <c r="DY8" s="21"/>
      <c r="DZ8" s="21"/>
      <c r="EA8" s="21"/>
      <c r="EB8" s="21"/>
      <c r="EC8" s="21"/>
      <c r="ED8" s="21"/>
      <c r="EE8" s="21"/>
      <c r="EF8" s="21"/>
      <c r="EG8" s="21"/>
      <c r="EH8" s="21"/>
      <c r="EI8" s="21"/>
      <c r="EJ8" s="21"/>
      <c r="EK8" s="21"/>
      <c r="EL8" s="21"/>
      <c r="EM8" s="21"/>
      <c r="EN8" s="21"/>
      <c r="EO8" s="21"/>
      <c r="EP8" s="21"/>
      <c r="EQ8" s="21"/>
      <c r="ER8" s="21"/>
      <c r="ES8" s="21"/>
      <c r="ET8" s="21"/>
      <c r="EU8" s="21"/>
      <c r="EV8" s="21"/>
      <c r="EW8" s="21"/>
      <c r="EX8" s="21"/>
      <c r="EY8" s="21"/>
    </row>
    <row r="9" spans="1:155" s="11" customFormat="1" x14ac:dyDescent="0.3">
      <c r="A9" s="21"/>
      <c r="B9" s="22" t="s">
        <v>988</v>
      </c>
      <c r="C9" s="22" t="s">
        <v>1051</v>
      </c>
      <c r="D9" s="22" t="s">
        <v>145</v>
      </c>
      <c r="E9" s="26">
        <v>0.2</v>
      </c>
      <c r="F9" s="22" t="s">
        <v>9</v>
      </c>
      <c r="G9" s="22"/>
      <c r="H9" s="22"/>
      <c r="I9" s="22" t="s">
        <v>27</v>
      </c>
      <c r="J9" s="22" t="s">
        <v>9</v>
      </c>
      <c r="K9" s="22" t="s">
        <v>145</v>
      </c>
      <c r="L9" s="22" t="s">
        <v>987</v>
      </c>
      <c r="M9" s="22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21"/>
      <c r="CS9" s="21"/>
      <c r="CT9" s="21"/>
      <c r="CU9" s="21"/>
      <c r="CV9" s="21"/>
      <c r="CW9" s="21"/>
      <c r="CX9" s="21"/>
      <c r="CY9" s="21"/>
      <c r="CZ9" s="21"/>
      <c r="DA9" s="21"/>
      <c r="DB9" s="21"/>
      <c r="DC9" s="21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1"/>
      <c r="DQ9" s="21"/>
      <c r="DR9" s="21"/>
      <c r="DS9" s="21"/>
      <c r="DT9" s="21"/>
      <c r="DU9" s="21"/>
      <c r="DV9" s="21"/>
      <c r="DW9" s="21"/>
      <c r="DX9" s="21"/>
      <c r="DY9" s="21"/>
      <c r="DZ9" s="21"/>
      <c r="EA9" s="21"/>
      <c r="EB9" s="21"/>
      <c r="EC9" s="21"/>
      <c r="ED9" s="21"/>
      <c r="EE9" s="21"/>
      <c r="EF9" s="21"/>
      <c r="EG9" s="21"/>
      <c r="EH9" s="21"/>
      <c r="EI9" s="21"/>
      <c r="EJ9" s="21"/>
      <c r="EK9" s="21"/>
      <c r="EL9" s="21"/>
      <c r="EM9" s="21"/>
      <c r="EN9" s="21"/>
      <c r="EO9" s="21"/>
      <c r="EP9" s="21"/>
      <c r="EQ9" s="21"/>
      <c r="ER9" s="21"/>
      <c r="ES9" s="21"/>
      <c r="ET9" s="21"/>
      <c r="EU9" s="21"/>
      <c r="EV9" s="21"/>
      <c r="EW9" s="21"/>
      <c r="EX9" s="21"/>
      <c r="EY9" s="21"/>
    </row>
    <row r="10" spans="1:155" s="11" customFormat="1" x14ac:dyDescent="0.3">
      <c r="A10" s="21"/>
      <c r="B10" s="22" t="s">
        <v>988</v>
      </c>
      <c r="C10" s="22" t="s">
        <v>1051</v>
      </c>
      <c r="D10" s="22" t="s">
        <v>811</v>
      </c>
      <c r="E10" s="25">
        <v>3.5000000000000003E-2</v>
      </c>
      <c r="F10" s="22" t="s">
        <v>10</v>
      </c>
      <c r="G10" s="22">
        <v>0</v>
      </c>
      <c r="H10" s="22">
        <v>100</v>
      </c>
      <c r="I10" s="22" t="s">
        <v>27</v>
      </c>
      <c r="J10" s="22" t="s">
        <v>9</v>
      </c>
      <c r="K10" s="22" t="s">
        <v>1039</v>
      </c>
      <c r="L10" s="22" t="s">
        <v>987</v>
      </c>
      <c r="M10" s="22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  <c r="BK10" s="21"/>
      <c r="BL10" s="21"/>
      <c r="BM10" s="21"/>
      <c r="BN10" s="21"/>
      <c r="BO10" s="21"/>
      <c r="BP10" s="21"/>
      <c r="BQ10" s="21"/>
      <c r="BR10" s="21"/>
      <c r="BS10" s="21"/>
      <c r="BT10" s="21"/>
      <c r="BU10" s="21"/>
      <c r="BV10" s="21"/>
      <c r="BW10" s="21"/>
      <c r="BX10" s="21"/>
      <c r="BY10" s="21"/>
      <c r="BZ10" s="21"/>
      <c r="CA10" s="21"/>
      <c r="CB10" s="21"/>
      <c r="CC10" s="21"/>
      <c r="CD10" s="21"/>
      <c r="CE10" s="21"/>
      <c r="CF10" s="21"/>
      <c r="CG10" s="21"/>
      <c r="CH10" s="21"/>
      <c r="CI10" s="21"/>
      <c r="CJ10" s="21"/>
      <c r="CK10" s="21"/>
      <c r="CL10" s="21"/>
      <c r="CM10" s="21"/>
      <c r="CN10" s="21"/>
      <c r="CO10" s="21"/>
      <c r="CP10" s="21"/>
      <c r="CQ10" s="21"/>
      <c r="CR10" s="21"/>
      <c r="CS10" s="21"/>
      <c r="CT10" s="21"/>
      <c r="CU10" s="21"/>
      <c r="CV10" s="21"/>
      <c r="CW10" s="21"/>
      <c r="CX10" s="21"/>
      <c r="CY10" s="21"/>
      <c r="CZ10" s="21"/>
      <c r="DA10" s="21"/>
      <c r="DB10" s="21"/>
      <c r="DC10" s="21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1"/>
      <c r="DQ10" s="21"/>
      <c r="DR10" s="21"/>
      <c r="DS10" s="21"/>
      <c r="DT10" s="21"/>
      <c r="DU10" s="21"/>
      <c r="DV10" s="21"/>
      <c r="DW10" s="21"/>
      <c r="DX10" s="21"/>
      <c r="DY10" s="21"/>
      <c r="DZ10" s="21"/>
      <c r="EA10" s="21"/>
      <c r="EB10" s="21"/>
      <c r="EC10" s="21"/>
      <c r="ED10" s="21"/>
      <c r="EE10" s="21"/>
      <c r="EF10" s="21"/>
      <c r="EG10" s="21"/>
      <c r="EH10" s="21"/>
      <c r="EI10" s="21"/>
      <c r="EJ10" s="21"/>
      <c r="EK10" s="21"/>
      <c r="EL10" s="21"/>
      <c r="EM10" s="21"/>
      <c r="EN10" s="21"/>
      <c r="EO10" s="21"/>
      <c r="EP10" s="21"/>
      <c r="EQ10" s="21"/>
      <c r="ER10" s="21"/>
      <c r="ES10" s="21"/>
      <c r="ET10" s="21"/>
      <c r="EU10" s="21"/>
      <c r="EV10" s="21"/>
      <c r="EW10" s="21"/>
      <c r="EX10" s="21"/>
      <c r="EY10" s="21"/>
    </row>
    <row r="11" spans="1:155" s="11" customFormat="1" x14ac:dyDescent="0.3">
      <c r="A11" s="21"/>
      <c r="B11" s="22" t="s">
        <v>988</v>
      </c>
      <c r="C11" s="22" t="s">
        <v>1052</v>
      </c>
      <c r="D11" s="22" t="s">
        <v>60</v>
      </c>
      <c r="E11" s="26">
        <v>0.2</v>
      </c>
      <c r="F11" s="22" t="s">
        <v>10</v>
      </c>
      <c r="G11" s="27">
        <v>0</v>
      </c>
      <c r="H11" s="27">
        <v>100</v>
      </c>
      <c r="I11" s="22" t="s">
        <v>27</v>
      </c>
      <c r="J11" s="22" t="s">
        <v>9</v>
      </c>
      <c r="K11" s="22" t="s">
        <v>60</v>
      </c>
      <c r="L11" s="22" t="s">
        <v>987</v>
      </c>
      <c r="M11" s="22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  <c r="BK11" s="21"/>
      <c r="BL11" s="21"/>
      <c r="BM11" s="21"/>
      <c r="BN11" s="21"/>
      <c r="BO11" s="21"/>
      <c r="BP11" s="21"/>
      <c r="BQ11" s="21"/>
      <c r="BR11" s="21"/>
      <c r="BS11" s="21"/>
      <c r="BT11" s="21"/>
      <c r="BU11" s="21"/>
      <c r="BV11" s="21"/>
      <c r="BW11" s="21"/>
      <c r="BX11" s="21"/>
      <c r="BY11" s="21"/>
      <c r="BZ11" s="21"/>
      <c r="CA11" s="21"/>
      <c r="CB11" s="21"/>
      <c r="CC11" s="21"/>
      <c r="CD11" s="21"/>
      <c r="CE11" s="21"/>
      <c r="CF11" s="21"/>
      <c r="CG11" s="21"/>
      <c r="CH11" s="21"/>
      <c r="CI11" s="21"/>
      <c r="CJ11" s="21"/>
      <c r="CK11" s="21"/>
      <c r="CL11" s="21"/>
      <c r="CM11" s="21"/>
      <c r="CN11" s="21"/>
      <c r="CO11" s="21"/>
      <c r="CP11" s="21"/>
      <c r="CQ11" s="21"/>
      <c r="CR11" s="21"/>
      <c r="CS11" s="21"/>
      <c r="CT11" s="21"/>
      <c r="CU11" s="21"/>
      <c r="CV11" s="21"/>
      <c r="CW11" s="21"/>
      <c r="CX11" s="21"/>
      <c r="CY11" s="21"/>
      <c r="CZ11" s="21"/>
      <c r="DA11" s="21"/>
      <c r="DB11" s="21"/>
      <c r="DC11" s="21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1"/>
      <c r="DQ11" s="21"/>
      <c r="DR11" s="21"/>
      <c r="DS11" s="21"/>
      <c r="DT11" s="21"/>
      <c r="DU11" s="21"/>
      <c r="DV11" s="21"/>
      <c r="DW11" s="21"/>
      <c r="DX11" s="21"/>
      <c r="DY11" s="21"/>
      <c r="DZ11" s="21"/>
      <c r="EA11" s="21"/>
      <c r="EB11" s="21"/>
      <c r="EC11" s="21"/>
      <c r="ED11" s="21"/>
      <c r="EE11" s="21"/>
      <c r="EF11" s="21"/>
      <c r="EG11" s="21"/>
      <c r="EH11" s="21"/>
      <c r="EI11" s="21"/>
      <c r="EJ11" s="21"/>
      <c r="EK11" s="21"/>
      <c r="EL11" s="21"/>
      <c r="EM11" s="21"/>
      <c r="EN11" s="21"/>
      <c r="EO11" s="21"/>
      <c r="EP11" s="21"/>
      <c r="EQ11" s="21"/>
      <c r="ER11" s="21"/>
      <c r="ES11" s="21"/>
      <c r="ET11" s="21"/>
      <c r="EU11" s="21"/>
      <c r="EV11" s="21"/>
      <c r="EW11" s="21"/>
      <c r="EX11" s="21"/>
      <c r="EY11" s="21"/>
    </row>
    <row r="12" spans="1:155" s="11" customFormat="1" x14ac:dyDescent="0.3">
      <c r="A12" s="21"/>
      <c r="B12" s="22" t="s">
        <v>988</v>
      </c>
      <c r="C12" s="22" t="s">
        <v>1052</v>
      </c>
      <c r="D12" s="22" t="s">
        <v>146</v>
      </c>
      <c r="E12" s="26">
        <v>0.8</v>
      </c>
      <c r="F12" s="22" t="s">
        <v>9</v>
      </c>
      <c r="G12" s="22"/>
      <c r="H12" s="22"/>
      <c r="I12" s="22" t="s">
        <v>27</v>
      </c>
      <c r="J12" s="22" t="s">
        <v>9</v>
      </c>
      <c r="K12" s="22" t="s">
        <v>146</v>
      </c>
      <c r="L12" s="22" t="s">
        <v>987</v>
      </c>
      <c r="M12" s="22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  <c r="BL12" s="21"/>
      <c r="BM12" s="21"/>
      <c r="BN12" s="21"/>
      <c r="BO12" s="21"/>
      <c r="BP12" s="21"/>
      <c r="BQ12" s="21"/>
      <c r="BR12" s="21"/>
      <c r="BS12" s="21"/>
      <c r="BT12" s="21"/>
      <c r="BU12" s="21"/>
      <c r="BV12" s="21"/>
      <c r="BW12" s="21"/>
      <c r="BX12" s="21"/>
      <c r="BY12" s="21"/>
      <c r="BZ12" s="21"/>
      <c r="CA12" s="21"/>
      <c r="CB12" s="21"/>
      <c r="CC12" s="21"/>
      <c r="CD12" s="21"/>
      <c r="CE12" s="21"/>
      <c r="CF12" s="21"/>
      <c r="CG12" s="21"/>
      <c r="CH12" s="21"/>
      <c r="CI12" s="21"/>
      <c r="CJ12" s="21"/>
      <c r="CK12" s="21"/>
      <c r="CL12" s="21"/>
      <c r="CM12" s="21"/>
      <c r="CN12" s="21"/>
      <c r="CO12" s="21"/>
      <c r="CP12" s="21"/>
      <c r="CQ12" s="21"/>
      <c r="CR12" s="21"/>
      <c r="CS12" s="21"/>
      <c r="CT12" s="21"/>
      <c r="CU12" s="21"/>
      <c r="CV12" s="21"/>
      <c r="CW12" s="21"/>
      <c r="CX12" s="21"/>
      <c r="CY12" s="21"/>
      <c r="CZ12" s="21"/>
      <c r="DA12" s="21"/>
      <c r="DB12" s="21"/>
      <c r="DC12" s="21"/>
      <c r="DD12" s="21"/>
      <c r="DE12" s="21"/>
      <c r="DF12" s="21"/>
      <c r="DG12" s="21"/>
      <c r="DH12" s="21"/>
      <c r="DI12" s="21"/>
      <c r="DJ12" s="21"/>
      <c r="DK12" s="21"/>
      <c r="DL12" s="21"/>
      <c r="DM12" s="21"/>
      <c r="DN12" s="21"/>
      <c r="DO12" s="21"/>
      <c r="DP12" s="21"/>
      <c r="DQ12" s="21"/>
      <c r="DR12" s="21"/>
      <c r="DS12" s="21"/>
      <c r="DT12" s="21"/>
      <c r="DU12" s="21"/>
      <c r="DV12" s="21"/>
      <c r="DW12" s="21"/>
      <c r="DX12" s="21"/>
      <c r="DY12" s="21"/>
      <c r="DZ12" s="21"/>
      <c r="EA12" s="21"/>
      <c r="EB12" s="21"/>
      <c r="EC12" s="21"/>
      <c r="ED12" s="21"/>
      <c r="EE12" s="21"/>
      <c r="EF12" s="21"/>
      <c r="EG12" s="21"/>
      <c r="EH12" s="21"/>
      <c r="EI12" s="21"/>
      <c r="EJ12" s="21"/>
      <c r="EK12" s="21"/>
      <c r="EL12" s="21"/>
      <c r="EM12" s="21"/>
      <c r="EN12" s="21"/>
      <c r="EO12" s="21"/>
      <c r="EP12" s="21"/>
      <c r="EQ12" s="21"/>
      <c r="ER12" s="21"/>
      <c r="ES12" s="21"/>
      <c r="ET12" s="21"/>
      <c r="EU12" s="21"/>
      <c r="EV12" s="21"/>
      <c r="EW12" s="21"/>
      <c r="EX12" s="21"/>
      <c r="EY12" s="21"/>
    </row>
    <row r="13" spans="1:155" s="11" customFormat="1" x14ac:dyDescent="0.3">
      <c r="A13" s="21"/>
      <c r="B13" s="22" t="s">
        <v>988</v>
      </c>
      <c r="C13" s="22" t="s">
        <v>1052</v>
      </c>
      <c r="D13" s="22" t="s">
        <v>147</v>
      </c>
      <c r="E13" s="28">
        <v>0.2</v>
      </c>
      <c r="F13" s="22" t="s">
        <v>9</v>
      </c>
      <c r="G13" s="21"/>
      <c r="H13" s="22"/>
      <c r="I13" s="22" t="s">
        <v>27</v>
      </c>
      <c r="J13" s="22" t="s">
        <v>9</v>
      </c>
      <c r="K13" s="22" t="s">
        <v>147</v>
      </c>
      <c r="L13" s="22" t="s">
        <v>987</v>
      </c>
      <c r="M13" s="22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  <c r="BT13" s="21"/>
      <c r="BU13" s="21"/>
      <c r="BV13" s="21"/>
      <c r="BW13" s="21"/>
      <c r="BX13" s="21"/>
      <c r="BY13" s="21"/>
      <c r="BZ13" s="21"/>
      <c r="CA13" s="21"/>
      <c r="CB13" s="21"/>
      <c r="CC13" s="21"/>
      <c r="CD13" s="21"/>
      <c r="CE13" s="21"/>
      <c r="CF13" s="21"/>
      <c r="CG13" s="21"/>
      <c r="CH13" s="21"/>
      <c r="CI13" s="21"/>
      <c r="CJ13" s="21"/>
      <c r="CK13" s="21"/>
      <c r="CL13" s="21"/>
      <c r="CM13" s="21"/>
      <c r="CN13" s="21"/>
      <c r="CO13" s="21"/>
      <c r="CP13" s="21"/>
      <c r="CQ13" s="21"/>
      <c r="CR13" s="21"/>
      <c r="CS13" s="21"/>
      <c r="CT13" s="21"/>
      <c r="CU13" s="21"/>
      <c r="CV13" s="21"/>
      <c r="CW13" s="21"/>
      <c r="CX13" s="21"/>
      <c r="CY13" s="21"/>
      <c r="CZ13" s="21"/>
      <c r="DA13" s="21"/>
      <c r="DB13" s="21"/>
      <c r="DC13" s="21"/>
      <c r="DD13" s="21"/>
      <c r="DE13" s="21"/>
      <c r="DF13" s="21"/>
      <c r="DG13" s="21"/>
      <c r="DH13" s="21"/>
      <c r="DI13" s="21"/>
      <c r="DJ13" s="21"/>
      <c r="DK13" s="21"/>
      <c r="DL13" s="21"/>
      <c r="DM13" s="21"/>
      <c r="DN13" s="21"/>
      <c r="DO13" s="21"/>
      <c r="DP13" s="21"/>
      <c r="DQ13" s="21"/>
      <c r="DR13" s="21"/>
      <c r="DS13" s="21"/>
      <c r="DT13" s="21"/>
      <c r="DU13" s="21"/>
      <c r="DV13" s="21"/>
      <c r="DW13" s="21"/>
      <c r="DX13" s="21"/>
      <c r="DY13" s="21"/>
      <c r="DZ13" s="21"/>
      <c r="EA13" s="21"/>
      <c r="EB13" s="21"/>
      <c r="EC13" s="21"/>
      <c r="ED13" s="21"/>
      <c r="EE13" s="21"/>
      <c r="EF13" s="21"/>
      <c r="EG13" s="21"/>
      <c r="EH13" s="21"/>
      <c r="EI13" s="21"/>
      <c r="EJ13" s="21"/>
      <c r="EK13" s="21"/>
      <c r="EL13" s="21"/>
      <c r="EM13" s="21"/>
      <c r="EN13" s="21"/>
      <c r="EO13" s="21"/>
      <c r="EP13" s="21"/>
      <c r="EQ13" s="21"/>
      <c r="ER13" s="21"/>
      <c r="ES13" s="21"/>
      <c r="ET13" s="21"/>
      <c r="EU13" s="21"/>
      <c r="EV13" s="21"/>
      <c r="EW13" s="21"/>
      <c r="EX13" s="21"/>
      <c r="EY13" s="21"/>
    </row>
    <row r="14" spans="1:155" s="11" customFormat="1" x14ac:dyDescent="0.3">
      <c r="A14" s="21"/>
      <c r="B14" s="22" t="s">
        <v>988</v>
      </c>
      <c r="C14" s="22" t="s">
        <v>1052</v>
      </c>
      <c r="D14" s="22" t="s">
        <v>812</v>
      </c>
      <c r="E14" s="28">
        <v>0.1</v>
      </c>
      <c r="F14" s="22" t="s">
        <v>10</v>
      </c>
      <c r="G14" s="22">
        <v>0</v>
      </c>
      <c r="H14" s="22">
        <v>100</v>
      </c>
      <c r="I14" s="22" t="s">
        <v>27</v>
      </c>
      <c r="J14" s="22" t="s">
        <v>9</v>
      </c>
      <c r="K14" s="22" t="s">
        <v>1040</v>
      </c>
      <c r="L14" s="22" t="s">
        <v>987</v>
      </c>
      <c r="M14" s="22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  <c r="EQ14" s="21"/>
      <c r="ER14" s="21"/>
      <c r="ES14" s="21"/>
      <c r="ET14" s="21"/>
      <c r="EU14" s="21"/>
      <c r="EV14" s="21"/>
      <c r="EW14" s="21"/>
      <c r="EX14" s="21"/>
      <c r="EY14" s="21"/>
    </row>
    <row r="15" spans="1:155" s="11" customFormat="1" x14ac:dyDescent="0.3">
      <c r="A15" s="21"/>
      <c r="B15" s="22" t="s">
        <v>988</v>
      </c>
      <c r="C15" s="22" t="s">
        <v>18</v>
      </c>
      <c r="D15" s="22" t="s">
        <v>148</v>
      </c>
      <c r="E15" s="26">
        <v>0.05</v>
      </c>
      <c r="F15" s="22" t="s">
        <v>9</v>
      </c>
      <c r="G15" s="22"/>
      <c r="H15" s="22"/>
      <c r="I15" s="22" t="s">
        <v>27</v>
      </c>
      <c r="J15" s="22" t="s">
        <v>9</v>
      </c>
      <c r="K15" s="22" t="s">
        <v>1041</v>
      </c>
      <c r="L15" s="22" t="s">
        <v>987</v>
      </c>
      <c r="M15" s="22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1"/>
      <c r="CO15" s="21"/>
      <c r="CP15" s="21"/>
      <c r="CQ15" s="21"/>
      <c r="CR15" s="21"/>
      <c r="CS15" s="21"/>
      <c r="CT15" s="21"/>
      <c r="CU15" s="21"/>
      <c r="CV15" s="21"/>
      <c r="CW15" s="21"/>
      <c r="CX15" s="21"/>
      <c r="CY15" s="21"/>
      <c r="CZ15" s="21"/>
      <c r="DA15" s="21"/>
      <c r="DB15" s="21"/>
      <c r="DC15" s="21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1"/>
      <c r="DQ15" s="21"/>
      <c r="DR15" s="21"/>
      <c r="DS15" s="21"/>
      <c r="DT15" s="21"/>
      <c r="DU15" s="21"/>
      <c r="DV15" s="21"/>
      <c r="DW15" s="21"/>
      <c r="DX15" s="21"/>
      <c r="DY15" s="21"/>
      <c r="DZ15" s="21"/>
      <c r="EA15" s="21"/>
      <c r="EB15" s="21"/>
      <c r="EC15" s="21"/>
      <c r="ED15" s="21"/>
      <c r="EE15" s="21"/>
      <c r="EF15" s="21"/>
      <c r="EG15" s="21"/>
      <c r="EH15" s="21"/>
      <c r="EI15" s="21"/>
      <c r="EJ15" s="21"/>
      <c r="EK15" s="21"/>
      <c r="EL15" s="21"/>
      <c r="EM15" s="21"/>
      <c r="EN15" s="21"/>
      <c r="EO15" s="21"/>
      <c r="EP15" s="21"/>
      <c r="EQ15" s="21"/>
      <c r="ER15" s="21"/>
      <c r="ES15" s="21"/>
      <c r="ET15" s="21"/>
      <c r="EU15" s="21"/>
      <c r="EV15" s="21"/>
      <c r="EW15" s="21"/>
      <c r="EX15" s="21"/>
      <c r="EY15" s="21"/>
    </row>
    <row r="16" spans="1:155" s="11" customFormat="1" x14ac:dyDescent="0.3">
      <c r="A16" s="21"/>
      <c r="B16" s="22" t="s">
        <v>988</v>
      </c>
      <c r="C16" s="22" t="s">
        <v>18</v>
      </c>
      <c r="D16" s="22" t="s">
        <v>810</v>
      </c>
      <c r="E16" s="29">
        <v>0.05</v>
      </c>
      <c r="F16" s="22" t="s">
        <v>9</v>
      </c>
      <c r="G16" s="21"/>
      <c r="H16" s="21"/>
      <c r="I16" s="22" t="s">
        <v>27</v>
      </c>
      <c r="J16" s="22" t="s">
        <v>9</v>
      </c>
      <c r="K16" s="22" t="s">
        <v>1042</v>
      </c>
      <c r="L16" s="22" t="s">
        <v>987</v>
      </c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1"/>
      <c r="CO16" s="21"/>
      <c r="CP16" s="21"/>
      <c r="CQ16" s="21"/>
      <c r="CR16" s="21"/>
      <c r="CS16" s="21"/>
      <c r="CT16" s="21"/>
      <c r="CU16" s="21"/>
      <c r="CV16" s="21"/>
      <c r="CW16" s="21"/>
      <c r="CX16" s="21"/>
      <c r="CY16" s="21"/>
      <c r="CZ16" s="21"/>
      <c r="DA16" s="21"/>
      <c r="DB16" s="21"/>
      <c r="DC16" s="21"/>
      <c r="DD16" s="21"/>
      <c r="DE16" s="21"/>
      <c r="DF16" s="21"/>
      <c r="DG16" s="21"/>
      <c r="DH16" s="21"/>
      <c r="DI16" s="21"/>
      <c r="DJ16" s="21"/>
      <c r="DK16" s="21"/>
      <c r="DL16" s="21"/>
      <c r="DM16" s="21"/>
      <c r="DN16" s="21"/>
      <c r="DO16" s="21"/>
      <c r="DP16" s="21"/>
      <c r="DQ16" s="21"/>
      <c r="DR16" s="21"/>
      <c r="DS16" s="21"/>
      <c r="DT16" s="21"/>
      <c r="DU16" s="21"/>
      <c r="DV16" s="21"/>
      <c r="DW16" s="21"/>
      <c r="DX16" s="21"/>
      <c r="DY16" s="21"/>
      <c r="DZ16" s="21"/>
      <c r="EA16" s="21"/>
      <c r="EB16" s="21"/>
      <c r="EC16" s="21"/>
      <c r="ED16" s="21"/>
      <c r="EE16" s="21"/>
      <c r="EF16" s="21"/>
      <c r="EG16" s="21"/>
      <c r="EH16" s="21"/>
      <c r="EI16" s="21"/>
      <c r="EJ16" s="21"/>
      <c r="EK16" s="21"/>
      <c r="EL16" s="21"/>
      <c r="EM16" s="21"/>
      <c r="EN16" s="21"/>
      <c r="EO16" s="21"/>
      <c r="EP16" s="21"/>
      <c r="EQ16" s="21"/>
      <c r="ER16" s="21"/>
      <c r="ES16" s="21"/>
      <c r="ET16" s="21"/>
      <c r="EU16" s="21"/>
      <c r="EV16" s="21"/>
      <c r="EW16" s="21"/>
      <c r="EX16" s="21"/>
      <c r="EY16" s="21"/>
    </row>
    <row r="17" spans="1:155" s="11" customFormat="1" x14ac:dyDescent="0.3">
      <c r="A17" s="21"/>
      <c r="B17" s="22" t="s">
        <v>988</v>
      </c>
      <c r="C17" s="22" t="s">
        <v>18</v>
      </c>
      <c r="D17" s="22" t="s">
        <v>20</v>
      </c>
      <c r="E17" s="30">
        <v>0.25</v>
      </c>
      <c r="F17" s="21" t="s">
        <v>9</v>
      </c>
      <c r="G17" s="21"/>
      <c r="H17" s="21"/>
      <c r="I17" s="21" t="s">
        <v>21</v>
      </c>
      <c r="J17" s="22" t="s">
        <v>9</v>
      </c>
      <c r="K17" s="22" t="s">
        <v>20</v>
      </c>
      <c r="L17" s="22" t="s">
        <v>987</v>
      </c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</row>
    <row r="18" spans="1:155" s="11" customFormat="1" x14ac:dyDescent="0.3">
      <c r="A18" s="21"/>
      <c r="B18" s="22" t="s">
        <v>988</v>
      </c>
      <c r="C18" s="22" t="s">
        <v>31</v>
      </c>
      <c r="D18" s="22" t="s">
        <v>22</v>
      </c>
      <c r="E18" s="30">
        <v>0.39600000000000002</v>
      </c>
      <c r="F18" s="21" t="s">
        <v>9</v>
      </c>
      <c r="G18" s="21"/>
      <c r="H18" s="21"/>
      <c r="I18" s="21" t="s">
        <v>28</v>
      </c>
      <c r="J18" s="22" t="s">
        <v>9</v>
      </c>
      <c r="K18" s="22" t="s">
        <v>22</v>
      </c>
      <c r="L18" s="22" t="s">
        <v>987</v>
      </c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21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21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21"/>
      <c r="EF18" s="21"/>
      <c r="EG18" s="21"/>
      <c r="EH18" s="21"/>
      <c r="EI18" s="21"/>
      <c r="EJ18" s="21"/>
      <c r="EK18" s="21"/>
      <c r="EL18" s="21"/>
      <c r="EM18" s="21"/>
      <c r="EN18" s="21"/>
      <c r="EO18" s="21"/>
      <c r="EP18" s="21"/>
      <c r="EQ18" s="21"/>
      <c r="ER18" s="21"/>
      <c r="ES18" s="21"/>
      <c r="ET18" s="21"/>
      <c r="EU18" s="21"/>
      <c r="EV18" s="21"/>
      <c r="EW18" s="21"/>
      <c r="EX18" s="21"/>
      <c r="EY18" s="21"/>
    </row>
    <row r="19" spans="1:155" s="11" customFormat="1" x14ac:dyDescent="0.3">
      <c r="A19" s="21"/>
      <c r="B19" s="22" t="s">
        <v>988</v>
      </c>
      <c r="C19" s="22" t="s">
        <v>19</v>
      </c>
      <c r="D19" s="22" t="s">
        <v>23</v>
      </c>
      <c r="E19" s="30">
        <v>0.65800000000000003</v>
      </c>
      <c r="F19" s="21" t="s">
        <v>9</v>
      </c>
      <c r="G19" s="21"/>
      <c r="H19" s="21"/>
      <c r="I19" s="21" t="s">
        <v>28</v>
      </c>
      <c r="J19" s="22" t="s">
        <v>9</v>
      </c>
      <c r="K19" s="22" t="s">
        <v>23</v>
      </c>
      <c r="L19" s="22" t="s">
        <v>987</v>
      </c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CL19" s="21"/>
      <c r="CM19" s="21"/>
      <c r="CN19" s="21"/>
      <c r="CO19" s="21"/>
      <c r="CP19" s="21"/>
      <c r="CQ19" s="21"/>
      <c r="CR19" s="21"/>
      <c r="CS19" s="21"/>
      <c r="CT19" s="21"/>
      <c r="CU19" s="21"/>
      <c r="CV19" s="21"/>
      <c r="CW19" s="21"/>
      <c r="CX19" s="21"/>
      <c r="CY19" s="21"/>
      <c r="CZ19" s="21"/>
      <c r="DA19" s="21"/>
      <c r="DB19" s="21"/>
      <c r="DC19" s="21"/>
      <c r="DD19" s="21"/>
      <c r="DE19" s="21"/>
      <c r="DF19" s="21"/>
      <c r="DG19" s="21"/>
      <c r="DH19" s="21"/>
      <c r="DI19" s="21"/>
      <c r="DJ19" s="21"/>
      <c r="DK19" s="21"/>
      <c r="DL19" s="21"/>
      <c r="DM19" s="21"/>
      <c r="DN19" s="21"/>
      <c r="DO19" s="21"/>
      <c r="DP19" s="21"/>
      <c r="DQ19" s="21"/>
      <c r="DR19" s="21"/>
      <c r="DS19" s="21"/>
      <c r="DT19" s="21"/>
      <c r="DU19" s="21"/>
      <c r="DV19" s="21"/>
      <c r="DW19" s="21"/>
      <c r="DX19" s="21"/>
      <c r="DY19" s="21"/>
      <c r="DZ19" s="21"/>
      <c r="EA19" s="21"/>
      <c r="EB19" s="21"/>
      <c r="EC19" s="21"/>
      <c r="ED19" s="21"/>
      <c r="EE19" s="21"/>
      <c r="EF19" s="21"/>
      <c r="EG19" s="21"/>
      <c r="EH19" s="21"/>
      <c r="EI19" s="21"/>
      <c r="EJ19" s="21"/>
      <c r="EK19" s="21"/>
      <c r="EL19" s="21"/>
      <c r="EM19" s="21"/>
      <c r="EN19" s="21"/>
      <c r="EO19" s="21"/>
      <c r="EP19" s="21"/>
      <c r="EQ19" s="21"/>
      <c r="ER19" s="21"/>
      <c r="ES19" s="21"/>
      <c r="ET19" s="21"/>
      <c r="EU19" s="21"/>
      <c r="EV19" s="21"/>
      <c r="EW19" s="21"/>
      <c r="EX19" s="21"/>
      <c r="EY19" s="21"/>
    </row>
    <row r="20" spans="1:155" s="11" customFormat="1" x14ac:dyDescent="0.3">
      <c r="A20" s="21"/>
      <c r="B20" s="22" t="s">
        <v>988</v>
      </c>
      <c r="C20" s="22" t="s">
        <v>19</v>
      </c>
      <c r="D20" s="22" t="s">
        <v>24</v>
      </c>
      <c r="E20" s="30">
        <v>0.13300000000000001</v>
      </c>
      <c r="F20" s="21" t="s">
        <v>9</v>
      </c>
      <c r="G20" s="21"/>
      <c r="H20" s="21"/>
      <c r="I20" s="21" t="s">
        <v>28</v>
      </c>
      <c r="J20" s="22" t="s">
        <v>9</v>
      </c>
      <c r="K20" s="22" t="s">
        <v>24</v>
      </c>
      <c r="L20" s="22" t="s">
        <v>987</v>
      </c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</row>
    <row r="21" spans="1:155" s="11" customFormat="1" x14ac:dyDescent="0.3">
      <c r="A21" s="21"/>
      <c r="B21" s="22" t="s">
        <v>988</v>
      </c>
      <c r="C21" s="22" t="s">
        <v>235</v>
      </c>
      <c r="D21" s="17" t="s">
        <v>241</v>
      </c>
      <c r="E21" s="18">
        <f>1-E18</f>
        <v>0.60399999999999998</v>
      </c>
      <c r="F21" s="19" t="s">
        <v>9</v>
      </c>
      <c r="G21" s="19"/>
      <c r="H21" s="19"/>
      <c r="I21" s="19" t="s">
        <v>28</v>
      </c>
      <c r="J21" s="17" t="s">
        <v>9</v>
      </c>
      <c r="K21" s="17" t="s">
        <v>241</v>
      </c>
      <c r="L21" s="22" t="s">
        <v>987</v>
      </c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21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21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21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21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21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21"/>
      <c r="EF21" s="21"/>
      <c r="EG21" s="21"/>
      <c r="EH21" s="21"/>
      <c r="EI21" s="21"/>
      <c r="EJ21" s="21"/>
      <c r="EK21" s="21"/>
      <c r="EL21" s="21"/>
      <c r="EM21" s="21"/>
      <c r="EN21" s="21"/>
      <c r="EO21" s="21"/>
      <c r="EP21" s="21"/>
      <c r="EQ21" s="21"/>
      <c r="ER21" s="21"/>
      <c r="ES21" s="21"/>
      <c r="ET21" s="21"/>
      <c r="EU21" s="21"/>
      <c r="EV21" s="21"/>
      <c r="EW21" s="21"/>
      <c r="EX21" s="21"/>
      <c r="EY21" s="21"/>
    </row>
    <row r="22" spans="1:155" s="11" customFormat="1" x14ac:dyDescent="0.3">
      <c r="A22" s="21"/>
      <c r="B22" s="22" t="s">
        <v>988</v>
      </c>
      <c r="C22" s="22" t="s">
        <v>235</v>
      </c>
      <c r="D22" s="17" t="s">
        <v>242</v>
      </c>
      <c r="E22" s="18">
        <f>1-E19</f>
        <v>0.34199999999999997</v>
      </c>
      <c r="F22" s="19" t="s">
        <v>9</v>
      </c>
      <c r="G22" s="19"/>
      <c r="H22" s="19"/>
      <c r="I22" s="19" t="s">
        <v>28</v>
      </c>
      <c r="J22" s="17" t="s">
        <v>9</v>
      </c>
      <c r="K22" s="17" t="s">
        <v>242</v>
      </c>
      <c r="L22" s="22" t="s">
        <v>987</v>
      </c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21"/>
      <c r="BA22" s="21"/>
      <c r="BB22" s="21"/>
      <c r="BC22" s="21"/>
      <c r="BD22" s="21"/>
      <c r="BE22" s="21"/>
      <c r="BF22" s="21"/>
      <c r="BG22" s="21"/>
      <c r="BH22" s="21"/>
      <c r="BI22" s="21"/>
      <c r="BJ22" s="21"/>
      <c r="BK22" s="21"/>
      <c r="BL22" s="21"/>
      <c r="BM22" s="21"/>
      <c r="BN22" s="21"/>
      <c r="BO22" s="21"/>
      <c r="BP22" s="21"/>
      <c r="BQ22" s="21"/>
      <c r="BR22" s="21"/>
      <c r="BS22" s="21"/>
      <c r="BT22" s="21"/>
      <c r="BU22" s="21"/>
      <c r="BV22" s="21"/>
      <c r="BW22" s="21"/>
      <c r="BX22" s="21"/>
      <c r="BY22" s="21"/>
      <c r="BZ22" s="21"/>
      <c r="CA22" s="21"/>
      <c r="CB22" s="21"/>
      <c r="CC22" s="21"/>
      <c r="CD22" s="21"/>
      <c r="CE22" s="21"/>
      <c r="CF22" s="21"/>
      <c r="CG22" s="21"/>
      <c r="CH22" s="21"/>
      <c r="CI22" s="21"/>
      <c r="CJ22" s="21"/>
      <c r="CK22" s="21"/>
      <c r="CL22" s="21"/>
      <c r="CM22" s="21"/>
      <c r="CN22" s="21"/>
      <c r="CO22" s="21"/>
      <c r="CP22" s="21"/>
      <c r="CQ22" s="21"/>
      <c r="CR22" s="21"/>
      <c r="CS22" s="21"/>
      <c r="CT22" s="21"/>
      <c r="CU22" s="21"/>
      <c r="CV22" s="21"/>
      <c r="CW22" s="21"/>
      <c r="CX22" s="21"/>
      <c r="CY22" s="21"/>
      <c r="CZ22" s="21"/>
      <c r="DA22" s="21"/>
      <c r="DB22" s="21"/>
      <c r="DC22" s="21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1"/>
      <c r="DQ22" s="21"/>
      <c r="DR22" s="21"/>
      <c r="DS22" s="21"/>
      <c r="DT22" s="21"/>
      <c r="DU22" s="21"/>
      <c r="DV22" s="21"/>
      <c r="DW22" s="21"/>
      <c r="DX22" s="21"/>
      <c r="DY22" s="21"/>
      <c r="DZ22" s="21"/>
      <c r="EA22" s="21"/>
      <c r="EB22" s="21"/>
      <c r="EC22" s="21"/>
      <c r="ED22" s="21"/>
      <c r="EE22" s="21"/>
      <c r="EF22" s="21"/>
      <c r="EG22" s="21"/>
      <c r="EH22" s="21"/>
      <c r="EI22" s="21"/>
      <c r="EJ22" s="21"/>
      <c r="EK22" s="21"/>
      <c r="EL22" s="21"/>
      <c r="EM22" s="21"/>
      <c r="EN22" s="21"/>
      <c r="EO22" s="21"/>
      <c r="EP22" s="21"/>
      <c r="EQ22" s="21"/>
      <c r="ER22" s="21"/>
      <c r="ES22" s="21"/>
      <c r="ET22" s="21"/>
      <c r="EU22" s="21"/>
      <c r="EV22" s="21"/>
      <c r="EW22" s="21"/>
      <c r="EX22" s="21"/>
      <c r="EY22" s="21"/>
    </row>
    <row r="23" spans="1:155" s="11" customFormat="1" x14ac:dyDescent="0.3">
      <c r="A23" s="21"/>
      <c r="B23" s="22" t="s">
        <v>988</v>
      </c>
      <c r="C23" s="22" t="s">
        <v>235</v>
      </c>
      <c r="D23" s="17" t="s">
        <v>247</v>
      </c>
      <c r="E23" s="18">
        <f>1-E22</f>
        <v>0.65800000000000003</v>
      </c>
      <c r="F23" s="19" t="s">
        <v>9</v>
      </c>
      <c r="G23" s="19"/>
      <c r="H23" s="19"/>
      <c r="I23" s="19" t="s">
        <v>28</v>
      </c>
      <c r="J23" s="17" t="s">
        <v>9</v>
      </c>
      <c r="K23" s="17" t="s">
        <v>247</v>
      </c>
      <c r="L23" s="22" t="s">
        <v>987</v>
      </c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</row>
    <row r="24" spans="1:155" s="11" customFormat="1" x14ac:dyDescent="0.3">
      <c r="A24" s="21"/>
      <c r="B24" s="22" t="s">
        <v>988</v>
      </c>
      <c r="C24" s="22" t="s">
        <v>25</v>
      </c>
      <c r="D24" s="21" t="s">
        <v>109</v>
      </c>
      <c r="E24" s="31">
        <v>5.5</v>
      </c>
      <c r="F24" s="21" t="s">
        <v>10</v>
      </c>
      <c r="G24" s="21">
        <v>0</v>
      </c>
      <c r="H24" s="21">
        <v>20</v>
      </c>
      <c r="I24" s="21" t="s">
        <v>29</v>
      </c>
      <c r="J24" s="22" t="s">
        <v>9</v>
      </c>
      <c r="K24" s="21" t="s">
        <v>109</v>
      </c>
      <c r="L24" s="22" t="s">
        <v>987</v>
      </c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  <c r="BE24" s="21"/>
      <c r="BF24" s="21"/>
      <c r="BG24" s="21"/>
      <c r="BH24" s="21"/>
      <c r="BI24" s="21"/>
      <c r="BJ24" s="21"/>
      <c r="BK24" s="21"/>
      <c r="BL24" s="21"/>
      <c r="BM24" s="21"/>
      <c r="BN24" s="21"/>
      <c r="BO24" s="21"/>
      <c r="BP24" s="21"/>
      <c r="BQ24" s="21"/>
      <c r="BR24" s="21"/>
      <c r="BS24" s="21"/>
      <c r="BT24" s="21"/>
      <c r="BU24" s="21"/>
      <c r="BV24" s="21"/>
      <c r="BW24" s="21"/>
      <c r="BX24" s="21"/>
      <c r="BY24" s="21"/>
      <c r="BZ24" s="21"/>
      <c r="CA24" s="21"/>
      <c r="CB24" s="21"/>
      <c r="CC24" s="21"/>
      <c r="CD24" s="21"/>
      <c r="CE24" s="21"/>
      <c r="CF24" s="21"/>
      <c r="CG24" s="21"/>
      <c r="CH24" s="21"/>
      <c r="CI24" s="21"/>
      <c r="CJ24" s="21"/>
      <c r="CK24" s="21"/>
      <c r="CL24" s="21"/>
      <c r="CM24" s="21"/>
      <c r="CN24" s="21"/>
      <c r="CO24" s="21"/>
      <c r="CP24" s="21"/>
      <c r="CQ24" s="21"/>
      <c r="CR24" s="21"/>
      <c r="CS24" s="21"/>
      <c r="CT24" s="21"/>
      <c r="CU24" s="21"/>
      <c r="CV24" s="21"/>
      <c r="CW24" s="21"/>
      <c r="CX24" s="21"/>
      <c r="CY24" s="21"/>
      <c r="CZ24" s="21"/>
      <c r="DA24" s="21"/>
      <c r="DB24" s="21"/>
      <c r="DC24" s="21"/>
      <c r="DD24" s="21"/>
      <c r="DE24" s="21"/>
      <c r="DF24" s="21"/>
      <c r="DG24" s="21"/>
      <c r="DH24" s="21"/>
      <c r="DI24" s="21"/>
      <c r="DJ24" s="21"/>
      <c r="DK24" s="21"/>
      <c r="DL24" s="21"/>
      <c r="DM24" s="21"/>
      <c r="DN24" s="21"/>
      <c r="DO24" s="21"/>
      <c r="DP24" s="21"/>
      <c r="DQ24" s="21"/>
      <c r="DR24" s="21"/>
      <c r="DS24" s="21"/>
      <c r="DT24" s="21"/>
      <c r="DU24" s="21"/>
      <c r="DV24" s="21"/>
      <c r="DW24" s="21"/>
      <c r="DX24" s="21"/>
      <c r="DY24" s="21"/>
      <c r="DZ24" s="21"/>
      <c r="EA24" s="21"/>
      <c r="EB24" s="21"/>
      <c r="EC24" s="21"/>
      <c r="ED24" s="21"/>
      <c r="EE24" s="21"/>
      <c r="EF24" s="21"/>
      <c r="EG24" s="21"/>
      <c r="EH24" s="21"/>
      <c r="EI24" s="21"/>
      <c r="EJ24" s="21"/>
      <c r="EK24" s="21"/>
      <c r="EL24" s="21"/>
      <c r="EM24" s="21"/>
      <c r="EN24" s="21"/>
      <c r="EO24" s="21"/>
      <c r="EP24" s="21"/>
      <c r="EQ24" s="21"/>
      <c r="ER24" s="21"/>
      <c r="ES24" s="21"/>
      <c r="ET24" s="21"/>
      <c r="EU24" s="21"/>
      <c r="EV24" s="21"/>
      <c r="EW24" s="21"/>
      <c r="EX24" s="21"/>
      <c r="EY24" s="21"/>
    </row>
    <row r="25" spans="1:155" s="11" customFormat="1" x14ac:dyDescent="0.3">
      <c r="A25" s="21"/>
      <c r="B25" s="22" t="s">
        <v>988</v>
      </c>
      <c r="C25" s="22" t="s">
        <v>25</v>
      </c>
      <c r="D25" s="21" t="s">
        <v>108</v>
      </c>
      <c r="E25" s="31">
        <v>60</v>
      </c>
      <c r="F25" s="21" t="s">
        <v>9</v>
      </c>
      <c r="G25" s="21"/>
      <c r="H25" s="21"/>
      <c r="I25" s="21" t="s">
        <v>21</v>
      </c>
      <c r="J25" s="22" t="s">
        <v>9</v>
      </c>
      <c r="K25" s="21" t="s">
        <v>108</v>
      </c>
      <c r="L25" s="22" t="s">
        <v>987</v>
      </c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21"/>
      <c r="CS25" s="21"/>
      <c r="CT25" s="21"/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1"/>
      <c r="DQ25" s="21"/>
      <c r="DR25" s="21"/>
      <c r="DS25" s="21"/>
      <c r="DT25" s="21"/>
      <c r="DU25" s="21"/>
      <c r="DV25" s="21"/>
      <c r="DW25" s="21"/>
      <c r="DX25" s="21"/>
      <c r="DY25" s="21"/>
      <c r="DZ25" s="21"/>
      <c r="EA25" s="21"/>
      <c r="EB25" s="21"/>
      <c r="EC25" s="21"/>
      <c r="ED25" s="21"/>
      <c r="EE25" s="21"/>
      <c r="EF25" s="21"/>
      <c r="EG25" s="21"/>
      <c r="EH25" s="21"/>
      <c r="EI25" s="21"/>
      <c r="EJ25" s="21"/>
      <c r="EK25" s="21"/>
      <c r="EL25" s="21"/>
      <c r="EM25" s="21"/>
      <c r="EN25" s="21"/>
      <c r="EO25" s="21"/>
      <c r="EP25" s="21"/>
      <c r="EQ25" s="21"/>
      <c r="ER25" s="21"/>
      <c r="ES25" s="21"/>
      <c r="ET25" s="21"/>
      <c r="EU25" s="21"/>
      <c r="EV25" s="21"/>
      <c r="EW25" s="21"/>
      <c r="EX25" s="21"/>
      <c r="EY25" s="21"/>
    </row>
    <row r="26" spans="1:155" s="11" customFormat="1" x14ac:dyDescent="0.3">
      <c r="A26" s="21"/>
      <c r="B26" s="22" t="s">
        <v>988</v>
      </c>
      <c r="C26" s="22" t="s">
        <v>249</v>
      </c>
      <c r="D26" s="22" t="s">
        <v>251</v>
      </c>
      <c r="E26" s="32">
        <v>7172</v>
      </c>
      <c r="F26" s="21" t="s">
        <v>10</v>
      </c>
      <c r="G26" s="21">
        <v>0</v>
      </c>
      <c r="H26" s="21">
        <v>100000</v>
      </c>
      <c r="I26" s="21" t="s">
        <v>1043</v>
      </c>
      <c r="J26" s="21" t="s">
        <v>10</v>
      </c>
      <c r="K26" s="22" t="s">
        <v>251</v>
      </c>
      <c r="L26" s="22" t="s">
        <v>987</v>
      </c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</row>
    <row r="27" spans="1:155" s="11" customFormat="1" x14ac:dyDescent="0.3">
      <c r="A27" s="21"/>
      <c r="B27" s="22" t="s">
        <v>240</v>
      </c>
      <c r="C27" s="22" t="s">
        <v>249</v>
      </c>
      <c r="D27" s="22" t="s">
        <v>30</v>
      </c>
      <c r="E27" s="31">
        <v>0.5</v>
      </c>
      <c r="F27" s="22" t="s">
        <v>9</v>
      </c>
      <c r="G27" s="21"/>
      <c r="H27" s="21"/>
      <c r="I27" s="21" t="s">
        <v>28</v>
      </c>
      <c r="J27" s="21" t="s">
        <v>9</v>
      </c>
      <c r="K27" s="22" t="s">
        <v>30</v>
      </c>
      <c r="L27" s="22" t="s">
        <v>987</v>
      </c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21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21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21"/>
      <c r="EF27" s="21"/>
      <c r="EG27" s="21"/>
      <c r="EH27" s="21"/>
      <c r="EI27" s="21"/>
      <c r="EJ27" s="21"/>
      <c r="EK27" s="21"/>
      <c r="EL27" s="21"/>
      <c r="EM27" s="21"/>
      <c r="EN27" s="21"/>
      <c r="EO27" s="21"/>
      <c r="EP27" s="21"/>
      <c r="EQ27" s="21"/>
      <c r="ER27" s="21"/>
      <c r="ES27" s="21"/>
      <c r="ET27" s="21"/>
      <c r="EU27" s="21"/>
      <c r="EV27" s="21"/>
      <c r="EW27" s="21"/>
      <c r="EX27" s="21"/>
      <c r="EY27" s="21"/>
    </row>
    <row r="28" spans="1:155" s="11" customFormat="1" x14ac:dyDescent="0.3">
      <c r="A28" s="21"/>
      <c r="B28" s="22" t="s">
        <v>988</v>
      </c>
      <c r="C28" s="22" t="s">
        <v>250</v>
      </c>
      <c r="D28" s="22" t="s">
        <v>237</v>
      </c>
      <c r="E28" s="32">
        <v>2217</v>
      </c>
      <c r="F28" s="22" t="s">
        <v>10</v>
      </c>
      <c r="G28" s="21">
        <v>0</v>
      </c>
      <c r="H28" s="21">
        <v>6000</v>
      </c>
      <c r="I28" s="21" t="s">
        <v>1043</v>
      </c>
      <c r="J28" s="21" t="s">
        <v>10</v>
      </c>
      <c r="K28" s="22" t="s">
        <v>1047</v>
      </c>
      <c r="L28" s="22" t="s">
        <v>987</v>
      </c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1"/>
      <c r="BO28" s="21"/>
      <c r="BP28" s="21"/>
      <c r="BQ28" s="21"/>
      <c r="BR28" s="21"/>
      <c r="BS28" s="21"/>
      <c r="BT28" s="21"/>
      <c r="BU28" s="21"/>
      <c r="BV28" s="21"/>
      <c r="BW28" s="21"/>
      <c r="BX28" s="21"/>
      <c r="BY28" s="21"/>
      <c r="BZ28" s="21"/>
      <c r="CA28" s="21"/>
      <c r="CB28" s="21"/>
      <c r="CC28" s="21"/>
      <c r="CD28" s="21"/>
      <c r="CE28" s="21"/>
      <c r="CF28" s="21"/>
      <c r="CG28" s="21"/>
      <c r="CH28" s="21"/>
      <c r="CI28" s="21"/>
      <c r="CJ28" s="21"/>
      <c r="CK28" s="21"/>
      <c r="CL28" s="21"/>
      <c r="CM28" s="21"/>
      <c r="CN28" s="21"/>
      <c r="CO28" s="21"/>
      <c r="CP28" s="21"/>
      <c r="CQ28" s="21"/>
      <c r="CR28" s="21"/>
      <c r="CS28" s="21"/>
      <c r="CT28" s="21"/>
      <c r="CU28" s="21"/>
      <c r="CV28" s="21"/>
      <c r="CW28" s="21"/>
      <c r="CX28" s="21"/>
      <c r="CY28" s="21"/>
      <c r="CZ28" s="21"/>
      <c r="DA28" s="21"/>
      <c r="DB28" s="21"/>
      <c r="DC28" s="21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1"/>
      <c r="DQ28" s="21"/>
      <c r="DR28" s="21"/>
      <c r="DS28" s="21"/>
      <c r="DT28" s="21"/>
      <c r="DU28" s="21"/>
      <c r="DV28" s="21"/>
      <c r="DW28" s="21"/>
      <c r="DX28" s="21"/>
      <c r="DY28" s="21"/>
      <c r="DZ28" s="21"/>
      <c r="EA28" s="21"/>
      <c r="EB28" s="21"/>
      <c r="EC28" s="21"/>
      <c r="ED28" s="21"/>
      <c r="EE28" s="21"/>
      <c r="EF28" s="21"/>
      <c r="EG28" s="21"/>
      <c r="EH28" s="21"/>
      <c r="EI28" s="21"/>
      <c r="EJ28" s="21"/>
      <c r="EK28" s="21"/>
      <c r="EL28" s="21"/>
      <c r="EM28" s="21"/>
      <c r="EN28" s="21"/>
      <c r="EO28" s="21"/>
      <c r="EP28" s="21"/>
      <c r="EQ28" s="21"/>
      <c r="ER28" s="21"/>
      <c r="ES28" s="21"/>
      <c r="ET28" s="21"/>
      <c r="EU28" s="21"/>
      <c r="EV28" s="21"/>
      <c r="EW28" s="21"/>
      <c r="EX28" s="21"/>
      <c r="EY28" s="21"/>
    </row>
    <row r="29" spans="1:155" s="11" customFormat="1" x14ac:dyDescent="0.3">
      <c r="A29" s="21"/>
      <c r="B29" s="22" t="s">
        <v>988</v>
      </c>
      <c r="C29" s="22" t="s">
        <v>250</v>
      </c>
      <c r="D29" s="22" t="s">
        <v>238</v>
      </c>
      <c r="E29" s="32">
        <v>2217</v>
      </c>
      <c r="F29" s="22" t="s">
        <v>10</v>
      </c>
      <c r="G29" s="21">
        <v>0</v>
      </c>
      <c r="H29" s="21">
        <v>6000</v>
      </c>
      <c r="I29" s="21" t="s">
        <v>1043</v>
      </c>
      <c r="J29" s="21" t="s">
        <v>10</v>
      </c>
      <c r="K29" s="22" t="s">
        <v>1046</v>
      </c>
      <c r="L29" s="22" t="s">
        <v>987</v>
      </c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</row>
    <row r="30" spans="1:155" s="11" customFormat="1" x14ac:dyDescent="0.3">
      <c r="A30" s="21"/>
      <c r="B30" s="22" t="s">
        <v>240</v>
      </c>
      <c r="C30" s="22" t="s">
        <v>244</v>
      </c>
      <c r="D30" s="22" t="s">
        <v>243</v>
      </c>
      <c r="E30" s="33">
        <f>0.03</f>
        <v>0.03</v>
      </c>
      <c r="F30" s="22" t="s">
        <v>985</v>
      </c>
      <c r="G30" s="21"/>
      <c r="H30" s="21"/>
      <c r="I30" s="21" t="s">
        <v>29</v>
      </c>
      <c r="J30" s="21" t="s">
        <v>9</v>
      </c>
      <c r="K30" s="22" t="s">
        <v>243</v>
      </c>
      <c r="L30" s="22" t="s">
        <v>987</v>
      </c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1"/>
      <c r="BG30" s="21"/>
      <c r="BH30" s="21"/>
      <c r="BI30" s="21"/>
      <c r="BJ30" s="21"/>
      <c r="BK30" s="21"/>
      <c r="BL30" s="21"/>
      <c r="BM30" s="21"/>
      <c r="BN30" s="21"/>
      <c r="BO30" s="21"/>
      <c r="BP30" s="21"/>
      <c r="BQ30" s="21"/>
      <c r="BR30" s="21"/>
      <c r="BS30" s="21"/>
      <c r="BT30" s="21"/>
      <c r="BU30" s="21"/>
      <c r="BV30" s="21"/>
      <c r="BW30" s="21"/>
      <c r="BX30" s="21"/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I30" s="21"/>
      <c r="CJ30" s="21"/>
      <c r="CK30" s="21"/>
      <c r="CL30" s="21"/>
      <c r="CM30" s="21"/>
      <c r="CN30" s="21"/>
      <c r="CO30" s="21"/>
      <c r="CP30" s="21"/>
      <c r="CQ30" s="21"/>
      <c r="CR30" s="21"/>
      <c r="CS30" s="21"/>
      <c r="CT30" s="21"/>
      <c r="CU30" s="21"/>
      <c r="CV30" s="21"/>
      <c r="CW30" s="21"/>
      <c r="CX30" s="21"/>
      <c r="CY30" s="21"/>
      <c r="CZ30" s="21"/>
      <c r="DA30" s="21"/>
      <c r="DB30" s="21"/>
      <c r="DC30" s="21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1"/>
      <c r="DQ30" s="21"/>
      <c r="DR30" s="21"/>
      <c r="DS30" s="21"/>
      <c r="DT30" s="21"/>
      <c r="DU30" s="21"/>
      <c r="DV30" s="21"/>
      <c r="DW30" s="21"/>
      <c r="DX30" s="21"/>
      <c r="DY30" s="21"/>
      <c r="DZ30" s="21"/>
      <c r="EA30" s="21"/>
      <c r="EB30" s="21"/>
      <c r="EC30" s="21"/>
      <c r="ED30" s="21"/>
      <c r="EE30" s="21"/>
      <c r="EF30" s="21"/>
      <c r="EG30" s="21"/>
      <c r="EH30" s="21"/>
      <c r="EI30" s="21"/>
      <c r="EJ30" s="21"/>
      <c r="EK30" s="21"/>
      <c r="EL30" s="21"/>
      <c r="EM30" s="21"/>
      <c r="EN30" s="21"/>
      <c r="EO30" s="21"/>
      <c r="EP30" s="21"/>
      <c r="EQ30" s="21"/>
      <c r="ER30" s="21"/>
      <c r="ES30" s="21"/>
      <c r="ET30" s="21"/>
      <c r="EU30" s="21"/>
      <c r="EV30" s="21"/>
      <c r="EW30" s="21"/>
      <c r="EX30" s="21"/>
      <c r="EY30" s="21"/>
    </row>
    <row r="31" spans="1:155" s="11" customFormat="1" x14ac:dyDescent="0.3">
      <c r="A31" s="21"/>
      <c r="B31" s="22" t="s">
        <v>240</v>
      </c>
      <c r="C31" s="22" t="s">
        <v>102</v>
      </c>
      <c r="D31" s="22" t="s">
        <v>68</v>
      </c>
      <c r="E31" s="33">
        <v>1.03</v>
      </c>
      <c r="F31" s="22" t="s">
        <v>9</v>
      </c>
      <c r="G31" s="21"/>
      <c r="H31" s="21"/>
      <c r="I31" s="21" t="s">
        <v>26</v>
      </c>
      <c r="J31" s="21" t="s">
        <v>9</v>
      </c>
      <c r="K31" s="22" t="s">
        <v>68</v>
      </c>
      <c r="L31" s="22" t="s">
        <v>987</v>
      </c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1"/>
      <c r="BO31" s="21"/>
      <c r="BP31" s="21"/>
      <c r="BQ31" s="21"/>
      <c r="BR31" s="21"/>
      <c r="BS31" s="21"/>
      <c r="BT31" s="21"/>
      <c r="BU31" s="21"/>
      <c r="BV31" s="21"/>
      <c r="BW31" s="21"/>
      <c r="BX31" s="21"/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I31" s="21"/>
      <c r="CJ31" s="21"/>
      <c r="CK31" s="21"/>
      <c r="CL31" s="21"/>
      <c r="CM31" s="21"/>
      <c r="CN31" s="21"/>
      <c r="CO31" s="21"/>
      <c r="CP31" s="21"/>
      <c r="CQ31" s="21"/>
      <c r="CR31" s="21"/>
      <c r="CS31" s="21"/>
      <c r="CT31" s="21"/>
      <c r="CU31" s="21"/>
      <c r="CV31" s="21"/>
      <c r="CW31" s="21"/>
      <c r="CX31" s="21"/>
      <c r="CY31" s="21"/>
      <c r="CZ31" s="21"/>
      <c r="DA31" s="21"/>
      <c r="DB31" s="21"/>
      <c r="DC31" s="21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1"/>
      <c r="DQ31" s="21"/>
      <c r="DR31" s="21"/>
      <c r="DS31" s="21"/>
      <c r="DT31" s="21"/>
      <c r="DU31" s="21"/>
      <c r="DV31" s="21"/>
      <c r="DW31" s="21"/>
      <c r="DX31" s="21"/>
      <c r="DY31" s="21"/>
      <c r="DZ31" s="21"/>
      <c r="EA31" s="21"/>
      <c r="EB31" s="21"/>
      <c r="EC31" s="21"/>
      <c r="ED31" s="21"/>
      <c r="EE31" s="21"/>
      <c r="EF31" s="21"/>
      <c r="EG31" s="21"/>
      <c r="EH31" s="21"/>
      <c r="EI31" s="21"/>
      <c r="EJ31" s="21"/>
      <c r="EK31" s="21"/>
      <c r="EL31" s="21"/>
      <c r="EM31" s="21"/>
      <c r="EN31" s="21"/>
      <c r="EO31" s="21"/>
      <c r="EP31" s="21"/>
      <c r="EQ31" s="21"/>
      <c r="ER31" s="21"/>
      <c r="ES31" s="21"/>
      <c r="ET31" s="21"/>
      <c r="EU31" s="21"/>
      <c r="EV31" s="21"/>
      <c r="EW31" s="21"/>
      <c r="EX31" s="21"/>
      <c r="EY31" s="21"/>
    </row>
    <row r="32" spans="1:155" s="11" customFormat="1" x14ac:dyDescent="0.3">
      <c r="A32" s="21"/>
      <c r="B32" s="22" t="s">
        <v>990</v>
      </c>
      <c r="C32" s="22" t="s">
        <v>104</v>
      </c>
      <c r="D32" s="22" t="s">
        <v>991</v>
      </c>
      <c r="E32" s="34">
        <v>7.0000000000000001E-3</v>
      </c>
      <c r="F32" s="22" t="s">
        <v>10</v>
      </c>
      <c r="G32" s="21">
        <v>0</v>
      </c>
      <c r="H32" s="21">
        <v>0.02</v>
      </c>
      <c r="I32" s="21" t="s">
        <v>105</v>
      </c>
      <c r="J32" s="21" t="s">
        <v>9</v>
      </c>
      <c r="K32" s="22" t="s">
        <v>1031</v>
      </c>
      <c r="L32" s="22" t="s">
        <v>987</v>
      </c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</row>
    <row r="33" spans="1:155" s="11" customFormat="1" x14ac:dyDescent="0.3">
      <c r="A33" s="21"/>
      <c r="B33" s="22" t="s">
        <v>990</v>
      </c>
      <c r="C33" s="22" t="s">
        <v>103</v>
      </c>
      <c r="D33" s="22" t="s">
        <v>992</v>
      </c>
      <c r="E33" s="34">
        <v>2.9999999999999997E-4</v>
      </c>
      <c r="F33" s="22" t="s">
        <v>10</v>
      </c>
      <c r="G33" s="21">
        <v>0</v>
      </c>
      <c r="H33" s="21">
        <v>2E-3</v>
      </c>
      <c r="I33" s="21" t="s">
        <v>105</v>
      </c>
      <c r="J33" s="21" t="s">
        <v>9</v>
      </c>
      <c r="K33" s="22" t="s">
        <v>1032</v>
      </c>
      <c r="L33" s="22" t="s">
        <v>987</v>
      </c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21"/>
      <c r="CS33" s="21"/>
      <c r="CT33" s="21"/>
      <c r="CU33" s="21"/>
      <c r="CV33" s="21"/>
      <c r="CW33" s="21"/>
      <c r="CX33" s="21"/>
      <c r="CY33" s="21"/>
      <c r="CZ33" s="21"/>
      <c r="DA33" s="21"/>
      <c r="DB33" s="21"/>
      <c r="DC33" s="21"/>
      <c r="DD33" s="21"/>
      <c r="DE33" s="21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1"/>
      <c r="DQ33" s="21"/>
      <c r="DR33" s="21"/>
      <c r="DS33" s="21"/>
      <c r="DT33" s="21"/>
      <c r="DU33" s="21"/>
      <c r="DV33" s="21"/>
      <c r="DW33" s="21"/>
      <c r="DX33" s="21"/>
      <c r="DY33" s="21"/>
      <c r="DZ33" s="21"/>
      <c r="EA33" s="21"/>
      <c r="EB33" s="21"/>
      <c r="EC33" s="21"/>
      <c r="ED33" s="21"/>
      <c r="EE33" s="21"/>
      <c r="EF33" s="21"/>
      <c r="EG33" s="21"/>
      <c r="EH33" s="21"/>
      <c r="EI33" s="21"/>
      <c r="EJ33" s="21"/>
      <c r="EK33" s="21"/>
      <c r="EL33" s="21"/>
      <c r="EM33" s="21"/>
      <c r="EN33" s="21"/>
      <c r="EO33" s="21"/>
      <c r="EP33" s="21"/>
      <c r="EQ33" s="21"/>
      <c r="ER33" s="21"/>
      <c r="ES33" s="21"/>
      <c r="ET33" s="21"/>
      <c r="EU33" s="21"/>
      <c r="EV33" s="21"/>
      <c r="EW33" s="21"/>
      <c r="EX33" s="21"/>
      <c r="EY33" s="21"/>
    </row>
    <row r="34" spans="1:155" s="11" customFormat="1" x14ac:dyDescent="0.3">
      <c r="A34" s="21"/>
      <c r="B34" s="22" t="s">
        <v>990</v>
      </c>
      <c r="C34" s="22" t="s">
        <v>103</v>
      </c>
      <c r="D34" s="22" t="s">
        <v>993</v>
      </c>
      <c r="E34" s="34">
        <v>2.9999999999999997E-4</v>
      </c>
      <c r="F34" s="22" t="s">
        <v>10</v>
      </c>
      <c r="G34" s="21">
        <v>0</v>
      </c>
      <c r="H34" s="21">
        <v>2E-3</v>
      </c>
      <c r="I34" s="21" t="s">
        <v>105</v>
      </c>
      <c r="J34" s="21" t="s">
        <v>9</v>
      </c>
      <c r="K34" s="22" t="s">
        <v>1033</v>
      </c>
      <c r="L34" s="22" t="s">
        <v>987</v>
      </c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1"/>
      <c r="BG34" s="21"/>
      <c r="BH34" s="21"/>
      <c r="BI34" s="21"/>
      <c r="BJ34" s="21"/>
      <c r="BK34" s="21"/>
      <c r="BL34" s="21"/>
      <c r="BM34" s="21"/>
      <c r="BN34" s="21"/>
      <c r="BO34" s="21"/>
      <c r="BP34" s="21"/>
      <c r="BQ34" s="21"/>
      <c r="BR34" s="21"/>
      <c r="BS34" s="21"/>
      <c r="BT34" s="21"/>
      <c r="BU34" s="21"/>
      <c r="BV34" s="21"/>
      <c r="BW34" s="21"/>
      <c r="BX34" s="21"/>
      <c r="BY34" s="21"/>
      <c r="BZ34" s="21"/>
      <c r="CA34" s="21"/>
      <c r="CB34" s="21"/>
      <c r="CC34" s="21"/>
      <c r="CD34" s="21"/>
      <c r="CE34" s="21"/>
      <c r="CF34" s="21"/>
      <c r="CG34" s="21"/>
      <c r="CH34" s="21"/>
      <c r="CI34" s="21"/>
      <c r="CJ34" s="21"/>
      <c r="CK34" s="21"/>
      <c r="CL34" s="21"/>
      <c r="CM34" s="21"/>
      <c r="CN34" s="21"/>
      <c r="CO34" s="21"/>
      <c r="CP34" s="21"/>
      <c r="CQ34" s="21"/>
      <c r="CR34" s="21"/>
      <c r="CS34" s="21"/>
      <c r="CT34" s="21"/>
      <c r="CU34" s="21"/>
      <c r="CV34" s="21"/>
      <c r="CW34" s="21"/>
      <c r="CX34" s="21"/>
      <c r="CY34" s="21"/>
      <c r="CZ34" s="21"/>
      <c r="DA34" s="21"/>
      <c r="DB34" s="21"/>
      <c r="DC34" s="21"/>
      <c r="DD34" s="21"/>
      <c r="DE34" s="21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1"/>
      <c r="DQ34" s="21"/>
      <c r="DR34" s="21"/>
      <c r="DS34" s="21"/>
      <c r="DT34" s="21"/>
      <c r="DU34" s="21"/>
      <c r="DV34" s="21"/>
      <c r="DW34" s="21"/>
      <c r="DX34" s="21"/>
      <c r="DY34" s="21"/>
      <c r="DZ34" s="21"/>
      <c r="EA34" s="21"/>
      <c r="EB34" s="21"/>
      <c r="EC34" s="21"/>
      <c r="ED34" s="21"/>
      <c r="EE34" s="21"/>
      <c r="EF34" s="21"/>
      <c r="EG34" s="21"/>
      <c r="EH34" s="21"/>
      <c r="EI34" s="21"/>
      <c r="EJ34" s="21"/>
      <c r="EK34" s="21"/>
      <c r="EL34" s="21"/>
      <c r="EM34" s="21"/>
      <c r="EN34" s="21"/>
      <c r="EO34" s="21"/>
      <c r="EP34" s="21"/>
      <c r="EQ34" s="21"/>
      <c r="ER34" s="21"/>
      <c r="ES34" s="21"/>
      <c r="ET34" s="21"/>
      <c r="EU34" s="21"/>
      <c r="EV34" s="21"/>
      <c r="EW34" s="21"/>
      <c r="EX34" s="21"/>
      <c r="EY34" s="21"/>
    </row>
    <row r="35" spans="1:155" s="11" customFormat="1" x14ac:dyDescent="0.3">
      <c r="A35" s="21"/>
      <c r="B35" s="22" t="s">
        <v>990</v>
      </c>
      <c r="C35" s="22" t="s">
        <v>103</v>
      </c>
      <c r="D35" s="22" t="s">
        <v>994</v>
      </c>
      <c r="E35" s="34">
        <v>2.9999999999999997E-4</v>
      </c>
      <c r="F35" s="22" t="s">
        <v>10</v>
      </c>
      <c r="G35" s="21">
        <v>0</v>
      </c>
      <c r="H35" s="21">
        <v>2E-3</v>
      </c>
      <c r="I35" s="21" t="s">
        <v>105</v>
      </c>
      <c r="J35" s="21" t="s">
        <v>9</v>
      </c>
      <c r="K35" s="22" t="s">
        <v>1034</v>
      </c>
      <c r="L35" s="22" t="s">
        <v>987</v>
      </c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</row>
    <row r="36" spans="1:155" s="11" customFormat="1" x14ac:dyDescent="0.3">
      <c r="A36" s="21"/>
      <c r="B36" s="22" t="s">
        <v>990</v>
      </c>
      <c r="C36" s="22" t="s">
        <v>103</v>
      </c>
      <c r="D36" s="22" t="s">
        <v>995</v>
      </c>
      <c r="E36" s="34">
        <v>1E-3</v>
      </c>
      <c r="F36" s="22" t="s">
        <v>10</v>
      </c>
      <c r="G36" s="21">
        <v>0</v>
      </c>
      <c r="H36" s="21">
        <v>0.02</v>
      </c>
      <c r="I36" s="21" t="s">
        <v>105</v>
      </c>
      <c r="J36" s="21" t="s">
        <v>9</v>
      </c>
      <c r="K36" s="22" t="s">
        <v>1035</v>
      </c>
      <c r="L36" s="22" t="s">
        <v>987</v>
      </c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21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21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21"/>
      <c r="EF36" s="21"/>
      <c r="EG36" s="21"/>
      <c r="EH36" s="21"/>
      <c r="EI36" s="21"/>
      <c r="EJ36" s="21"/>
      <c r="EK36" s="21"/>
      <c r="EL36" s="21"/>
      <c r="EM36" s="21"/>
      <c r="EN36" s="21"/>
      <c r="EO36" s="21"/>
      <c r="EP36" s="21"/>
      <c r="EQ36" s="21"/>
      <c r="ER36" s="21"/>
      <c r="ES36" s="21"/>
      <c r="ET36" s="21"/>
      <c r="EU36" s="21"/>
      <c r="EV36" s="21"/>
      <c r="EW36" s="21"/>
      <c r="EX36" s="21"/>
      <c r="EY36" s="21"/>
    </row>
    <row r="37" spans="1:155" s="11" customFormat="1" x14ac:dyDescent="0.3">
      <c r="A37" s="21"/>
      <c r="B37" s="22" t="s">
        <v>990</v>
      </c>
      <c r="C37" s="22" t="s">
        <v>103</v>
      </c>
      <c r="D37" s="22" t="s">
        <v>996</v>
      </c>
      <c r="E37" s="34">
        <v>2E-3</v>
      </c>
      <c r="F37" s="22" t="s">
        <v>10</v>
      </c>
      <c r="G37" s="21">
        <v>0</v>
      </c>
      <c r="H37" s="21">
        <v>0.02</v>
      </c>
      <c r="I37" s="21" t="s">
        <v>105</v>
      </c>
      <c r="J37" s="21" t="s">
        <v>9</v>
      </c>
      <c r="K37" s="22" t="s">
        <v>1036</v>
      </c>
      <c r="L37" s="22" t="s">
        <v>987</v>
      </c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1"/>
      <c r="BO37" s="21"/>
      <c r="BP37" s="21"/>
      <c r="BQ37" s="21"/>
      <c r="BR37" s="21"/>
      <c r="BS37" s="21"/>
      <c r="BT37" s="21"/>
      <c r="BU37" s="21"/>
      <c r="BV37" s="21"/>
      <c r="BW37" s="21"/>
      <c r="BX37" s="21"/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1"/>
      <c r="CK37" s="21"/>
      <c r="CL37" s="21"/>
      <c r="CM37" s="21"/>
      <c r="CN37" s="21"/>
      <c r="CO37" s="21"/>
      <c r="CP37" s="21"/>
      <c r="CQ37" s="21"/>
      <c r="CR37" s="21"/>
      <c r="CS37" s="21"/>
      <c r="CT37" s="21"/>
      <c r="CU37" s="21"/>
      <c r="CV37" s="21"/>
      <c r="CW37" s="21"/>
      <c r="CX37" s="21"/>
      <c r="CY37" s="21"/>
      <c r="CZ37" s="21"/>
      <c r="DA37" s="21"/>
      <c r="DB37" s="21"/>
      <c r="DC37" s="21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1"/>
      <c r="DQ37" s="21"/>
      <c r="DR37" s="21"/>
      <c r="DS37" s="21"/>
      <c r="DT37" s="21"/>
      <c r="DU37" s="21"/>
      <c r="DV37" s="21"/>
      <c r="DW37" s="21"/>
      <c r="DX37" s="21"/>
      <c r="DY37" s="21"/>
      <c r="DZ37" s="21"/>
      <c r="EA37" s="21"/>
      <c r="EB37" s="21"/>
      <c r="EC37" s="21"/>
      <c r="ED37" s="21"/>
      <c r="EE37" s="21"/>
      <c r="EF37" s="21"/>
      <c r="EG37" s="21"/>
      <c r="EH37" s="21"/>
      <c r="EI37" s="21"/>
      <c r="EJ37" s="21"/>
      <c r="EK37" s="21"/>
      <c r="EL37" s="21"/>
      <c r="EM37" s="21"/>
      <c r="EN37" s="21"/>
      <c r="EO37" s="21"/>
      <c r="EP37" s="21"/>
      <c r="EQ37" s="21"/>
      <c r="ER37" s="21"/>
      <c r="ES37" s="21"/>
      <c r="ET37" s="21"/>
      <c r="EU37" s="21"/>
      <c r="EV37" s="21"/>
      <c r="EW37" s="21"/>
      <c r="EX37" s="21"/>
      <c r="EY37" s="21"/>
    </row>
    <row r="38" spans="1:155" s="11" customFormat="1" x14ac:dyDescent="0.3">
      <c r="A38" s="21"/>
      <c r="B38" s="22" t="s">
        <v>990</v>
      </c>
      <c r="C38" s="22" t="s">
        <v>103</v>
      </c>
      <c r="D38" s="22" t="s">
        <v>997</v>
      </c>
      <c r="E38" s="34">
        <v>2E-3</v>
      </c>
      <c r="F38" s="22" t="s">
        <v>10</v>
      </c>
      <c r="G38" s="21">
        <v>0</v>
      </c>
      <c r="H38" s="21">
        <v>0.02</v>
      </c>
      <c r="I38" s="21" t="s">
        <v>105</v>
      </c>
      <c r="J38" s="21" t="s">
        <v>9</v>
      </c>
      <c r="K38" s="22" t="s">
        <v>1037</v>
      </c>
      <c r="L38" s="22" t="s">
        <v>987</v>
      </c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</row>
    <row r="39" spans="1:155" s="11" customFormat="1" x14ac:dyDescent="0.3">
      <c r="A39" s="21"/>
      <c r="B39" s="22" t="s">
        <v>990</v>
      </c>
      <c r="C39" s="22" t="s">
        <v>248</v>
      </c>
      <c r="D39" s="22" t="s">
        <v>253</v>
      </c>
      <c r="E39" s="29">
        <v>0.2</v>
      </c>
      <c r="F39" s="22" t="s">
        <v>9</v>
      </c>
      <c r="G39" s="21"/>
      <c r="H39" s="21"/>
      <c r="I39" s="21" t="s">
        <v>105</v>
      </c>
      <c r="J39" s="21" t="s">
        <v>9</v>
      </c>
      <c r="K39" s="22" t="s">
        <v>253</v>
      </c>
      <c r="L39" s="22" t="s">
        <v>987</v>
      </c>
      <c r="M39" s="22" t="s">
        <v>263</v>
      </c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  <c r="CR39" s="21"/>
      <c r="CS39" s="21"/>
      <c r="CT39" s="21"/>
      <c r="CU39" s="21"/>
      <c r="CV39" s="21"/>
      <c r="CW39" s="21"/>
      <c r="CX39" s="21"/>
      <c r="CY39" s="21"/>
      <c r="CZ39" s="21"/>
      <c r="DA39" s="21"/>
      <c r="DB39" s="21"/>
      <c r="DC39" s="21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1"/>
      <c r="DQ39" s="21"/>
      <c r="DR39" s="21"/>
      <c r="DS39" s="21"/>
      <c r="DT39" s="21"/>
      <c r="DU39" s="21"/>
      <c r="DV39" s="21"/>
      <c r="DW39" s="21"/>
      <c r="DX39" s="21"/>
      <c r="DY39" s="21"/>
      <c r="DZ39" s="21"/>
      <c r="EA39" s="21"/>
      <c r="EB39" s="21"/>
      <c r="EC39" s="21"/>
      <c r="ED39" s="21"/>
      <c r="EE39" s="21"/>
      <c r="EF39" s="21"/>
      <c r="EG39" s="21"/>
      <c r="EH39" s="21"/>
      <c r="EI39" s="21"/>
      <c r="EJ39" s="21"/>
      <c r="EK39" s="21"/>
      <c r="EL39" s="21"/>
      <c r="EM39" s="21"/>
      <c r="EN39" s="21"/>
      <c r="EO39" s="21"/>
      <c r="EP39" s="21"/>
      <c r="EQ39" s="21"/>
      <c r="ER39" s="21"/>
      <c r="ES39" s="21"/>
      <c r="ET39" s="21"/>
      <c r="EU39" s="21"/>
      <c r="EV39" s="21"/>
      <c r="EW39" s="21"/>
      <c r="EX39" s="21"/>
      <c r="EY39" s="21"/>
    </row>
    <row r="40" spans="1:155" s="11" customFormat="1" x14ac:dyDescent="0.3">
      <c r="A40" s="21"/>
      <c r="B40" s="22" t="s">
        <v>990</v>
      </c>
      <c r="C40" s="22" t="s">
        <v>248</v>
      </c>
      <c r="D40" s="22" t="s">
        <v>274</v>
      </c>
      <c r="E40" s="29">
        <v>0.2</v>
      </c>
      <c r="F40" s="22" t="s">
        <v>9</v>
      </c>
      <c r="G40" s="21"/>
      <c r="H40" s="21"/>
      <c r="I40" s="21" t="s">
        <v>105</v>
      </c>
      <c r="J40" s="21" t="s">
        <v>9</v>
      </c>
      <c r="K40" s="22" t="s">
        <v>274</v>
      </c>
      <c r="L40" s="22" t="s">
        <v>987</v>
      </c>
      <c r="M40" s="22" t="s">
        <v>264</v>
      </c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21"/>
      <c r="CS40" s="21"/>
      <c r="CT40" s="21"/>
      <c r="CU40" s="21"/>
      <c r="CV40" s="21"/>
      <c r="CW40" s="21"/>
      <c r="CX40" s="21"/>
      <c r="CY40" s="21"/>
      <c r="CZ40" s="21"/>
      <c r="DA40" s="21"/>
      <c r="DB40" s="21"/>
      <c r="DC40" s="21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1"/>
      <c r="DQ40" s="21"/>
      <c r="DR40" s="21"/>
      <c r="DS40" s="21"/>
      <c r="DT40" s="21"/>
      <c r="DU40" s="21"/>
      <c r="DV40" s="21"/>
      <c r="DW40" s="21"/>
      <c r="DX40" s="21"/>
      <c r="DY40" s="21"/>
      <c r="DZ40" s="21"/>
      <c r="EA40" s="21"/>
      <c r="EB40" s="21"/>
      <c r="EC40" s="21"/>
      <c r="ED40" s="21"/>
      <c r="EE40" s="21"/>
      <c r="EF40" s="21"/>
      <c r="EG40" s="21"/>
      <c r="EH40" s="21"/>
      <c r="EI40" s="21"/>
      <c r="EJ40" s="21"/>
      <c r="EK40" s="21"/>
      <c r="EL40" s="21"/>
      <c r="EM40" s="21"/>
      <c r="EN40" s="21"/>
      <c r="EO40" s="21"/>
      <c r="EP40" s="21"/>
      <c r="EQ40" s="21"/>
      <c r="ER40" s="21"/>
      <c r="ES40" s="21"/>
      <c r="ET40" s="21"/>
      <c r="EU40" s="21"/>
      <c r="EV40" s="21"/>
      <c r="EW40" s="21"/>
      <c r="EX40" s="21"/>
      <c r="EY40" s="21"/>
    </row>
    <row r="41" spans="1:155" s="11" customFormat="1" x14ac:dyDescent="0.3">
      <c r="A41" s="21"/>
      <c r="B41" s="22" t="s">
        <v>990</v>
      </c>
      <c r="C41" s="22" t="s">
        <v>248</v>
      </c>
      <c r="D41" s="22" t="s">
        <v>254</v>
      </c>
      <c r="E41" s="29">
        <v>0.2</v>
      </c>
      <c r="F41" s="22" t="s">
        <v>9</v>
      </c>
      <c r="G41" s="21"/>
      <c r="H41" s="21"/>
      <c r="I41" s="21" t="s">
        <v>105</v>
      </c>
      <c r="J41" s="21" t="s">
        <v>9</v>
      </c>
      <c r="K41" s="22" t="s">
        <v>254</v>
      </c>
      <c r="L41" s="22" t="s">
        <v>987</v>
      </c>
      <c r="M41" s="22" t="s">
        <v>265</v>
      </c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</row>
    <row r="42" spans="1:155" s="11" customFormat="1" x14ac:dyDescent="0.3">
      <c r="A42" s="21"/>
      <c r="B42" s="22" t="s">
        <v>990</v>
      </c>
      <c r="C42" s="22" t="s">
        <v>248</v>
      </c>
      <c r="D42" s="22" t="s">
        <v>256</v>
      </c>
      <c r="E42" s="29">
        <v>0.2</v>
      </c>
      <c r="F42" s="22" t="s">
        <v>9</v>
      </c>
      <c r="G42" s="21"/>
      <c r="H42" s="21"/>
      <c r="I42" s="21" t="s">
        <v>105</v>
      </c>
      <c r="J42" s="21" t="s">
        <v>9</v>
      </c>
      <c r="K42" s="22" t="s">
        <v>256</v>
      </c>
      <c r="L42" s="22" t="s">
        <v>987</v>
      </c>
      <c r="M42" s="22" t="s">
        <v>266</v>
      </c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  <c r="AY42" s="21"/>
      <c r="AZ42" s="21"/>
      <c r="BA42" s="21"/>
      <c r="BB42" s="21"/>
      <c r="BC42" s="21"/>
      <c r="BD42" s="21"/>
      <c r="BE42" s="21"/>
      <c r="BF42" s="21"/>
      <c r="BG42" s="21"/>
      <c r="BH42" s="21"/>
      <c r="BI42" s="21"/>
      <c r="BJ42" s="21"/>
      <c r="BK42" s="21"/>
      <c r="BL42" s="21"/>
      <c r="BM42" s="21"/>
      <c r="BN42" s="21"/>
      <c r="BO42" s="21"/>
      <c r="BP42" s="21"/>
      <c r="BQ42" s="21"/>
      <c r="BR42" s="21"/>
      <c r="BS42" s="21"/>
      <c r="BT42" s="21"/>
      <c r="BU42" s="21"/>
      <c r="BV42" s="21"/>
      <c r="BW42" s="21"/>
      <c r="BX42" s="21"/>
      <c r="BY42" s="21"/>
      <c r="BZ42" s="21"/>
      <c r="CA42" s="21"/>
      <c r="CB42" s="21"/>
      <c r="CC42" s="21"/>
      <c r="CD42" s="21"/>
      <c r="CE42" s="21"/>
      <c r="CF42" s="21"/>
      <c r="CG42" s="21"/>
      <c r="CH42" s="21"/>
      <c r="CI42" s="21"/>
      <c r="CJ42" s="21"/>
      <c r="CK42" s="21"/>
      <c r="CL42" s="21"/>
      <c r="CM42" s="21"/>
      <c r="CN42" s="21"/>
      <c r="CO42" s="21"/>
      <c r="CP42" s="21"/>
      <c r="CQ42" s="21"/>
      <c r="CR42" s="21"/>
      <c r="CS42" s="21"/>
      <c r="CT42" s="21"/>
      <c r="CU42" s="21"/>
      <c r="CV42" s="21"/>
      <c r="CW42" s="21"/>
      <c r="CX42" s="21"/>
      <c r="CY42" s="21"/>
      <c r="CZ42" s="21"/>
      <c r="DA42" s="21"/>
      <c r="DB42" s="21"/>
      <c r="DC42" s="21"/>
      <c r="DD42" s="21"/>
      <c r="DE42" s="21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1"/>
      <c r="DQ42" s="21"/>
      <c r="DR42" s="21"/>
      <c r="DS42" s="21"/>
      <c r="DT42" s="21"/>
      <c r="DU42" s="21"/>
      <c r="DV42" s="21"/>
      <c r="DW42" s="21"/>
      <c r="DX42" s="21"/>
      <c r="DY42" s="21"/>
      <c r="DZ42" s="21"/>
      <c r="EA42" s="21"/>
      <c r="EB42" s="21"/>
      <c r="EC42" s="21"/>
      <c r="ED42" s="21"/>
      <c r="EE42" s="21"/>
      <c r="EF42" s="21"/>
      <c r="EG42" s="21"/>
      <c r="EH42" s="21"/>
      <c r="EI42" s="21"/>
      <c r="EJ42" s="21"/>
      <c r="EK42" s="21"/>
      <c r="EL42" s="21"/>
      <c r="EM42" s="21"/>
      <c r="EN42" s="21"/>
      <c r="EO42" s="21"/>
      <c r="EP42" s="21"/>
      <c r="EQ42" s="21"/>
      <c r="ER42" s="21"/>
      <c r="ES42" s="21"/>
      <c r="ET42" s="21"/>
      <c r="EU42" s="21"/>
      <c r="EV42" s="21"/>
      <c r="EW42" s="21"/>
      <c r="EX42" s="21"/>
      <c r="EY42" s="21"/>
    </row>
    <row r="43" spans="1:155" s="11" customFormat="1" x14ac:dyDescent="0.3">
      <c r="A43" s="21"/>
      <c r="B43" s="22" t="s">
        <v>990</v>
      </c>
      <c r="C43" s="22" t="s">
        <v>248</v>
      </c>
      <c r="D43" s="22" t="s">
        <v>255</v>
      </c>
      <c r="E43" s="29">
        <v>0.2</v>
      </c>
      <c r="F43" s="22" t="s">
        <v>9</v>
      </c>
      <c r="G43" s="21"/>
      <c r="H43" s="21"/>
      <c r="I43" s="21" t="s">
        <v>105</v>
      </c>
      <c r="J43" s="21" t="s">
        <v>9</v>
      </c>
      <c r="K43" s="22" t="s">
        <v>255</v>
      </c>
      <c r="L43" s="22" t="s">
        <v>987</v>
      </c>
      <c r="M43" s="22" t="s">
        <v>267</v>
      </c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1"/>
      <c r="CC43" s="21"/>
      <c r="CD43" s="21"/>
      <c r="CE43" s="21"/>
      <c r="CF43" s="21"/>
      <c r="CG43" s="21"/>
      <c r="CH43" s="21"/>
      <c r="CI43" s="21"/>
      <c r="CJ43" s="21"/>
      <c r="CK43" s="21"/>
      <c r="CL43" s="21"/>
      <c r="CM43" s="21"/>
      <c r="CN43" s="21"/>
      <c r="CO43" s="21"/>
      <c r="CP43" s="21"/>
      <c r="CQ43" s="21"/>
      <c r="CR43" s="21"/>
      <c r="CS43" s="21"/>
      <c r="CT43" s="21"/>
      <c r="CU43" s="21"/>
      <c r="CV43" s="21"/>
      <c r="CW43" s="21"/>
      <c r="CX43" s="21"/>
      <c r="CY43" s="21"/>
      <c r="CZ43" s="21"/>
      <c r="DA43" s="21"/>
      <c r="DB43" s="21"/>
      <c r="DC43" s="21"/>
      <c r="DD43" s="21"/>
      <c r="DE43" s="21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1"/>
      <c r="DQ43" s="21"/>
      <c r="DR43" s="21"/>
      <c r="DS43" s="21"/>
      <c r="DT43" s="21"/>
      <c r="DU43" s="21"/>
      <c r="DV43" s="21"/>
      <c r="DW43" s="21"/>
      <c r="DX43" s="21"/>
      <c r="DY43" s="21"/>
      <c r="DZ43" s="21"/>
      <c r="EA43" s="21"/>
      <c r="EB43" s="21"/>
      <c r="EC43" s="21"/>
      <c r="ED43" s="21"/>
      <c r="EE43" s="21"/>
      <c r="EF43" s="21"/>
      <c r="EG43" s="21"/>
      <c r="EH43" s="21"/>
      <c r="EI43" s="21"/>
      <c r="EJ43" s="21"/>
      <c r="EK43" s="21"/>
      <c r="EL43" s="21"/>
      <c r="EM43" s="21"/>
      <c r="EN43" s="21"/>
      <c r="EO43" s="21"/>
      <c r="EP43" s="21"/>
      <c r="EQ43" s="21"/>
      <c r="ER43" s="21"/>
      <c r="ES43" s="21"/>
      <c r="ET43" s="21"/>
      <c r="EU43" s="21"/>
      <c r="EV43" s="21"/>
      <c r="EW43" s="21"/>
      <c r="EX43" s="21"/>
      <c r="EY43" s="21"/>
    </row>
    <row r="44" spans="1:155" s="11" customFormat="1" x14ac:dyDescent="0.3">
      <c r="A44" s="21"/>
      <c r="B44" s="22" t="s">
        <v>990</v>
      </c>
      <c r="C44" s="22" t="s">
        <v>248</v>
      </c>
      <c r="D44" s="22" t="s">
        <v>257</v>
      </c>
      <c r="E44" s="29">
        <v>0.2</v>
      </c>
      <c r="F44" s="22" t="s">
        <v>9</v>
      </c>
      <c r="G44" s="21"/>
      <c r="H44" s="21"/>
      <c r="I44" s="21" t="s">
        <v>105</v>
      </c>
      <c r="J44" s="21" t="s">
        <v>9</v>
      </c>
      <c r="K44" s="22" t="s">
        <v>257</v>
      </c>
      <c r="L44" s="22" t="s">
        <v>987</v>
      </c>
      <c r="M44" s="22" t="s">
        <v>268</v>
      </c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</row>
    <row r="45" spans="1:155" s="11" customFormat="1" x14ac:dyDescent="0.3">
      <c r="A45" s="21"/>
      <c r="B45" s="22" t="s">
        <v>990</v>
      </c>
      <c r="C45" s="22" t="s">
        <v>248</v>
      </c>
      <c r="D45" s="22" t="s">
        <v>258</v>
      </c>
      <c r="E45" s="29">
        <v>0.2</v>
      </c>
      <c r="F45" s="22" t="s">
        <v>9</v>
      </c>
      <c r="G45" s="21"/>
      <c r="H45" s="21"/>
      <c r="I45" s="21" t="s">
        <v>105</v>
      </c>
      <c r="J45" s="21" t="s">
        <v>9</v>
      </c>
      <c r="K45" s="22" t="s">
        <v>258</v>
      </c>
      <c r="L45" s="22" t="s">
        <v>987</v>
      </c>
      <c r="M45" s="22" t="s">
        <v>269</v>
      </c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1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21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21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21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21"/>
      <c r="EF45" s="21"/>
      <c r="EG45" s="21"/>
      <c r="EH45" s="21"/>
      <c r="EI45" s="21"/>
      <c r="EJ45" s="21"/>
      <c r="EK45" s="21"/>
      <c r="EL45" s="21"/>
      <c r="EM45" s="21"/>
      <c r="EN45" s="21"/>
      <c r="EO45" s="21"/>
      <c r="EP45" s="21"/>
      <c r="EQ45" s="21"/>
      <c r="ER45" s="21"/>
      <c r="ES45" s="21"/>
      <c r="ET45" s="21"/>
      <c r="EU45" s="21"/>
      <c r="EV45" s="21"/>
      <c r="EW45" s="21"/>
      <c r="EX45" s="21"/>
      <c r="EY45" s="21"/>
    </row>
    <row r="46" spans="1:155" s="11" customFormat="1" x14ac:dyDescent="0.3">
      <c r="A46" s="21"/>
      <c r="B46" s="22" t="s">
        <v>990</v>
      </c>
      <c r="C46" s="22" t="s">
        <v>248</v>
      </c>
      <c r="D46" s="22" t="s">
        <v>259</v>
      </c>
      <c r="E46" s="29">
        <v>0.2</v>
      </c>
      <c r="F46" s="22" t="s">
        <v>9</v>
      </c>
      <c r="G46" s="21"/>
      <c r="H46" s="21"/>
      <c r="I46" s="21" t="s">
        <v>105</v>
      </c>
      <c r="J46" s="21" t="s">
        <v>9</v>
      </c>
      <c r="K46" s="22" t="s">
        <v>259</v>
      </c>
      <c r="L46" s="22" t="s">
        <v>987</v>
      </c>
      <c r="M46" s="22" t="s">
        <v>270</v>
      </c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21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21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21"/>
      <c r="EF46" s="21"/>
      <c r="EG46" s="21"/>
      <c r="EH46" s="21"/>
      <c r="EI46" s="21"/>
      <c r="EJ46" s="21"/>
      <c r="EK46" s="21"/>
      <c r="EL46" s="21"/>
      <c r="EM46" s="21"/>
      <c r="EN46" s="21"/>
      <c r="EO46" s="21"/>
      <c r="EP46" s="21"/>
      <c r="EQ46" s="21"/>
      <c r="ER46" s="21"/>
      <c r="ES46" s="21"/>
      <c r="ET46" s="21"/>
      <c r="EU46" s="21"/>
      <c r="EV46" s="21"/>
      <c r="EW46" s="21"/>
      <c r="EX46" s="21"/>
      <c r="EY46" s="21"/>
    </row>
    <row r="47" spans="1:155" s="11" customFormat="1" x14ac:dyDescent="0.3">
      <c r="A47" s="21"/>
      <c r="B47" s="22" t="s">
        <v>990</v>
      </c>
      <c r="C47" s="22" t="s">
        <v>248</v>
      </c>
      <c r="D47" s="22" t="s">
        <v>260</v>
      </c>
      <c r="E47" s="29">
        <v>0.2</v>
      </c>
      <c r="F47" s="22" t="s">
        <v>9</v>
      </c>
      <c r="G47" s="21"/>
      <c r="H47" s="21"/>
      <c r="I47" s="21" t="s">
        <v>105</v>
      </c>
      <c r="J47" s="21" t="s">
        <v>9</v>
      </c>
      <c r="K47" s="22" t="s">
        <v>260</v>
      </c>
      <c r="L47" s="22" t="s">
        <v>987</v>
      </c>
      <c r="M47" s="22" t="s">
        <v>271</v>
      </c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</row>
    <row r="48" spans="1:155" s="11" customFormat="1" x14ac:dyDescent="0.3">
      <c r="A48" s="21"/>
      <c r="B48" s="22" t="s">
        <v>990</v>
      </c>
      <c r="C48" s="22" t="s">
        <v>248</v>
      </c>
      <c r="D48" s="22" t="s">
        <v>261</v>
      </c>
      <c r="E48" s="29">
        <v>0.2</v>
      </c>
      <c r="F48" s="22" t="s">
        <v>9</v>
      </c>
      <c r="G48" s="21"/>
      <c r="H48" s="21"/>
      <c r="I48" s="21" t="s">
        <v>105</v>
      </c>
      <c r="J48" s="21" t="s">
        <v>9</v>
      </c>
      <c r="K48" s="22" t="s">
        <v>261</v>
      </c>
      <c r="L48" s="22" t="s">
        <v>987</v>
      </c>
      <c r="M48" s="22" t="s">
        <v>272</v>
      </c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  <c r="BE48" s="21"/>
      <c r="BF48" s="21"/>
      <c r="BG48" s="21"/>
      <c r="BH48" s="21"/>
      <c r="BI48" s="21"/>
      <c r="BJ48" s="21"/>
      <c r="BK48" s="21"/>
      <c r="BL48" s="21"/>
      <c r="BM48" s="21"/>
      <c r="BN48" s="21"/>
      <c r="BO48" s="21"/>
      <c r="BP48" s="21"/>
      <c r="BQ48" s="21"/>
      <c r="BR48" s="21"/>
      <c r="BS48" s="21"/>
      <c r="BT48" s="21"/>
      <c r="BU48" s="21"/>
      <c r="BV48" s="21"/>
      <c r="BW48" s="21"/>
      <c r="BX48" s="21"/>
      <c r="BY48" s="21"/>
      <c r="BZ48" s="21"/>
      <c r="CA48" s="21"/>
      <c r="CB48" s="21"/>
      <c r="CC48" s="21"/>
      <c r="CD48" s="21"/>
      <c r="CE48" s="21"/>
      <c r="CF48" s="21"/>
      <c r="CG48" s="21"/>
      <c r="CH48" s="21"/>
      <c r="CI48" s="21"/>
      <c r="CJ48" s="21"/>
      <c r="CK48" s="21"/>
      <c r="CL48" s="21"/>
      <c r="CM48" s="21"/>
      <c r="CN48" s="21"/>
      <c r="CO48" s="21"/>
      <c r="CP48" s="21"/>
      <c r="CQ48" s="21"/>
      <c r="CR48" s="21"/>
      <c r="CS48" s="21"/>
      <c r="CT48" s="21"/>
      <c r="CU48" s="21"/>
      <c r="CV48" s="21"/>
      <c r="CW48" s="21"/>
      <c r="CX48" s="21"/>
      <c r="CY48" s="21"/>
      <c r="CZ48" s="21"/>
      <c r="DA48" s="21"/>
      <c r="DB48" s="21"/>
      <c r="DC48" s="21"/>
      <c r="DD48" s="21"/>
      <c r="DE48" s="21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1"/>
      <c r="DQ48" s="21"/>
      <c r="DR48" s="21"/>
      <c r="DS48" s="21"/>
      <c r="DT48" s="21"/>
      <c r="DU48" s="21"/>
      <c r="DV48" s="21"/>
      <c r="DW48" s="21"/>
      <c r="DX48" s="21"/>
      <c r="DY48" s="21"/>
      <c r="DZ48" s="21"/>
      <c r="EA48" s="21"/>
      <c r="EB48" s="21"/>
      <c r="EC48" s="21"/>
      <c r="ED48" s="21"/>
      <c r="EE48" s="21"/>
      <c r="EF48" s="21"/>
      <c r="EG48" s="21"/>
      <c r="EH48" s="21"/>
      <c r="EI48" s="21"/>
      <c r="EJ48" s="21"/>
      <c r="EK48" s="21"/>
      <c r="EL48" s="21"/>
      <c r="EM48" s="21"/>
      <c r="EN48" s="21"/>
      <c r="EO48" s="21"/>
      <c r="EP48" s="21"/>
      <c r="EQ48" s="21"/>
      <c r="ER48" s="21"/>
      <c r="ES48" s="21"/>
      <c r="ET48" s="21"/>
      <c r="EU48" s="21"/>
      <c r="EV48" s="21"/>
      <c r="EW48" s="21"/>
      <c r="EX48" s="21"/>
      <c r="EY48" s="21"/>
    </row>
    <row r="49" spans="1:155" s="11" customFormat="1" x14ac:dyDescent="0.3">
      <c r="A49" s="21"/>
      <c r="B49" s="22" t="s">
        <v>990</v>
      </c>
      <c r="C49" s="22" t="s">
        <v>248</v>
      </c>
      <c r="D49" s="22" t="s">
        <v>262</v>
      </c>
      <c r="E49" s="29">
        <v>0.2</v>
      </c>
      <c r="F49" s="22" t="s">
        <v>9</v>
      </c>
      <c r="G49" s="21"/>
      <c r="H49" s="21"/>
      <c r="I49" s="21" t="s">
        <v>105</v>
      </c>
      <c r="J49" s="21" t="s">
        <v>9</v>
      </c>
      <c r="K49" s="22" t="s">
        <v>262</v>
      </c>
      <c r="L49" s="22" t="s">
        <v>987</v>
      </c>
      <c r="M49" s="22" t="s">
        <v>273</v>
      </c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21"/>
      <c r="CN49" s="21"/>
      <c r="CO49" s="21"/>
      <c r="CP49" s="21"/>
      <c r="CQ49" s="21"/>
      <c r="CR49" s="21"/>
      <c r="CS49" s="21"/>
      <c r="CT49" s="21"/>
      <c r="CU49" s="21"/>
      <c r="CV49" s="21"/>
      <c r="CW49" s="21"/>
      <c r="CX49" s="21"/>
      <c r="CY49" s="21"/>
      <c r="CZ49" s="21"/>
      <c r="DA49" s="21"/>
      <c r="DB49" s="21"/>
      <c r="DC49" s="21"/>
      <c r="DD49" s="21"/>
      <c r="DE49" s="21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1"/>
      <c r="DQ49" s="21"/>
      <c r="DR49" s="21"/>
      <c r="DS49" s="21"/>
      <c r="DT49" s="21"/>
      <c r="DU49" s="21"/>
      <c r="DV49" s="21"/>
      <c r="DW49" s="21"/>
      <c r="DX49" s="21"/>
      <c r="DY49" s="21"/>
      <c r="DZ49" s="21"/>
      <c r="EA49" s="21"/>
      <c r="EB49" s="21"/>
      <c r="EC49" s="21"/>
      <c r="ED49" s="21"/>
      <c r="EE49" s="21"/>
      <c r="EF49" s="21"/>
      <c r="EG49" s="21"/>
      <c r="EH49" s="21"/>
      <c r="EI49" s="21"/>
      <c r="EJ49" s="21"/>
      <c r="EK49" s="21"/>
      <c r="EL49" s="21"/>
      <c r="EM49" s="21"/>
      <c r="EN49" s="21"/>
      <c r="EO49" s="21"/>
      <c r="EP49" s="21"/>
      <c r="EQ49" s="21"/>
      <c r="ER49" s="21"/>
      <c r="ES49" s="21"/>
      <c r="ET49" s="21"/>
      <c r="EU49" s="21"/>
      <c r="EV49" s="21"/>
      <c r="EW49" s="21"/>
      <c r="EX49" s="21"/>
      <c r="EY49" s="21"/>
    </row>
    <row r="50" spans="1:155" s="11" customFormat="1" x14ac:dyDescent="0.3">
      <c r="A50" s="21"/>
      <c r="B50" s="22" t="s">
        <v>990</v>
      </c>
      <c r="C50" s="22" t="s">
        <v>1048</v>
      </c>
      <c r="D50" s="22" t="s">
        <v>998</v>
      </c>
      <c r="E50" s="35">
        <v>0.1</v>
      </c>
      <c r="F50" s="22" t="s">
        <v>10</v>
      </c>
      <c r="G50" s="21">
        <v>0</v>
      </c>
      <c r="H50" s="21">
        <v>0.3</v>
      </c>
      <c r="I50" s="21" t="s">
        <v>105</v>
      </c>
      <c r="J50" s="21" t="s">
        <v>9</v>
      </c>
      <c r="K50" s="22" t="s">
        <v>1019</v>
      </c>
      <c r="L50" s="22" t="s">
        <v>987</v>
      </c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</row>
    <row r="51" spans="1:155" s="11" customFormat="1" x14ac:dyDescent="0.3">
      <c r="A51" s="21"/>
      <c r="B51" s="22" t="s">
        <v>990</v>
      </c>
      <c r="C51" s="22" t="s">
        <v>1048</v>
      </c>
      <c r="D51" s="22" t="s">
        <v>999</v>
      </c>
      <c r="E51" s="35">
        <v>0.1</v>
      </c>
      <c r="F51" s="22" t="s">
        <v>10</v>
      </c>
      <c r="G51" s="21">
        <v>0</v>
      </c>
      <c r="H51" s="21">
        <v>0.3</v>
      </c>
      <c r="I51" s="21" t="s">
        <v>105</v>
      </c>
      <c r="J51" s="21" t="s">
        <v>9</v>
      </c>
      <c r="K51" s="22" t="s">
        <v>1020</v>
      </c>
      <c r="L51" s="22" t="s">
        <v>987</v>
      </c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21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21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21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21"/>
      <c r="EF51" s="21"/>
      <c r="EG51" s="21"/>
      <c r="EH51" s="21"/>
      <c r="EI51" s="21"/>
      <c r="EJ51" s="21"/>
      <c r="EK51" s="21"/>
      <c r="EL51" s="21"/>
      <c r="EM51" s="21"/>
      <c r="EN51" s="21"/>
      <c r="EO51" s="21"/>
      <c r="EP51" s="21"/>
      <c r="EQ51" s="21"/>
      <c r="ER51" s="21"/>
      <c r="ES51" s="21"/>
      <c r="ET51" s="21"/>
      <c r="EU51" s="21"/>
      <c r="EV51" s="21"/>
      <c r="EW51" s="21"/>
      <c r="EX51" s="21"/>
      <c r="EY51" s="21"/>
    </row>
    <row r="52" spans="1:155" s="11" customFormat="1" x14ac:dyDescent="0.3">
      <c r="A52" s="21"/>
      <c r="B52" s="22" t="s">
        <v>990</v>
      </c>
      <c r="C52" s="22" t="s">
        <v>1048</v>
      </c>
      <c r="D52" s="22" t="s">
        <v>1000</v>
      </c>
      <c r="E52" s="35">
        <v>0.05</v>
      </c>
      <c r="F52" s="22" t="s">
        <v>10</v>
      </c>
      <c r="G52" s="21">
        <v>0</v>
      </c>
      <c r="H52" s="21">
        <v>0.3</v>
      </c>
      <c r="I52" s="21" t="s">
        <v>105</v>
      </c>
      <c r="J52" s="21" t="s">
        <v>9</v>
      </c>
      <c r="K52" s="22" t="s">
        <v>1021</v>
      </c>
      <c r="L52" s="22" t="s">
        <v>987</v>
      </c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21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21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21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21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21"/>
      <c r="EF52" s="21"/>
      <c r="EG52" s="21"/>
      <c r="EH52" s="21"/>
      <c r="EI52" s="21"/>
      <c r="EJ52" s="21"/>
      <c r="EK52" s="21"/>
      <c r="EL52" s="21"/>
      <c r="EM52" s="21"/>
      <c r="EN52" s="21"/>
      <c r="EO52" s="21"/>
      <c r="EP52" s="21"/>
      <c r="EQ52" s="21"/>
      <c r="ER52" s="21"/>
      <c r="ES52" s="21"/>
      <c r="ET52" s="21"/>
      <c r="EU52" s="21"/>
      <c r="EV52" s="21"/>
      <c r="EW52" s="21"/>
      <c r="EX52" s="21"/>
      <c r="EY52" s="21"/>
    </row>
    <row r="53" spans="1:155" s="11" customFormat="1" x14ac:dyDescent="0.3">
      <c r="A53" s="21"/>
      <c r="B53" s="22" t="s">
        <v>990</v>
      </c>
      <c r="C53" s="22" t="s">
        <v>1048</v>
      </c>
      <c r="D53" s="22" t="s">
        <v>1001</v>
      </c>
      <c r="E53" s="35">
        <v>3.4000000000000002E-2</v>
      </c>
      <c r="F53" s="22" t="s">
        <v>10</v>
      </c>
      <c r="G53" s="21">
        <v>0</v>
      </c>
      <c r="H53" s="21">
        <v>0.3</v>
      </c>
      <c r="I53" s="21" t="s">
        <v>105</v>
      </c>
      <c r="J53" s="21" t="s">
        <v>9</v>
      </c>
      <c r="K53" s="22" t="s">
        <v>1022</v>
      </c>
      <c r="L53" s="22" t="s">
        <v>987</v>
      </c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</row>
    <row r="54" spans="1:155" s="11" customFormat="1" x14ac:dyDescent="0.3">
      <c r="A54" s="21"/>
      <c r="B54" s="22" t="s">
        <v>990</v>
      </c>
      <c r="C54" s="22" t="s">
        <v>1048</v>
      </c>
      <c r="D54" s="22" t="s">
        <v>1002</v>
      </c>
      <c r="E54" s="35">
        <v>0.1</v>
      </c>
      <c r="F54" s="22" t="s">
        <v>10</v>
      </c>
      <c r="G54" s="21">
        <v>0</v>
      </c>
      <c r="H54" s="21">
        <v>0.3</v>
      </c>
      <c r="I54" s="21" t="s">
        <v>105</v>
      </c>
      <c r="J54" s="21" t="s">
        <v>9</v>
      </c>
      <c r="K54" s="22" t="s">
        <v>1023</v>
      </c>
      <c r="L54" s="22" t="s">
        <v>987</v>
      </c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1"/>
      <c r="BL54" s="21"/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1"/>
      <c r="CC54" s="21"/>
      <c r="CD54" s="21"/>
      <c r="CE54" s="21"/>
      <c r="CF54" s="21"/>
      <c r="CG54" s="21"/>
      <c r="CH54" s="21"/>
      <c r="CI54" s="21"/>
      <c r="CJ54" s="21"/>
      <c r="CK54" s="21"/>
      <c r="CL54" s="21"/>
      <c r="CM54" s="21"/>
      <c r="CN54" s="21"/>
      <c r="CO54" s="21"/>
      <c r="CP54" s="21"/>
      <c r="CQ54" s="21"/>
      <c r="CR54" s="21"/>
      <c r="CS54" s="21"/>
      <c r="CT54" s="21"/>
      <c r="CU54" s="21"/>
      <c r="CV54" s="21"/>
      <c r="CW54" s="21"/>
      <c r="CX54" s="21"/>
      <c r="CY54" s="21"/>
      <c r="CZ54" s="21"/>
      <c r="DA54" s="21"/>
      <c r="DB54" s="21"/>
      <c r="DC54" s="21"/>
      <c r="DD54" s="21"/>
      <c r="DE54" s="21"/>
      <c r="DF54" s="21"/>
      <c r="DG54" s="21"/>
      <c r="DH54" s="21"/>
      <c r="DI54" s="21"/>
      <c r="DJ54" s="21"/>
      <c r="DK54" s="21"/>
      <c r="DL54" s="21"/>
      <c r="DM54" s="21"/>
      <c r="DN54" s="21"/>
      <c r="DO54" s="21"/>
      <c r="DP54" s="21"/>
      <c r="DQ54" s="21"/>
      <c r="DR54" s="21"/>
      <c r="DS54" s="21"/>
      <c r="DT54" s="21"/>
      <c r="DU54" s="21"/>
      <c r="DV54" s="21"/>
      <c r="DW54" s="21"/>
      <c r="DX54" s="21"/>
      <c r="DY54" s="21"/>
      <c r="DZ54" s="21"/>
      <c r="EA54" s="21"/>
      <c r="EB54" s="21"/>
      <c r="EC54" s="21"/>
      <c r="ED54" s="21"/>
      <c r="EE54" s="21"/>
      <c r="EF54" s="21"/>
      <c r="EG54" s="21"/>
      <c r="EH54" s="21"/>
      <c r="EI54" s="21"/>
      <c r="EJ54" s="21"/>
      <c r="EK54" s="21"/>
      <c r="EL54" s="21"/>
      <c r="EM54" s="21"/>
      <c r="EN54" s="21"/>
      <c r="EO54" s="21"/>
      <c r="EP54" s="21"/>
      <c r="EQ54" s="21"/>
      <c r="ER54" s="21"/>
      <c r="ES54" s="21"/>
      <c r="ET54" s="21"/>
      <c r="EU54" s="21"/>
      <c r="EV54" s="21"/>
      <c r="EW54" s="21"/>
      <c r="EX54" s="21"/>
      <c r="EY54" s="21"/>
    </row>
    <row r="55" spans="1:155" s="11" customFormat="1" x14ac:dyDescent="0.3">
      <c r="A55" s="21"/>
      <c r="B55" s="22" t="s">
        <v>990</v>
      </c>
      <c r="C55" s="22" t="s">
        <v>1048</v>
      </c>
      <c r="D55" s="22" t="s">
        <v>1003</v>
      </c>
      <c r="E55" s="35">
        <v>0.05</v>
      </c>
      <c r="F55" s="22" t="s">
        <v>10</v>
      </c>
      <c r="G55" s="21">
        <v>0</v>
      </c>
      <c r="H55" s="21">
        <v>0.3</v>
      </c>
      <c r="I55" s="21" t="s">
        <v>105</v>
      </c>
      <c r="J55" s="21" t="s">
        <v>9</v>
      </c>
      <c r="K55" s="22" t="s">
        <v>1024</v>
      </c>
      <c r="L55" s="22" t="s">
        <v>987</v>
      </c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1"/>
      <c r="BL55" s="21"/>
      <c r="BM55" s="21"/>
      <c r="BN55" s="21"/>
      <c r="BO55" s="21"/>
      <c r="BP55" s="21"/>
      <c r="BQ55" s="21"/>
      <c r="BR55" s="21"/>
      <c r="BS55" s="21"/>
      <c r="BT55" s="21"/>
      <c r="BU55" s="21"/>
      <c r="BV55" s="21"/>
      <c r="BW55" s="21"/>
      <c r="BX55" s="21"/>
      <c r="BY55" s="21"/>
      <c r="BZ55" s="21"/>
      <c r="CA55" s="21"/>
      <c r="CB55" s="21"/>
      <c r="CC55" s="21"/>
      <c r="CD55" s="21"/>
      <c r="CE55" s="21"/>
      <c r="CF55" s="21"/>
      <c r="CG55" s="21"/>
      <c r="CH55" s="21"/>
      <c r="CI55" s="21"/>
      <c r="CJ55" s="21"/>
      <c r="CK55" s="21"/>
      <c r="CL55" s="21"/>
      <c r="CM55" s="21"/>
      <c r="CN55" s="21"/>
      <c r="CO55" s="21"/>
      <c r="CP55" s="21"/>
      <c r="CQ55" s="21"/>
      <c r="CR55" s="21"/>
      <c r="CS55" s="21"/>
      <c r="CT55" s="21"/>
      <c r="CU55" s="21"/>
      <c r="CV55" s="21"/>
      <c r="CW55" s="21"/>
      <c r="CX55" s="21"/>
      <c r="CY55" s="21"/>
      <c r="CZ55" s="21"/>
      <c r="DA55" s="21"/>
      <c r="DB55" s="21"/>
      <c r="DC55" s="21"/>
      <c r="DD55" s="21"/>
      <c r="DE55" s="21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1"/>
      <c r="DQ55" s="21"/>
      <c r="DR55" s="21"/>
      <c r="DS55" s="21"/>
      <c r="DT55" s="21"/>
      <c r="DU55" s="21"/>
      <c r="DV55" s="21"/>
      <c r="DW55" s="21"/>
      <c r="DX55" s="21"/>
      <c r="DY55" s="21"/>
      <c r="DZ55" s="21"/>
      <c r="EA55" s="21"/>
      <c r="EB55" s="21"/>
      <c r="EC55" s="21"/>
      <c r="ED55" s="21"/>
      <c r="EE55" s="21"/>
      <c r="EF55" s="21"/>
      <c r="EG55" s="21"/>
      <c r="EH55" s="21"/>
      <c r="EI55" s="21"/>
      <c r="EJ55" s="21"/>
      <c r="EK55" s="21"/>
      <c r="EL55" s="21"/>
      <c r="EM55" s="21"/>
      <c r="EN55" s="21"/>
      <c r="EO55" s="21"/>
      <c r="EP55" s="21"/>
      <c r="EQ55" s="21"/>
      <c r="ER55" s="21"/>
      <c r="ES55" s="21"/>
      <c r="ET55" s="21"/>
      <c r="EU55" s="21"/>
      <c r="EV55" s="21"/>
      <c r="EW55" s="21"/>
      <c r="EX55" s="21"/>
      <c r="EY55" s="21"/>
    </row>
    <row r="56" spans="1:155" s="11" customFormat="1" x14ac:dyDescent="0.3">
      <c r="A56" s="21"/>
      <c r="B56" s="22" t="s">
        <v>990</v>
      </c>
      <c r="C56" s="22" t="s">
        <v>1049</v>
      </c>
      <c r="D56" s="22" t="s">
        <v>1004</v>
      </c>
      <c r="E56" s="35">
        <v>0.124</v>
      </c>
      <c r="F56" s="22" t="s">
        <v>10</v>
      </c>
      <c r="G56" s="21">
        <v>0</v>
      </c>
      <c r="H56" s="21">
        <v>0.3</v>
      </c>
      <c r="I56" s="21" t="s">
        <v>105</v>
      </c>
      <c r="J56" s="21" t="s">
        <v>9</v>
      </c>
      <c r="K56" s="22" t="s">
        <v>1025</v>
      </c>
      <c r="L56" s="22" t="s">
        <v>987</v>
      </c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</row>
    <row r="57" spans="1:155" s="11" customFormat="1" x14ac:dyDescent="0.3">
      <c r="A57" s="21"/>
      <c r="B57" s="22" t="s">
        <v>990</v>
      </c>
      <c r="C57" s="22" t="s">
        <v>1049</v>
      </c>
      <c r="D57" s="22" t="s">
        <v>1005</v>
      </c>
      <c r="E57" s="35">
        <v>7.1999999999999995E-2</v>
      </c>
      <c r="F57" s="22" t="s">
        <v>10</v>
      </c>
      <c r="G57" s="21">
        <v>0</v>
      </c>
      <c r="H57" s="21">
        <v>0.3</v>
      </c>
      <c r="I57" s="21" t="s">
        <v>105</v>
      </c>
      <c r="J57" s="21" t="s">
        <v>9</v>
      </c>
      <c r="K57" s="22" t="s">
        <v>1026</v>
      </c>
      <c r="L57" s="22" t="s">
        <v>987</v>
      </c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1"/>
      <c r="CC57" s="21"/>
      <c r="CD57" s="21"/>
      <c r="CE57" s="21"/>
      <c r="CF57" s="21"/>
      <c r="CG57" s="21"/>
      <c r="CH57" s="21"/>
      <c r="CI57" s="21"/>
      <c r="CJ57" s="21"/>
      <c r="CK57" s="21"/>
      <c r="CL57" s="21"/>
      <c r="CM57" s="21"/>
      <c r="CN57" s="21"/>
      <c r="CO57" s="21"/>
      <c r="CP57" s="21"/>
      <c r="CQ57" s="21"/>
      <c r="CR57" s="21"/>
      <c r="CS57" s="21"/>
      <c r="CT57" s="21"/>
      <c r="CU57" s="21"/>
      <c r="CV57" s="21"/>
      <c r="CW57" s="21"/>
      <c r="CX57" s="21"/>
      <c r="CY57" s="21"/>
      <c r="CZ57" s="21"/>
      <c r="DA57" s="21"/>
      <c r="DB57" s="21"/>
      <c r="DC57" s="21"/>
      <c r="DD57" s="21"/>
      <c r="DE57" s="21"/>
      <c r="DF57" s="21"/>
      <c r="DG57" s="21"/>
      <c r="DH57" s="21"/>
      <c r="DI57" s="21"/>
      <c r="DJ57" s="21"/>
      <c r="DK57" s="21"/>
      <c r="DL57" s="21"/>
      <c r="DM57" s="21"/>
      <c r="DN57" s="21"/>
      <c r="DO57" s="21"/>
      <c r="DP57" s="21"/>
      <c r="DQ57" s="21"/>
      <c r="DR57" s="21"/>
      <c r="DS57" s="21"/>
      <c r="DT57" s="21"/>
      <c r="DU57" s="21"/>
      <c r="DV57" s="21"/>
      <c r="DW57" s="21"/>
      <c r="DX57" s="21"/>
      <c r="DY57" s="21"/>
      <c r="DZ57" s="21"/>
      <c r="EA57" s="21"/>
      <c r="EB57" s="21"/>
      <c r="EC57" s="21"/>
      <c r="ED57" s="21"/>
      <c r="EE57" s="21"/>
      <c r="EF57" s="21"/>
      <c r="EG57" s="21"/>
      <c r="EH57" s="21"/>
      <c r="EI57" s="21"/>
      <c r="EJ57" s="21"/>
      <c r="EK57" s="21"/>
      <c r="EL57" s="21"/>
      <c r="EM57" s="21"/>
      <c r="EN57" s="21"/>
      <c r="EO57" s="21"/>
      <c r="EP57" s="21"/>
      <c r="EQ57" s="21"/>
      <c r="ER57" s="21"/>
      <c r="ES57" s="21"/>
      <c r="ET57" s="21"/>
      <c r="EU57" s="21"/>
      <c r="EV57" s="21"/>
      <c r="EW57" s="21"/>
      <c r="EX57" s="21"/>
      <c r="EY57" s="21"/>
    </row>
    <row r="58" spans="1:155" s="11" customFormat="1" x14ac:dyDescent="0.3">
      <c r="A58" s="21"/>
      <c r="B58" s="22" t="s">
        <v>990</v>
      </c>
      <c r="C58" s="22" t="s">
        <v>1049</v>
      </c>
      <c r="D58" s="22" t="s">
        <v>1006</v>
      </c>
      <c r="E58" s="35">
        <v>0.2</v>
      </c>
      <c r="F58" s="22" t="s">
        <v>10</v>
      </c>
      <c r="G58" s="21">
        <v>0</v>
      </c>
      <c r="H58" s="21">
        <v>0.3</v>
      </c>
      <c r="I58" s="21" t="s">
        <v>105</v>
      </c>
      <c r="J58" s="21" t="s">
        <v>9</v>
      </c>
      <c r="K58" s="22" t="s">
        <v>1027</v>
      </c>
      <c r="L58" s="22" t="s">
        <v>987</v>
      </c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  <c r="BL58" s="21"/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1"/>
      <c r="CC58" s="21"/>
      <c r="CD58" s="21"/>
      <c r="CE58" s="21"/>
      <c r="CF58" s="21"/>
      <c r="CG58" s="21"/>
      <c r="CH58" s="21"/>
      <c r="CI58" s="21"/>
      <c r="CJ58" s="21"/>
      <c r="CK58" s="21"/>
      <c r="CL58" s="21"/>
      <c r="CM58" s="21"/>
      <c r="CN58" s="21"/>
      <c r="CO58" s="21"/>
      <c r="CP58" s="21"/>
      <c r="CQ58" s="21"/>
      <c r="CR58" s="21"/>
      <c r="CS58" s="21"/>
      <c r="CT58" s="21"/>
      <c r="CU58" s="21"/>
      <c r="CV58" s="21"/>
      <c r="CW58" s="21"/>
      <c r="CX58" s="21"/>
      <c r="CY58" s="21"/>
      <c r="CZ58" s="21"/>
      <c r="DA58" s="21"/>
      <c r="DB58" s="21"/>
      <c r="DC58" s="21"/>
      <c r="DD58" s="21"/>
      <c r="DE58" s="21"/>
      <c r="DF58" s="21"/>
      <c r="DG58" s="21"/>
      <c r="DH58" s="21"/>
      <c r="DI58" s="21"/>
      <c r="DJ58" s="21"/>
      <c r="DK58" s="21"/>
      <c r="DL58" s="21"/>
      <c r="DM58" s="21"/>
      <c r="DN58" s="21"/>
      <c r="DO58" s="21"/>
      <c r="DP58" s="21"/>
      <c r="DQ58" s="21"/>
      <c r="DR58" s="21"/>
      <c r="DS58" s="21"/>
      <c r="DT58" s="21"/>
      <c r="DU58" s="21"/>
      <c r="DV58" s="21"/>
      <c r="DW58" s="21"/>
      <c r="DX58" s="21"/>
      <c r="DY58" s="21"/>
      <c r="DZ58" s="21"/>
      <c r="EA58" s="21"/>
      <c r="EB58" s="21"/>
      <c r="EC58" s="21"/>
      <c r="ED58" s="21"/>
      <c r="EE58" s="21"/>
      <c r="EF58" s="21"/>
      <c r="EG58" s="21"/>
      <c r="EH58" s="21"/>
      <c r="EI58" s="21"/>
      <c r="EJ58" s="21"/>
      <c r="EK58" s="21"/>
      <c r="EL58" s="21"/>
      <c r="EM58" s="21"/>
      <c r="EN58" s="21"/>
      <c r="EO58" s="21"/>
      <c r="EP58" s="21"/>
      <c r="EQ58" s="21"/>
      <c r="ER58" s="21"/>
      <c r="ES58" s="21"/>
      <c r="ET58" s="21"/>
      <c r="EU58" s="21"/>
      <c r="EV58" s="21"/>
      <c r="EW58" s="21"/>
      <c r="EX58" s="21"/>
      <c r="EY58" s="21"/>
    </row>
    <row r="59" spans="1:155" s="11" customFormat="1" x14ac:dyDescent="0.3">
      <c r="A59" s="21"/>
      <c r="B59" s="22" t="s">
        <v>990</v>
      </c>
      <c r="C59" s="22" t="s">
        <v>1049</v>
      </c>
      <c r="D59" s="22" t="s">
        <v>1007</v>
      </c>
      <c r="E59" s="35">
        <v>0.2</v>
      </c>
      <c r="F59" s="22" t="s">
        <v>10</v>
      </c>
      <c r="G59" s="21">
        <v>0</v>
      </c>
      <c r="H59" s="21">
        <v>0.3</v>
      </c>
      <c r="I59" s="21" t="s">
        <v>105</v>
      </c>
      <c r="J59" s="21" t="s">
        <v>9</v>
      </c>
      <c r="K59" s="22" t="s">
        <v>1028</v>
      </c>
      <c r="L59" s="22" t="s">
        <v>987</v>
      </c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</row>
    <row r="60" spans="1:155" s="11" customFormat="1" x14ac:dyDescent="0.3">
      <c r="A60" s="21"/>
      <c r="B60" s="22" t="s">
        <v>990</v>
      </c>
      <c r="C60" s="22" t="s">
        <v>1049</v>
      </c>
      <c r="D60" s="22" t="s">
        <v>1008</v>
      </c>
      <c r="E60" s="35">
        <v>0.2</v>
      </c>
      <c r="F60" s="22" t="s">
        <v>10</v>
      </c>
      <c r="G60" s="21">
        <v>0</v>
      </c>
      <c r="H60" s="21">
        <v>0.3</v>
      </c>
      <c r="I60" s="21" t="s">
        <v>105</v>
      </c>
      <c r="J60" s="21" t="s">
        <v>9</v>
      </c>
      <c r="K60" s="22" t="s">
        <v>1029</v>
      </c>
      <c r="L60" s="22" t="s">
        <v>987</v>
      </c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1"/>
      <c r="CC60" s="21"/>
      <c r="CD60" s="21"/>
      <c r="CE60" s="21"/>
      <c r="CF60" s="21"/>
      <c r="CG60" s="21"/>
      <c r="CH60" s="21"/>
      <c r="CI60" s="21"/>
      <c r="CJ60" s="21"/>
      <c r="CK60" s="21"/>
      <c r="CL60" s="21"/>
      <c r="CM60" s="21"/>
      <c r="CN60" s="21"/>
      <c r="CO60" s="21"/>
      <c r="CP60" s="21"/>
      <c r="CQ60" s="21"/>
      <c r="CR60" s="21"/>
      <c r="CS60" s="21"/>
      <c r="CT60" s="21"/>
      <c r="CU60" s="21"/>
      <c r="CV60" s="21"/>
      <c r="CW60" s="21"/>
      <c r="CX60" s="21"/>
      <c r="CY60" s="21"/>
      <c r="CZ60" s="21"/>
      <c r="DA60" s="21"/>
      <c r="DB60" s="21"/>
      <c r="DC60" s="21"/>
      <c r="DD60" s="21"/>
      <c r="DE60" s="21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1"/>
      <c r="DQ60" s="21"/>
      <c r="DR60" s="21"/>
      <c r="DS60" s="21"/>
      <c r="DT60" s="21"/>
      <c r="DU60" s="21"/>
      <c r="DV60" s="21"/>
      <c r="DW60" s="21"/>
      <c r="DX60" s="21"/>
      <c r="DY60" s="21"/>
      <c r="DZ60" s="21"/>
      <c r="EA60" s="21"/>
      <c r="EB60" s="21"/>
      <c r="EC60" s="21"/>
      <c r="ED60" s="21"/>
      <c r="EE60" s="21"/>
      <c r="EF60" s="21"/>
      <c r="EG60" s="21"/>
      <c r="EH60" s="21"/>
      <c r="EI60" s="21"/>
      <c r="EJ60" s="21"/>
      <c r="EK60" s="21"/>
      <c r="EL60" s="21"/>
      <c r="EM60" s="21"/>
      <c r="EN60" s="21"/>
      <c r="EO60" s="21"/>
      <c r="EP60" s="21"/>
      <c r="EQ60" s="21"/>
      <c r="ER60" s="21"/>
      <c r="ES60" s="21"/>
      <c r="ET60" s="21"/>
      <c r="EU60" s="21"/>
      <c r="EV60" s="21"/>
      <c r="EW60" s="21"/>
      <c r="EX60" s="21"/>
      <c r="EY60" s="21"/>
    </row>
    <row r="61" spans="1:155" s="11" customFormat="1" x14ac:dyDescent="0.3">
      <c r="A61" s="21"/>
      <c r="B61" s="22" t="s">
        <v>990</v>
      </c>
      <c r="C61" s="22" t="s">
        <v>1050</v>
      </c>
      <c r="D61" s="22" t="s">
        <v>998</v>
      </c>
      <c r="E61" s="36">
        <v>2.41</v>
      </c>
      <c r="F61" s="22" t="s">
        <v>10</v>
      </c>
      <c r="G61" s="21">
        <v>0</v>
      </c>
      <c r="H61" s="21">
        <v>5</v>
      </c>
      <c r="I61" s="21" t="s">
        <v>806</v>
      </c>
      <c r="J61" s="21" t="s">
        <v>9</v>
      </c>
      <c r="K61" s="22" t="s">
        <v>1019</v>
      </c>
      <c r="L61" s="22" t="s">
        <v>987</v>
      </c>
      <c r="M61" s="21"/>
      <c r="N61" s="21" t="s">
        <v>807</v>
      </c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1"/>
      <c r="CC61" s="21"/>
      <c r="CD61" s="21"/>
      <c r="CE61" s="21"/>
      <c r="CF61" s="21"/>
      <c r="CG61" s="21"/>
      <c r="CH61" s="21"/>
      <c r="CI61" s="21"/>
      <c r="CJ61" s="21"/>
      <c r="CK61" s="21"/>
      <c r="CL61" s="21"/>
      <c r="CM61" s="21"/>
      <c r="CN61" s="21"/>
      <c r="CO61" s="21"/>
      <c r="CP61" s="21"/>
      <c r="CQ61" s="21"/>
      <c r="CR61" s="21"/>
      <c r="CS61" s="21"/>
      <c r="CT61" s="21"/>
      <c r="CU61" s="21"/>
      <c r="CV61" s="21"/>
      <c r="CW61" s="21"/>
      <c r="CX61" s="21"/>
      <c r="CY61" s="21"/>
      <c r="CZ61" s="21"/>
      <c r="DA61" s="21"/>
      <c r="DB61" s="21"/>
      <c r="DC61" s="21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1"/>
      <c r="DQ61" s="21"/>
      <c r="DR61" s="21"/>
      <c r="DS61" s="21"/>
      <c r="DT61" s="21"/>
      <c r="DU61" s="21"/>
      <c r="DV61" s="21"/>
      <c r="DW61" s="21"/>
      <c r="DX61" s="21"/>
      <c r="DY61" s="21"/>
      <c r="DZ61" s="21"/>
      <c r="EA61" s="21"/>
      <c r="EB61" s="21"/>
      <c r="EC61" s="21"/>
      <c r="ED61" s="21"/>
      <c r="EE61" s="21"/>
      <c r="EF61" s="21"/>
      <c r="EG61" s="21"/>
      <c r="EH61" s="21"/>
      <c r="EI61" s="21"/>
      <c r="EJ61" s="21"/>
      <c r="EK61" s="21"/>
      <c r="EL61" s="21"/>
      <c r="EM61" s="21"/>
      <c r="EN61" s="21"/>
      <c r="EO61" s="21"/>
      <c r="EP61" s="21"/>
      <c r="EQ61" s="21"/>
      <c r="ER61" s="21"/>
      <c r="ES61" s="21"/>
      <c r="ET61" s="21"/>
      <c r="EU61" s="21"/>
      <c r="EV61" s="21"/>
      <c r="EW61" s="21"/>
      <c r="EX61" s="21"/>
      <c r="EY61" s="21"/>
    </row>
    <row r="62" spans="1:155" s="11" customFormat="1" x14ac:dyDescent="0.3">
      <c r="A62" s="21"/>
      <c r="B62" s="22" t="s">
        <v>990</v>
      </c>
      <c r="C62" s="22" t="s">
        <v>1050</v>
      </c>
      <c r="D62" s="22" t="s">
        <v>999</v>
      </c>
      <c r="E62" s="36">
        <v>1.66</v>
      </c>
      <c r="F62" s="22" t="s">
        <v>10</v>
      </c>
      <c r="G62" s="21">
        <v>0</v>
      </c>
      <c r="H62" s="21">
        <v>5</v>
      </c>
      <c r="I62" s="21" t="s">
        <v>806</v>
      </c>
      <c r="J62" s="21" t="s">
        <v>9</v>
      </c>
      <c r="K62" s="22" t="s">
        <v>1020</v>
      </c>
      <c r="L62" s="22" t="s">
        <v>987</v>
      </c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</row>
    <row r="63" spans="1:155" s="11" customFormat="1" x14ac:dyDescent="0.3">
      <c r="A63" s="21"/>
      <c r="B63" s="22" t="s">
        <v>990</v>
      </c>
      <c r="C63" s="22" t="s">
        <v>1050</v>
      </c>
      <c r="D63" s="22" t="s">
        <v>1000</v>
      </c>
      <c r="E63" s="36">
        <v>0</v>
      </c>
      <c r="F63" s="22" t="s">
        <v>10</v>
      </c>
      <c r="G63" s="21">
        <v>0</v>
      </c>
      <c r="H63" s="21">
        <v>5</v>
      </c>
      <c r="I63" s="21" t="s">
        <v>806</v>
      </c>
      <c r="J63" s="21" t="s">
        <v>9</v>
      </c>
      <c r="K63" s="22" t="s">
        <v>1021</v>
      </c>
      <c r="L63" s="22" t="s">
        <v>987</v>
      </c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21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21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21"/>
      <c r="EF63" s="21"/>
      <c r="EG63" s="21"/>
      <c r="EH63" s="21"/>
      <c r="EI63" s="21"/>
      <c r="EJ63" s="21"/>
      <c r="EK63" s="21"/>
      <c r="EL63" s="21"/>
      <c r="EM63" s="21"/>
      <c r="EN63" s="21"/>
      <c r="EO63" s="21"/>
      <c r="EP63" s="21"/>
      <c r="EQ63" s="21"/>
      <c r="ER63" s="21"/>
      <c r="ES63" s="21"/>
      <c r="ET63" s="21"/>
      <c r="EU63" s="21"/>
      <c r="EV63" s="21"/>
      <c r="EW63" s="21"/>
      <c r="EX63" s="21"/>
      <c r="EY63" s="21"/>
    </row>
    <row r="64" spans="1:155" s="11" customFormat="1" x14ac:dyDescent="0.3">
      <c r="A64" s="21"/>
      <c r="B64" s="22" t="s">
        <v>990</v>
      </c>
      <c r="C64" s="22" t="s">
        <v>1050</v>
      </c>
      <c r="D64" s="22" t="s">
        <v>1001</v>
      </c>
      <c r="E64" s="36">
        <v>0</v>
      </c>
      <c r="F64" s="22" t="s">
        <v>10</v>
      </c>
      <c r="G64" s="21">
        <v>0</v>
      </c>
      <c r="H64" s="21">
        <v>5</v>
      </c>
      <c r="I64" s="21" t="s">
        <v>806</v>
      </c>
      <c r="J64" s="21" t="s">
        <v>9</v>
      </c>
      <c r="K64" s="22" t="s">
        <v>1022</v>
      </c>
      <c r="L64" s="22" t="s">
        <v>987</v>
      </c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21"/>
      <c r="CS64" s="21"/>
      <c r="CT64" s="21"/>
      <c r="CU64" s="21"/>
      <c r="CV64" s="21"/>
      <c r="CW64" s="21"/>
      <c r="CX64" s="21"/>
      <c r="CY64" s="21"/>
      <c r="CZ64" s="21"/>
      <c r="DA64" s="21"/>
      <c r="DB64" s="21"/>
      <c r="DC64" s="21"/>
      <c r="DD64" s="21"/>
      <c r="DE64" s="21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1"/>
      <c r="DQ64" s="21"/>
      <c r="DR64" s="21"/>
      <c r="DS64" s="21"/>
      <c r="DT64" s="21"/>
      <c r="DU64" s="21"/>
      <c r="DV64" s="21"/>
      <c r="DW64" s="21"/>
      <c r="DX64" s="21"/>
      <c r="DY64" s="21"/>
      <c r="DZ64" s="21"/>
      <c r="EA64" s="21"/>
      <c r="EB64" s="21"/>
      <c r="EC64" s="21"/>
      <c r="ED64" s="21"/>
      <c r="EE64" s="21"/>
      <c r="EF64" s="21"/>
      <c r="EG64" s="21"/>
      <c r="EH64" s="21"/>
      <c r="EI64" s="21"/>
      <c r="EJ64" s="21"/>
      <c r="EK64" s="21"/>
      <c r="EL64" s="21"/>
      <c r="EM64" s="21"/>
      <c r="EN64" s="21"/>
      <c r="EO64" s="21"/>
      <c r="EP64" s="21"/>
      <c r="EQ64" s="21"/>
      <c r="ER64" s="21"/>
      <c r="ES64" s="21"/>
      <c r="ET64" s="21"/>
      <c r="EU64" s="21"/>
      <c r="EV64" s="21"/>
      <c r="EW64" s="21"/>
      <c r="EX64" s="21"/>
      <c r="EY64" s="21"/>
    </row>
    <row r="65" spans="1:155" s="11" customFormat="1" x14ac:dyDescent="0.3">
      <c r="A65" s="21"/>
      <c r="B65" s="22" t="s">
        <v>990</v>
      </c>
      <c r="C65" s="22" t="s">
        <v>1050</v>
      </c>
      <c r="D65" s="22" t="s">
        <v>1002</v>
      </c>
      <c r="E65" s="36">
        <v>0</v>
      </c>
      <c r="F65" s="22" t="s">
        <v>10</v>
      </c>
      <c r="G65" s="21">
        <v>0</v>
      </c>
      <c r="H65" s="21">
        <v>5</v>
      </c>
      <c r="I65" s="21" t="s">
        <v>806</v>
      </c>
      <c r="J65" s="21" t="s">
        <v>9</v>
      </c>
      <c r="K65" s="22" t="s">
        <v>1030</v>
      </c>
      <c r="L65" s="22" t="s">
        <v>987</v>
      </c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</row>
    <row r="66" spans="1:155" s="11" customFormat="1" x14ac:dyDescent="0.3">
      <c r="A66" s="21"/>
      <c r="B66" s="22" t="s">
        <v>990</v>
      </c>
      <c r="C66" s="22" t="s">
        <v>1050</v>
      </c>
      <c r="D66" s="22" t="s">
        <v>1003</v>
      </c>
      <c r="E66" s="36">
        <v>0</v>
      </c>
      <c r="F66" s="22" t="s">
        <v>10</v>
      </c>
      <c r="G66" s="21">
        <v>0</v>
      </c>
      <c r="H66" s="21">
        <v>5</v>
      </c>
      <c r="I66" s="21" t="s">
        <v>806</v>
      </c>
      <c r="J66" s="21" t="s">
        <v>9</v>
      </c>
      <c r="K66" s="22" t="s">
        <v>1024</v>
      </c>
      <c r="L66" s="22" t="s">
        <v>987</v>
      </c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  <c r="BX66" s="21"/>
      <c r="BY66" s="21"/>
      <c r="BZ66" s="21"/>
      <c r="CA66" s="21"/>
      <c r="CB66" s="21"/>
      <c r="CC66" s="21"/>
      <c r="CD66" s="21"/>
      <c r="CE66" s="21"/>
      <c r="CF66" s="21"/>
      <c r="CG66" s="21"/>
      <c r="CH66" s="21"/>
      <c r="CI66" s="21"/>
      <c r="CJ66" s="21"/>
      <c r="CK66" s="21"/>
      <c r="CL66" s="21"/>
      <c r="CM66" s="21"/>
      <c r="CN66" s="21"/>
      <c r="CO66" s="21"/>
      <c r="CP66" s="21"/>
      <c r="CQ66" s="21"/>
      <c r="CR66" s="21"/>
      <c r="CS66" s="21"/>
      <c r="CT66" s="21"/>
      <c r="CU66" s="21"/>
      <c r="CV66" s="21"/>
      <c r="CW66" s="21"/>
      <c r="CX66" s="21"/>
      <c r="CY66" s="21"/>
      <c r="CZ66" s="21"/>
      <c r="DA66" s="21"/>
      <c r="DB66" s="21"/>
      <c r="DC66" s="21"/>
      <c r="DD66" s="21"/>
      <c r="DE66" s="21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1"/>
      <c r="DQ66" s="21"/>
      <c r="DR66" s="21"/>
      <c r="DS66" s="21"/>
      <c r="DT66" s="21"/>
      <c r="DU66" s="21"/>
      <c r="DV66" s="21"/>
      <c r="DW66" s="21"/>
      <c r="DX66" s="21"/>
      <c r="DY66" s="21"/>
      <c r="DZ66" s="21"/>
      <c r="EA66" s="21"/>
      <c r="EB66" s="21"/>
      <c r="EC66" s="21"/>
      <c r="ED66" s="21"/>
      <c r="EE66" s="21"/>
      <c r="EF66" s="21"/>
      <c r="EG66" s="21"/>
      <c r="EH66" s="21"/>
      <c r="EI66" s="21"/>
      <c r="EJ66" s="21"/>
      <c r="EK66" s="21"/>
      <c r="EL66" s="21"/>
      <c r="EM66" s="21"/>
      <c r="EN66" s="21"/>
      <c r="EO66" s="21"/>
      <c r="EP66" s="21"/>
      <c r="EQ66" s="21"/>
      <c r="ER66" s="21"/>
      <c r="ES66" s="21"/>
      <c r="ET66" s="21"/>
      <c r="EU66" s="21"/>
      <c r="EV66" s="21"/>
      <c r="EW66" s="21"/>
      <c r="EX66" s="21"/>
      <c r="EY66" s="21"/>
    </row>
    <row r="67" spans="1:155" s="11" customFormat="1" x14ac:dyDescent="0.3">
      <c r="A67" s="21"/>
      <c r="B67" s="22" t="s">
        <v>990</v>
      </c>
      <c r="C67" s="22" t="s">
        <v>1050</v>
      </c>
      <c r="D67" s="22" t="s">
        <v>1004</v>
      </c>
      <c r="E67" s="36">
        <v>1.71</v>
      </c>
      <c r="F67" s="22" t="s">
        <v>10</v>
      </c>
      <c r="G67" s="21">
        <v>0</v>
      </c>
      <c r="H67" s="21">
        <v>5</v>
      </c>
      <c r="I67" s="21" t="s">
        <v>806</v>
      </c>
      <c r="J67" s="21" t="s">
        <v>9</v>
      </c>
      <c r="K67" s="22" t="s">
        <v>1025</v>
      </c>
      <c r="L67" s="22" t="s">
        <v>987</v>
      </c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  <c r="BQ67" s="21"/>
      <c r="BR67" s="21"/>
      <c r="BS67" s="21"/>
      <c r="BT67" s="21"/>
      <c r="BU67" s="21"/>
      <c r="BV67" s="21"/>
      <c r="BW67" s="21"/>
      <c r="BX67" s="21"/>
      <c r="BY67" s="21"/>
      <c r="BZ67" s="21"/>
      <c r="CA67" s="21"/>
      <c r="CB67" s="21"/>
      <c r="CC67" s="21"/>
      <c r="CD67" s="21"/>
      <c r="CE67" s="21"/>
      <c r="CF67" s="21"/>
      <c r="CG67" s="21"/>
      <c r="CH67" s="21"/>
      <c r="CI67" s="21"/>
      <c r="CJ67" s="21"/>
      <c r="CK67" s="21"/>
      <c r="CL67" s="21"/>
      <c r="CM67" s="21"/>
      <c r="CN67" s="21"/>
      <c r="CO67" s="21"/>
      <c r="CP67" s="21"/>
      <c r="CQ67" s="21"/>
      <c r="CR67" s="21"/>
      <c r="CS67" s="21"/>
      <c r="CT67" s="21"/>
      <c r="CU67" s="21"/>
      <c r="CV67" s="21"/>
      <c r="CW67" s="21"/>
      <c r="CX67" s="21"/>
      <c r="CY67" s="21"/>
      <c r="CZ67" s="21"/>
      <c r="DA67" s="21"/>
      <c r="DB67" s="21"/>
      <c r="DC67" s="21"/>
      <c r="DD67" s="21"/>
      <c r="DE67" s="21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1"/>
      <c r="DQ67" s="21"/>
      <c r="DR67" s="21"/>
      <c r="DS67" s="21"/>
      <c r="DT67" s="21"/>
      <c r="DU67" s="21"/>
      <c r="DV67" s="21"/>
      <c r="DW67" s="21"/>
      <c r="DX67" s="21"/>
      <c r="DY67" s="21"/>
      <c r="DZ67" s="21"/>
      <c r="EA67" s="21"/>
      <c r="EB67" s="21"/>
      <c r="EC67" s="21"/>
      <c r="ED67" s="21"/>
      <c r="EE67" s="21"/>
      <c r="EF67" s="21"/>
      <c r="EG67" s="21"/>
      <c r="EH67" s="21"/>
      <c r="EI67" s="21"/>
      <c r="EJ67" s="21"/>
      <c r="EK67" s="21"/>
      <c r="EL67" s="21"/>
      <c r="EM67" s="21"/>
      <c r="EN67" s="21"/>
      <c r="EO67" s="21"/>
      <c r="EP67" s="21"/>
      <c r="EQ67" s="21"/>
      <c r="ER67" s="21"/>
      <c r="ES67" s="21"/>
      <c r="ET67" s="21"/>
      <c r="EU67" s="21"/>
      <c r="EV67" s="21"/>
      <c r="EW67" s="21"/>
      <c r="EX67" s="21"/>
      <c r="EY67" s="21"/>
    </row>
    <row r="68" spans="1:155" s="11" customFormat="1" x14ac:dyDescent="0.3">
      <c r="A68" s="21"/>
      <c r="B68" s="22" t="s">
        <v>990</v>
      </c>
      <c r="C68" s="22" t="s">
        <v>1050</v>
      </c>
      <c r="D68" s="22" t="s">
        <v>1005</v>
      </c>
      <c r="E68" s="36">
        <v>1.75</v>
      </c>
      <c r="F68" s="22" t="s">
        <v>10</v>
      </c>
      <c r="G68" s="21">
        <v>0</v>
      </c>
      <c r="H68" s="21">
        <v>5</v>
      </c>
      <c r="I68" s="21" t="s">
        <v>806</v>
      </c>
      <c r="J68" s="21" t="s">
        <v>9</v>
      </c>
      <c r="K68" s="22" t="s">
        <v>1026</v>
      </c>
      <c r="L68" s="22" t="s">
        <v>987</v>
      </c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</row>
    <row r="69" spans="1:155" s="11" customFormat="1" x14ac:dyDescent="0.3">
      <c r="A69" s="21"/>
      <c r="B69" s="22" t="s">
        <v>990</v>
      </c>
      <c r="C69" s="22" t="s">
        <v>1050</v>
      </c>
      <c r="D69" s="22" t="s">
        <v>1006</v>
      </c>
      <c r="E69" s="36">
        <v>0</v>
      </c>
      <c r="F69" s="22" t="s">
        <v>10</v>
      </c>
      <c r="G69" s="21">
        <v>0</v>
      </c>
      <c r="H69" s="21">
        <v>5</v>
      </c>
      <c r="I69" s="21" t="s">
        <v>806</v>
      </c>
      <c r="J69" s="21" t="s">
        <v>9</v>
      </c>
      <c r="K69" s="22" t="s">
        <v>1027</v>
      </c>
      <c r="L69" s="22" t="s">
        <v>987</v>
      </c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  <c r="BO69" s="21"/>
      <c r="BP69" s="21"/>
      <c r="BQ69" s="21"/>
      <c r="BR69" s="21"/>
      <c r="BS69" s="21"/>
      <c r="BT69" s="21"/>
      <c r="BU69" s="21"/>
      <c r="BV69" s="21"/>
      <c r="BW69" s="21"/>
      <c r="BX69" s="21"/>
      <c r="BY69" s="21"/>
      <c r="BZ69" s="21"/>
      <c r="CA69" s="21"/>
      <c r="CB69" s="21"/>
      <c r="CC69" s="21"/>
      <c r="CD69" s="21"/>
      <c r="CE69" s="21"/>
      <c r="CF69" s="21"/>
      <c r="CG69" s="21"/>
      <c r="CH69" s="21"/>
      <c r="CI69" s="21"/>
      <c r="CJ69" s="21"/>
      <c r="CK69" s="21"/>
      <c r="CL69" s="21"/>
      <c r="CM69" s="21"/>
      <c r="CN69" s="21"/>
      <c r="CO69" s="21"/>
      <c r="CP69" s="21"/>
      <c r="CQ69" s="21"/>
      <c r="CR69" s="21"/>
      <c r="CS69" s="21"/>
      <c r="CT69" s="21"/>
      <c r="CU69" s="21"/>
      <c r="CV69" s="21"/>
      <c r="CW69" s="21"/>
      <c r="CX69" s="21"/>
      <c r="CY69" s="21"/>
      <c r="CZ69" s="21"/>
      <c r="DA69" s="21"/>
      <c r="DB69" s="21"/>
      <c r="DC69" s="21"/>
      <c r="DD69" s="21"/>
      <c r="DE69" s="21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1"/>
      <c r="DQ69" s="21"/>
      <c r="DR69" s="21"/>
      <c r="DS69" s="21"/>
      <c r="DT69" s="21"/>
      <c r="DU69" s="21"/>
      <c r="DV69" s="21"/>
      <c r="DW69" s="21"/>
      <c r="DX69" s="21"/>
      <c r="DY69" s="21"/>
      <c r="DZ69" s="21"/>
      <c r="EA69" s="21"/>
      <c r="EB69" s="21"/>
      <c r="EC69" s="21"/>
      <c r="ED69" s="21"/>
      <c r="EE69" s="21"/>
      <c r="EF69" s="21"/>
      <c r="EG69" s="21"/>
      <c r="EH69" s="21"/>
      <c r="EI69" s="21"/>
      <c r="EJ69" s="21"/>
      <c r="EK69" s="21"/>
      <c r="EL69" s="21"/>
      <c r="EM69" s="21"/>
      <c r="EN69" s="21"/>
      <c r="EO69" s="21"/>
      <c r="EP69" s="21"/>
      <c r="EQ69" s="21"/>
      <c r="ER69" s="21"/>
      <c r="ES69" s="21"/>
      <c r="ET69" s="21"/>
      <c r="EU69" s="21"/>
      <c r="EV69" s="21"/>
      <c r="EW69" s="21"/>
      <c r="EX69" s="21"/>
      <c r="EY69" s="21"/>
    </row>
    <row r="70" spans="1:155" s="11" customFormat="1" x14ac:dyDescent="0.3">
      <c r="A70" s="21"/>
      <c r="B70" s="22" t="s">
        <v>990</v>
      </c>
      <c r="C70" s="22" t="s">
        <v>1050</v>
      </c>
      <c r="D70" s="22" t="s">
        <v>1007</v>
      </c>
      <c r="E70" s="36">
        <v>0</v>
      </c>
      <c r="F70" s="22" t="s">
        <v>10</v>
      </c>
      <c r="G70" s="21">
        <v>0</v>
      </c>
      <c r="H70" s="21">
        <v>5</v>
      </c>
      <c r="I70" s="21" t="s">
        <v>806</v>
      </c>
      <c r="J70" s="21" t="s">
        <v>9</v>
      </c>
      <c r="K70" s="22" t="s">
        <v>1028</v>
      </c>
      <c r="L70" s="22" t="s">
        <v>987</v>
      </c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21"/>
      <c r="CS70" s="21"/>
      <c r="CT70" s="21"/>
      <c r="CU70" s="21"/>
      <c r="CV70" s="21"/>
      <c r="CW70" s="21"/>
      <c r="CX70" s="21"/>
      <c r="CY70" s="21"/>
      <c r="CZ70" s="21"/>
      <c r="DA70" s="21"/>
      <c r="DB70" s="21"/>
      <c r="DC70" s="21"/>
      <c r="DD70" s="21"/>
      <c r="DE70" s="21"/>
      <c r="DF70" s="21"/>
      <c r="DG70" s="21"/>
      <c r="DH70" s="21"/>
      <c r="DI70" s="21"/>
      <c r="DJ70" s="21"/>
      <c r="DK70" s="21"/>
      <c r="DL70" s="21"/>
      <c r="DM70" s="21"/>
      <c r="DN70" s="21"/>
      <c r="DO70" s="21"/>
      <c r="DP70" s="21"/>
      <c r="DQ70" s="21"/>
      <c r="DR70" s="21"/>
      <c r="DS70" s="21"/>
      <c r="DT70" s="21"/>
      <c r="DU70" s="21"/>
      <c r="DV70" s="21"/>
      <c r="DW70" s="21"/>
      <c r="DX70" s="21"/>
      <c r="DY70" s="21"/>
      <c r="DZ70" s="21"/>
      <c r="EA70" s="21"/>
      <c r="EB70" s="21"/>
      <c r="EC70" s="21"/>
      <c r="ED70" s="21"/>
      <c r="EE70" s="21"/>
      <c r="EF70" s="21"/>
      <c r="EG70" s="21"/>
      <c r="EH70" s="21"/>
      <c r="EI70" s="21"/>
      <c r="EJ70" s="21"/>
      <c r="EK70" s="21"/>
      <c r="EL70" s="21"/>
      <c r="EM70" s="21"/>
      <c r="EN70" s="21"/>
      <c r="EO70" s="21"/>
      <c r="EP70" s="21"/>
      <c r="EQ70" s="21"/>
      <c r="ER70" s="21"/>
      <c r="ES70" s="21"/>
      <c r="ET70" s="21"/>
      <c r="EU70" s="21"/>
      <c r="EV70" s="21"/>
      <c r="EW70" s="21"/>
      <c r="EX70" s="21"/>
      <c r="EY70" s="21"/>
    </row>
    <row r="71" spans="1:155" s="11" customFormat="1" x14ac:dyDescent="0.3">
      <c r="A71" s="21"/>
      <c r="B71" s="22" t="s">
        <v>990</v>
      </c>
      <c r="C71" s="22" t="s">
        <v>1050</v>
      </c>
      <c r="D71" s="22" t="s">
        <v>1008</v>
      </c>
      <c r="E71" s="36">
        <v>0</v>
      </c>
      <c r="F71" s="22" t="s">
        <v>10</v>
      </c>
      <c r="G71" s="21">
        <v>0</v>
      </c>
      <c r="H71" s="21">
        <v>5</v>
      </c>
      <c r="I71" s="21" t="s">
        <v>806</v>
      </c>
      <c r="J71" s="21" t="s">
        <v>9</v>
      </c>
      <c r="K71" s="22" t="s">
        <v>1029</v>
      </c>
      <c r="L71" s="22" t="s">
        <v>987</v>
      </c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</row>
    <row r="72" spans="1:155" s="11" customFormat="1" x14ac:dyDescent="0.3">
      <c r="A72" s="21"/>
      <c r="B72" s="22" t="s">
        <v>990</v>
      </c>
      <c r="C72" s="22" t="s">
        <v>31</v>
      </c>
      <c r="D72" s="22" t="s">
        <v>278</v>
      </c>
      <c r="E72" s="33">
        <v>6.8</v>
      </c>
      <c r="F72" s="22" t="s">
        <v>9</v>
      </c>
      <c r="G72" s="21"/>
      <c r="H72" s="21"/>
      <c r="I72" s="21" t="s">
        <v>21</v>
      </c>
      <c r="J72" s="21" t="s">
        <v>9</v>
      </c>
      <c r="K72" s="22" t="s">
        <v>278</v>
      </c>
      <c r="L72" s="22" t="s">
        <v>987</v>
      </c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1"/>
      <c r="CC72" s="21"/>
      <c r="CD72" s="21"/>
      <c r="CE72" s="21"/>
      <c r="CF72" s="21"/>
      <c r="CG72" s="21"/>
      <c r="CH72" s="21"/>
      <c r="CI72" s="21"/>
      <c r="CJ72" s="21"/>
      <c r="CK72" s="21"/>
      <c r="CL72" s="21"/>
      <c r="CM72" s="21"/>
      <c r="CN72" s="21"/>
      <c r="CO72" s="21"/>
      <c r="CP72" s="21"/>
      <c r="CQ72" s="21"/>
      <c r="CR72" s="21"/>
      <c r="CS72" s="21"/>
      <c r="CT72" s="21"/>
      <c r="CU72" s="21"/>
      <c r="CV72" s="21"/>
      <c r="CW72" s="21"/>
      <c r="CX72" s="21"/>
      <c r="CY72" s="21"/>
      <c r="CZ72" s="21"/>
      <c r="DA72" s="21"/>
      <c r="DB72" s="21"/>
      <c r="DC72" s="21"/>
      <c r="DD72" s="21"/>
      <c r="DE72" s="21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1"/>
      <c r="DQ72" s="21"/>
      <c r="DR72" s="21"/>
      <c r="DS72" s="21"/>
      <c r="DT72" s="21"/>
      <c r="DU72" s="21"/>
      <c r="DV72" s="21"/>
      <c r="DW72" s="21"/>
      <c r="DX72" s="21"/>
      <c r="DY72" s="21"/>
      <c r="DZ72" s="21"/>
      <c r="EA72" s="21"/>
      <c r="EB72" s="21"/>
      <c r="EC72" s="21"/>
      <c r="ED72" s="21"/>
      <c r="EE72" s="21"/>
      <c r="EF72" s="21"/>
      <c r="EG72" s="21"/>
      <c r="EH72" s="21"/>
      <c r="EI72" s="21"/>
      <c r="EJ72" s="21"/>
      <c r="EK72" s="21"/>
      <c r="EL72" s="21"/>
      <c r="EM72" s="21"/>
      <c r="EN72" s="21"/>
      <c r="EO72" s="21"/>
      <c r="EP72" s="21"/>
      <c r="EQ72" s="21"/>
      <c r="ER72" s="21"/>
      <c r="ES72" s="21"/>
      <c r="ET72" s="21"/>
      <c r="EU72" s="21"/>
      <c r="EV72" s="21"/>
      <c r="EW72" s="21"/>
      <c r="EX72" s="21"/>
      <c r="EY72" s="21"/>
    </row>
    <row r="73" spans="1:155" s="11" customFormat="1" x14ac:dyDescent="0.3">
      <c r="A73" s="21"/>
      <c r="B73" s="22" t="s">
        <v>990</v>
      </c>
      <c r="C73" s="22" t="s">
        <v>19</v>
      </c>
      <c r="D73" s="22" t="s">
        <v>275</v>
      </c>
      <c r="E73" s="30">
        <v>3.5999999999999997E-2</v>
      </c>
      <c r="F73" s="22" t="s">
        <v>9</v>
      </c>
      <c r="G73" s="21"/>
      <c r="H73" s="21"/>
      <c r="I73" s="21" t="s">
        <v>28</v>
      </c>
      <c r="J73" s="21" t="s">
        <v>9</v>
      </c>
      <c r="K73" s="22" t="s">
        <v>275</v>
      </c>
      <c r="L73" s="22" t="s">
        <v>987</v>
      </c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1"/>
      <c r="CC73" s="21"/>
      <c r="CD73" s="21"/>
      <c r="CE73" s="21"/>
      <c r="CF73" s="21"/>
      <c r="CG73" s="21"/>
      <c r="CH73" s="21"/>
      <c r="CI73" s="21"/>
      <c r="CJ73" s="21"/>
      <c r="CK73" s="21"/>
      <c r="CL73" s="21"/>
      <c r="CM73" s="21"/>
      <c r="CN73" s="21"/>
      <c r="CO73" s="21"/>
      <c r="CP73" s="21"/>
      <c r="CQ73" s="21"/>
      <c r="CR73" s="21"/>
      <c r="CS73" s="21"/>
      <c r="CT73" s="21"/>
      <c r="CU73" s="21"/>
      <c r="CV73" s="21"/>
      <c r="CW73" s="21"/>
      <c r="CX73" s="21"/>
      <c r="CY73" s="21"/>
      <c r="CZ73" s="21"/>
      <c r="DA73" s="21"/>
      <c r="DB73" s="21"/>
      <c r="DC73" s="21"/>
      <c r="DD73" s="21"/>
      <c r="DE73" s="21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1"/>
      <c r="DQ73" s="21"/>
      <c r="DR73" s="21"/>
      <c r="DS73" s="21"/>
      <c r="DT73" s="21"/>
      <c r="DU73" s="21"/>
      <c r="DV73" s="21"/>
      <c r="DW73" s="21"/>
      <c r="DX73" s="21"/>
      <c r="DY73" s="21"/>
      <c r="DZ73" s="21"/>
      <c r="EA73" s="21"/>
      <c r="EB73" s="21"/>
      <c r="EC73" s="21"/>
      <c r="ED73" s="21"/>
      <c r="EE73" s="21"/>
      <c r="EF73" s="21"/>
      <c r="EG73" s="21"/>
      <c r="EH73" s="21"/>
      <c r="EI73" s="21"/>
      <c r="EJ73" s="21"/>
      <c r="EK73" s="21"/>
      <c r="EL73" s="21"/>
      <c r="EM73" s="21"/>
      <c r="EN73" s="21"/>
      <c r="EO73" s="21"/>
      <c r="EP73" s="21"/>
      <c r="EQ73" s="21"/>
      <c r="ER73" s="21"/>
      <c r="ES73" s="21"/>
      <c r="ET73" s="21"/>
      <c r="EU73" s="21"/>
      <c r="EV73" s="21"/>
      <c r="EW73" s="21"/>
      <c r="EX73" s="21"/>
      <c r="EY73" s="21"/>
    </row>
    <row r="74" spans="1:155" s="11" customFormat="1" x14ac:dyDescent="0.3">
      <c r="A74" s="21"/>
      <c r="B74" s="22" t="s">
        <v>990</v>
      </c>
      <c r="C74" s="22" t="s">
        <v>19</v>
      </c>
      <c r="D74" s="22" t="s">
        <v>493</v>
      </c>
      <c r="E74" s="30">
        <v>0.13300000000000001</v>
      </c>
      <c r="F74" s="22" t="s">
        <v>9</v>
      </c>
      <c r="G74" s="21"/>
      <c r="H74" s="21"/>
      <c r="I74" s="21" t="s">
        <v>28</v>
      </c>
      <c r="J74" s="21" t="s">
        <v>9</v>
      </c>
      <c r="K74" s="22" t="s">
        <v>493</v>
      </c>
      <c r="L74" s="22" t="s">
        <v>987</v>
      </c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  <c r="BK74" s="21"/>
      <c r="BL74" s="21"/>
      <c r="BM74" s="21"/>
      <c r="BN74" s="21"/>
      <c r="BO74" s="21"/>
      <c r="BP74" s="21"/>
      <c r="BQ74" s="21"/>
      <c r="BR74" s="21"/>
      <c r="BS74" s="21"/>
      <c r="BT74" s="21"/>
      <c r="BU74" s="21"/>
      <c r="BV74" s="21"/>
      <c r="BW74" s="21"/>
      <c r="BX74" s="21"/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I74" s="21"/>
      <c r="CJ74" s="21"/>
      <c r="CK74" s="21"/>
      <c r="CL74" s="21"/>
      <c r="CM74" s="21"/>
      <c r="CN74" s="21"/>
      <c r="CO74" s="21"/>
      <c r="CP74" s="21"/>
      <c r="CQ74" s="21"/>
      <c r="CR74" s="21"/>
      <c r="CS74" s="21"/>
      <c r="CT74" s="21"/>
      <c r="CU74" s="21"/>
      <c r="CV74" s="21"/>
      <c r="CW74" s="21"/>
      <c r="CX74" s="21"/>
      <c r="CY74" s="21"/>
      <c r="CZ74" s="21"/>
      <c r="DA74" s="21"/>
      <c r="DB74" s="21"/>
      <c r="DC74" s="21"/>
      <c r="DD74" s="21"/>
      <c r="DE74" s="21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1"/>
      <c r="DQ74" s="21"/>
      <c r="DR74" s="21"/>
      <c r="DS74" s="21"/>
      <c r="DT74" s="21"/>
      <c r="DU74" s="21"/>
      <c r="DV74" s="21"/>
      <c r="DW74" s="21"/>
      <c r="DX74" s="21"/>
      <c r="DY74" s="21"/>
      <c r="DZ74" s="21"/>
      <c r="EA74" s="21"/>
      <c r="EB74" s="21"/>
      <c r="EC74" s="21"/>
      <c r="ED74" s="21"/>
      <c r="EE74" s="21"/>
      <c r="EF74" s="21"/>
      <c r="EG74" s="21"/>
      <c r="EH74" s="21"/>
      <c r="EI74" s="21"/>
      <c r="EJ74" s="21"/>
      <c r="EK74" s="21"/>
      <c r="EL74" s="21"/>
      <c r="EM74" s="21"/>
      <c r="EN74" s="21"/>
      <c r="EO74" s="21"/>
      <c r="EP74" s="21"/>
      <c r="EQ74" s="21"/>
      <c r="ER74" s="21"/>
      <c r="ES74" s="21"/>
      <c r="ET74" s="21"/>
      <c r="EU74" s="21"/>
      <c r="EV74" s="21"/>
      <c r="EW74" s="21"/>
      <c r="EX74" s="21"/>
      <c r="EY74" s="21"/>
    </row>
    <row r="75" spans="1:155" s="11" customFormat="1" x14ac:dyDescent="0.3">
      <c r="A75" s="21"/>
      <c r="B75" s="22" t="s">
        <v>990</v>
      </c>
      <c r="C75" s="22" t="s">
        <v>19</v>
      </c>
      <c r="D75" s="22" t="s">
        <v>836</v>
      </c>
      <c r="E75" s="30">
        <v>0.128</v>
      </c>
      <c r="F75" s="22" t="s">
        <v>9</v>
      </c>
      <c r="G75" s="21"/>
      <c r="H75" s="21"/>
      <c r="I75" s="21" t="s">
        <v>28</v>
      </c>
      <c r="J75" s="21" t="s">
        <v>9</v>
      </c>
      <c r="K75" s="22" t="s">
        <v>836</v>
      </c>
      <c r="L75" s="22" t="s">
        <v>987</v>
      </c>
      <c r="M75" s="21"/>
      <c r="N75" s="21" t="s">
        <v>808</v>
      </c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1"/>
      <c r="BT75" s="21"/>
      <c r="BU75" s="21"/>
      <c r="BV75" s="21"/>
      <c r="BW75" s="21"/>
      <c r="BX75" s="21"/>
      <c r="BY75" s="21"/>
      <c r="BZ75" s="21"/>
      <c r="CA75" s="21"/>
      <c r="CB75" s="21"/>
      <c r="CC75" s="21"/>
      <c r="CD75" s="21"/>
      <c r="CE75" s="21"/>
      <c r="CF75" s="21"/>
      <c r="CG75" s="21"/>
      <c r="CH75" s="21"/>
      <c r="CI75" s="21"/>
      <c r="CJ75" s="21"/>
      <c r="CK75" s="21"/>
      <c r="CL75" s="21"/>
      <c r="CM75" s="21"/>
      <c r="CN75" s="21"/>
      <c r="CO75" s="21"/>
      <c r="CP75" s="21"/>
      <c r="CQ75" s="21"/>
      <c r="CR75" s="21"/>
      <c r="CS75" s="21"/>
      <c r="CT75" s="21"/>
      <c r="CU75" s="21"/>
      <c r="CV75" s="21"/>
      <c r="CW75" s="21"/>
      <c r="CX75" s="21"/>
      <c r="CY75" s="21"/>
      <c r="CZ75" s="21"/>
      <c r="DA75" s="21"/>
      <c r="DB75" s="21"/>
      <c r="DC75" s="21"/>
      <c r="DD75" s="21"/>
      <c r="DE75" s="21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1"/>
      <c r="DQ75" s="21"/>
      <c r="DR75" s="21"/>
      <c r="DS75" s="21"/>
      <c r="DT75" s="21"/>
      <c r="DU75" s="21"/>
      <c r="DV75" s="21"/>
      <c r="DW75" s="21"/>
      <c r="DX75" s="21"/>
      <c r="DY75" s="21"/>
      <c r="DZ75" s="21"/>
      <c r="EA75" s="21"/>
      <c r="EB75" s="21"/>
      <c r="EC75" s="21"/>
      <c r="ED75" s="21"/>
      <c r="EE75" s="21"/>
      <c r="EF75" s="21"/>
      <c r="EG75" s="21"/>
      <c r="EH75" s="21"/>
      <c r="EI75" s="21"/>
      <c r="EJ75" s="21"/>
      <c r="EK75" s="21"/>
      <c r="EL75" s="21"/>
      <c r="EM75" s="21"/>
      <c r="EN75" s="21"/>
      <c r="EO75" s="21"/>
      <c r="EP75" s="21"/>
      <c r="EQ75" s="21"/>
      <c r="ER75" s="21"/>
      <c r="ES75" s="21"/>
      <c r="ET75" s="21"/>
      <c r="EU75" s="21"/>
      <c r="EV75" s="21"/>
      <c r="EW75" s="21"/>
      <c r="EX75" s="21"/>
      <c r="EY75" s="21"/>
    </row>
    <row r="76" spans="1:155" s="11" customFormat="1" x14ac:dyDescent="0.3">
      <c r="A76" s="21"/>
      <c r="B76" s="22" t="s">
        <v>990</v>
      </c>
      <c r="C76" s="22" t="s">
        <v>19</v>
      </c>
      <c r="D76" s="22" t="s">
        <v>837</v>
      </c>
      <c r="E76" s="30">
        <v>0.24099999999999999</v>
      </c>
      <c r="F76" s="22" t="s">
        <v>9</v>
      </c>
      <c r="G76" s="21"/>
      <c r="H76" s="21"/>
      <c r="I76" s="21" t="s">
        <v>28</v>
      </c>
      <c r="J76" s="21" t="s">
        <v>9</v>
      </c>
      <c r="K76" s="22" t="s">
        <v>837</v>
      </c>
      <c r="L76" s="22" t="s">
        <v>987</v>
      </c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21"/>
      <c r="CS76" s="21"/>
      <c r="CT76" s="21"/>
      <c r="CU76" s="21"/>
      <c r="CV76" s="21"/>
      <c r="CW76" s="21"/>
      <c r="CX76" s="21"/>
      <c r="CY76" s="21"/>
      <c r="CZ76" s="21"/>
      <c r="DA76" s="21"/>
      <c r="DB76" s="21"/>
      <c r="DC76" s="21"/>
      <c r="DD76" s="21"/>
      <c r="DE76" s="21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1"/>
      <c r="DQ76" s="21"/>
      <c r="DR76" s="21"/>
      <c r="DS76" s="21"/>
      <c r="DT76" s="21"/>
      <c r="DU76" s="21"/>
      <c r="DV76" s="21"/>
      <c r="DW76" s="21"/>
      <c r="DX76" s="21"/>
      <c r="DY76" s="21"/>
      <c r="DZ76" s="21"/>
      <c r="EA76" s="21"/>
      <c r="EB76" s="21"/>
      <c r="EC76" s="21"/>
      <c r="ED76" s="21"/>
      <c r="EE76" s="21"/>
      <c r="EF76" s="21"/>
      <c r="EG76" s="21"/>
      <c r="EH76" s="21"/>
      <c r="EI76" s="21"/>
      <c r="EJ76" s="21"/>
      <c r="EK76" s="21"/>
      <c r="EL76" s="21"/>
      <c r="EM76" s="21"/>
      <c r="EN76" s="21"/>
      <c r="EO76" s="21"/>
      <c r="EP76" s="21"/>
      <c r="EQ76" s="21"/>
      <c r="ER76" s="21"/>
      <c r="ES76" s="21"/>
      <c r="ET76" s="21"/>
      <c r="EU76" s="21"/>
      <c r="EV76" s="21"/>
      <c r="EW76" s="21"/>
      <c r="EX76" s="21"/>
      <c r="EY76" s="21"/>
    </row>
    <row r="77" spans="1:155" s="11" customFormat="1" x14ac:dyDescent="0.3">
      <c r="A77" s="21"/>
      <c r="B77" s="22" t="s">
        <v>990</v>
      </c>
      <c r="C77" s="22" t="s">
        <v>19</v>
      </c>
      <c r="D77" s="22" t="s">
        <v>838</v>
      </c>
      <c r="E77" s="30">
        <v>4.4999999999999998E-2</v>
      </c>
      <c r="F77" s="22" t="s">
        <v>9</v>
      </c>
      <c r="G77" s="21"/>
      <c r="H77" s="21"/>
      <c r="I77" s="21" t="s">
        <v>28</v>
      </c>
      <c r="J77" s="21" t="s">
        <v>9</v>
      </c>
      <c r="K77" s="22" t="s">
        <v>838</v>
      </c>
      <c r="L77" s="22" t="s">
        <v>987</v>
      </c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  <c r="BQ77" s="21"/>
      <c r="BR77" s="21"/>
      <c r="BS77" s="21"/>
      <c r="BT77" s="21"/>
      <c r="BU77" s="21"/>
      <c r="BV77" s="21"/>
      <c r="BW77" s="21"/>
      <c r="BX77" s="21"/>
      <c r="BY77" s="21"/>
      <c r="BZ77" s="21"/>
      <c r="CA77" s="21"/>
      <c r="CB77" s="21"/>
      <c r="CC77" s="21"/>
      <c r="CD77" s="21"/>
      <c r="CE77" s="21"/>
      <c r="CF77" s="21"/>
      <c r="CG77" s="21"/>
      <c r="CH77" s="21"/>
      <c r="CI77" s="21"/>
      <c r="CJ77" s="21"/>
      <c r="CK77" s="21"/>
      <c r="CL77" s="21"/>
      <c r="CM77" s="21"/>
      <c r="CN77" s="21"/>
      <c r="CO77" s="21"/>
      <c r="CP77" s="21"/>
      <c r="CQ77" s="21"/>
      <c r="CR77" s="21"/>
      <c r="CS77" s="21"/>
      <c r="CT77" s="21"/>
      <c r="CU77" s="21"/>
      <c r="CV77" s="21"/>
      <c r="CW77" s="21"/>
      <c r="CX77" s="21"/>
      <c r="CY77" s="21"/>
      <c r="CZ77" s="21"/>
      <c r="DA77" s="21"/>
      <c r="DB77" s="21"/>
      <c r="DC77" s="21"/>
      <c r="DD77" s="21"/>
      <c r="DE77" s="21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1"/>
      <c r="DQ77" s="21"/>
      <c r="DR77" s="21"/>
      <c r="DS77" s="21"/>
      <c r="DT77" s="21"/>
      <c r="DU77" s="21"/>
      <c r="DV77" s="21"/>
      <c r="DW77" s="21"/>
      <c r="DX77" s="21"/>
      <c r="DY77" s="21"/>
      <c r="DZ77" s="21"/>
      <c r="EA77" s="21"/>
      <c r="EB77" s="21"/>
      <c r="EC77" s="21"/>
      <c r="ED77" s="21"/>
      <c r="EE77" s="21"/>
      <c r="EF77" s="21"/>
      <c r="EG77" s="21"/>
      <c r="EH77" s="21"/>
      <c r="EI77" s="21"/>
      <c r="EJ77" s="21"/>
      <c r="EK77" s="21"/>
      <c r="EL77" s="21"/>
      <c r="EM77" s="21"/>
      <c r="EN77" s="21"/>
      <c r="EO77" s="21"/>
      <c r="EP77" s="21"/>
      <c r="EQ77" s="21"/>
      <c r="ER77" s="21"/>
      <c r="ES77" s="21"/>
      <c r="ET77" s="21"/>
      <c r="EU77" s="21"/>
      <c r="EV77" s="21"/>
      <c r="EW77" s="21"/>
      <c r="EX77" s="21"/>
      <c r="EY77" s="21"/>
    </row>
    <row r="78" spans="1:155" s="11" customFormat="1" x14ac:dyDescent="0.3">
      <c r="A78" s="21"/>
      <c r="B78" s="22" t="s">
        <v>990</v>
      </c>
      <c r="C78" s="22" t="s">
        <v>19</v>
      </c>
      <c r="D78" s="22" t="s">
        <v>839</v>
      </c>
      <c r="E78" s="30">
        <v>0.26500000000000001</v>
      </c>
      <c r="F78" s="22" t="s">
        <v>9</v>
      </c>
      <c r="G78" s="21"/>
      <c r="H78" s="21"/>
      <c r="I78" s="21" t="s">
        <v>28</v>
      </c>
      <c r="J78" s="21" t="s">
        <v>9</v>
      </c>
      <c r="K78" s="22" t="s">
        <v>839</v>
      </c>
      <c r="L78" s="22" t="s">
        <v>987</v>
      </c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1"/>
      <c r="BI78" s="21"/>
      <c r="BJ78" s="21"/>
      <c r="BK78" s="21"/>
      <c r="BL78" s="21"/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1"/>
      <c r="CC78" s="21"/>
      <c r="CD78" s="21"/>
      <c r="CE78" s="21"/>
      <c r="CF78" s="21"/>
      <c r="CG78" s="21"/>
      <c r="CH78" s="21"/>
      <c r="CI78" s="21"/>
      <c r="CJ78" s="21"/>
      <c r="CK78" s="21"/>
      <c r="CL78" s="21"/>
      <c r="CM78" s="21"/>
      <c r="CN78" s="21"/>
      <c r="CO78" s="21"/>
      <c r="CP78" s="21"/>
      <c r="CQ78" s="21"/>
      <c r="CR78" s="21"/>
      <c r="CS78" s="21"/>
      <c r="CT78" s="21"/>
      <c r="CU78" s="21"/>
      <c r="CV78" s="21"/>
      <c r="CW78" s="21"/>
      <c r="CX78" s="21"/>
      <c r="CY78" s="21"/>
      <c r="CZ78" s="21"/>
      <c r="DA78" s="21"/>
      <c r="DB78" s="21"/>
      <c r="DC78" s="21"/>
      <c r="DD78" s="21"/>
      <c r="DE78" s="21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1"/>
      <c r="DQ78" s="21"/>
      <c r="DR78" s="21"/>
      <c r="DS78" s="21"/>
      <c r="DT78" s="21"/>
      <c r="DU78" s="21"/>
      <c r="DV78" s="21"/>
      <c r="DW78" s="21"/>
      <c r="DX78" s="21"/>
      <c r="DY78" s="21"/>
      <c r="DZ78" s="21"/>
      <c r="EA78" s="21"/>
      <c r="EB78" s="21"/>
      <c r="EC78" s="21"/>
      <c r="ED78" s="21"/>
      <c r="EE78" s="21"/>
      <c r="EF78" s="21"/>
      <c r="EG78" s="21"/>
      <c r="EH78" s="21"/>
      <c r="EI78" s="21"/>
      <c r="EJ78" s="21"/>
      <c r="EK78" s="21"/>
      <c r="EL78" s="21"/>
      <c r="EM78" s="21"/>
      <c r="EN78" s="21"/>
      <c r="EO78" s="21"/>
      <c r="EP78" s="21"/>
      <c r="EQ78" s="21"/>
      <c r="ER78" s="21"/>
      <c r="ES78" s="21"/>
      <c r="ET78" s="21"/>
      <c r="EU78" s="21"/>
      <c r="EV78" s="21"/>
      <c r="EW78" s="21"/>
      <c r="EX78" s="21"/>
      <c r="EY78" s="21"/>
    </row>
    <row r="79" spans="1:155" s="11" customFormat="1" x14ac:dyDescent="0.3">
      <c r="A79" s="21"/>
      <c r="B79" s="22" t="s">
        <v>990</v>
      </c>
      <c r="C79" s="22" t="s">
        <v>235</v>
      </c>
      <c r="D79" s="17" t="s">
        <v>277</v>
      </c>
      <c r="E79" s="18">
        <v>0</v>
      </c>
      <c r="F79" s="17" t="s">
        <v>9</v>
      </c>
      <c r="G79" s="19"/>
      <c r="H79" s="19"/>
      <c r="I79" s="21" t="s">
        <v>28</v>
      </c>
      <c r="J79" s="21" t="s">
        <v>9</v>
      </c>
      <c r="K79" s="22" t="s">
        <v>277</v>
      </c>
      <c r="L79" s="22" t="s">
        <v>987</v>
      </c>
      <c r="M79" s="21" t="s">
        <v>236</v>
      </c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1"/>
      <c r="CC79" s="21"/>
      <c r="CD79" s="21"/>
      <c r="CE79" s="21"/>
      <c r="CF79" s="21"/>
      <c r="CG79" s="21"/>
      <c r="CH79" s="21"/>
      <c r="CI79" s="21"/>
      <c r="CJ79" s="21"/>
      <c r="CK79" s="21"/>
      <c r="CL79" s="21"/>
      <c r="CM79" s="21"/>
      <c r="CN79" s="21"/>
      <c r="CO79" s="21"/>
      <c r="CP79" s="21"/>
      <c r="CQ79" s="21"/>
      <c r="CR79" s="21"/>
      <c r="CS79" s="21"/>
      <c r="CT79" s="21"/>
      <c r="CU79" s="21"/>
      <c r="CV79" s="21"/>
      <c r="CW79" s="21"/>
      <c r="CX79" s="21"/>
      <c r="CY79" s="21"/>
      <c r="CZ79" s="21"/>
      <c r="DA79" s="21"/>
      <c r="DB79" s="21"/>
      <c r="DC79" s="21"/>
      <c r="DD79" s="21"/>
      <c r="DE79" s="21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1"/>
      <c r="DQ79" s="21"/>
      <c r="DR79" s="21"/>
      <c r="DS79" s="21"/>
      <c r="DT79" s="21"/>
      <c r="DU79" s="21"/>
      <c r="DV79" s="21"/>
      <c r="DW79" s="21"/>
      <c r="DX79" s="21"/>
      <c r="DY79" s="21"/>
      <c r="DZ79" s="21"/>
      <c r="EA79" s="21"/>
      <c r="EB79" s="21"/>
      <c r="EC79" s="21"/>
      <c r="ED79" s="21"/>
      <c r="EE79" s="21"/>
      <c r="EF79" s="21"/>
      <c r="EG79" s="21"/>
      <c r="EH79" s="21"/>
      <c r="EI79" s="21"/>
      <c r="EJ79" s="21"/>
      <c r="EK79" s="21"/>
      <c r="EL79" s="21"/>
      <c r="EM79" s="21"/>
      <c r="EN79" s="21"/>
      <c r="EO79" s="21"/>
      <c r="EP79" s="21"/>
      <c r="EQ79" s="21"/>
      <c r="ER79" s="21"/>
      <c r="ES79" s="21"/>
      <c r="ET79" s="21"/>
      <c r="EU79" s="21"/>
      <c r="EV79" s="21"/>
      <c r="EW79" s="21"/>
      <c r="EX79" s="21"/>
      <c r="EY79" s="21"/>
    </row>
    <row r="80" spans="1:155" s="11" customFormat="1" x14ac:dyDescent="0.3">
      <c r="A80" s="21"/>
      <c r="B80" s="22" t="s">
        <v>990</v>
      </c>
      <c r="C80" s="22" t="s">
        <v>235</v>
      </c>
      <c r="D80" s="17" t="s">
        <v>487</v>
      </c>
      <c r="E80" s="18">
        <f>(1-E73)</f>
        <v>0.96399999999999997</v>
      </c>
      <c r="F80" s="17" t="s">
        <v>9</v>
      </c>
      <c r="G80" s="19"/>
      <c r="H80" s="19"/>
      <c r="I80" s="21" t="s">
        <v>28</v>
      </c>
      <c r="J80" s="21" t="s">
        <v>9</v>
      </c>
      <c r="K80" s="22" t="s">
        <v>487</v>
      </c>
      <c r="L80" s="22" t="s">
        <v>987</v>
      </c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1"/>
      <c r="CC80" s="21"/>
      <c r="CD80" s="21"/>
      <c r="CE80" s="21"/>
      <c r="CF80" s="21"/>
      <c r="CG80" s="21"/>
      <c r="CH80" s="21"/>
      <c r="CI80" s="21"/>
      <c r="CJ80" s="21"/>
      <c r="CK80" s="21"/>
      <c r="CL80" s="21"/>
      <c r="CM80" s="21"/>
      <c r="CN80" s="21"/>
      <c r="CO80" s="21"/>
      <c r="CP80" s="21"/>
      <c r="CQ80" s="21"/>
      <c r="CR80" s="21"/>
      <c r="CS80" s="21"/>
      <c r="CT80" s="21"/>
      <c r="CU80" s="21"/>
      <c r="CV80" s="21"/>
      <c r="CW80" s="21"/>
      <c r="CX80" s="21"/>
      <c r="CY80" s="21"/>
      <c r="CZ80" s="21"/>
      <c r="DA80" s="21"/>
      <c r="DB80" s="21"/>
      <c r="DC80" s="21"/>
      <c r="DD80" s="21"/>
      <c r="DE80" s="21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1"/>
      <c r="DQ80" s="21"/>
      <c r="DR80" s="21"/>
      <c r="DS80" s="21"/>
      <c r="DT80" s="21"/>
      <c r="DU80" s="21"/>
      <c r="DV80" s="21"/>
      <c r="DW80" s="21"/>
      <c r="DX80" s="21"/>
      <c r="DY80" s="21"/>
      <c r="DZ80" s="21"/>
      <c r="EA80" s="21"/>
      <c r="EB80" s="21"/>
      <c r="EC80" s="21"/>
      <c r="ED80" s="21"/>
      <c r="EE80" s="21"/>
      <c r="EF80" s="21"/>
      <c r="EG80" s="21"/>
      <c r="EH80" s="21"/>
      <c r="EI80" s="21"/>
      <c r="EJ80" s="21"/>
      <c r="EK80" s="21"/>
      <c r="EL80" s="21"/>
      <c r="EM80" s="21"/>
      <c r="EN80" s="21"/>
      <c r="EO80" s="21"/>
      <c r="EP80" s="21"/>
      <c r="EQ80" s="21"/>
      <c r="ER80" s="21"/>
      <c r="ES80" s="21"/>
      <c r="ET80" s="21"/>
      <c r="EU80" s="21"/>
      <c r="EV80" s="21"/>
      <c r="EW80" s="21"/>
      <c r="EX80" s="21"/>
      <c r="EY80" s="21"/>
    </row>
    <row r="81" spans="1:155" s="11" customFormat="1" x14ac:dyDescent="0.3">
      <c r="A81" s="21"/>
      <c r="B81" s="22" t="s">
        <v>990</v>
      </c>
      <c r="C81" s="22" t="s">
        <v>235</v>
      </c>
      <c r="D81" s="17" t="s">
        <v>488</v>
      </c>
      <c r="E81" s="18">
        <f>(1-E74)</f>
        <v>0.86699999999999999</v>
      </c>
      <c r="F81" s="17" t="s">
        <v>9</v>
      </c>
      <c r="G81" s="19"/>
      <c r="H81" s="19"/>
      <c r="I81" s="21" t="s">
        <v>28</v>
      </c>
      <c r="J81" s="21" t="s">
        <v>9</v>
      </c>
      <c r="K81" s="22" t="s">
        <v>488</v>
      </c>
      <c r="L81" s="22" t="s">
        <v>987</v>
      </c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1"/>
      <c r="CC81" s="21"/>
      <c r="CD81" s="21"/>
      <c r="CE81" s="21"/>
      <c r="CF81" s="21"/>
      <c r="CG81" s="21"/>
      <c r="CH81" s="21"/>
      <c r="CI81" s="21"/>
      <c r="CJ81" s="21"/>
      <c r="CK81" s="21"/>
      <c r="CL81" s="21"/>
      <c r="CM81" s="21"/>
      <c r="CN81" s="21"/>
      <c r="CO81" s="21"/>
      <c r="CP81" s="21"/>
      <c r="CQ81" s="21"/>
      <c r="CR81" s="21"/>
      <c r="CS81" s="21"/>
      <c r="CT81" s="21"/>
      <c r="CU81" s="21"/>
      <c r="CV81" s="21"/>
      <c r="CW81" s="21"/>
      <c r="CX81" s="21"/>
      <c r="CY81" s="21"/>
      <c r="CZ81" s="21"/>
      <c r="DA81" s="21"/>
      <c r="DB81" s="21"/>
      <c r="DC81" s="21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1"/>
      <c r="DQ81" s="21"/>
      <c r="DR81" s="21"/>
      <c r="DS81" s="21"/>
      <c r="DT81" s="21"/>
      <c r="DU81" s="21"/>
      <c r="DV81" s="21"/>
      <c r="DW81" s="21"/>
      <c r="DX81" s="21"/>
      <c r="DY81" s="21"/>
      <c r="DZ81" s="21"/>
      <c r="EA81" s="21"/>
      <c r="EB81" s="21"/>
      <c r="EC81" s="21"/>
      <c r="ED81" s="21"/>
      <c r="EE81" s="21"/>
      <c r="EF81" s="21"/>
      <c r="EG81" s="21"/>
      <c r="EH81" s="21"/>
      <c r="EI81" s="21"/>
      <c r="EJ81" s="21"/>
      <c r="EK81" s="21"/>
      <c r="EL81" s="21"/>
      <c r="EM81" s="21"/>
      <c r="EN81" s="21"/>
      <c r="EO81" s="21"/>
      <c r="EP81" s="21"/>
      <c r="EQ81" s="21"/>
      <c r="ER81" s="21"/>
      <c r="ES81" s="21"/>
      <c r="ET81" s="21"/>
      <c r="EU81" s="21"/>
      <c r="EV81" s="21"/>
      <c r="EW81" s="21"/>
      <c r="EX81" s="21"/>
      <c r="EY81" s="21"/>
    </row>
    <row r="82" spans="1:155" s="11" customFormat="1" x14ac:dyDescent="0.3">
      <c r="A82" s="21"/>
      <c r="B82" s="22" t="s">
        <v>990</v>
      </c>
      <c r="C82" s="22" t="s">
        <v>235</v>
      </c>
      <c r="D82" s="17" t="s">
        <v>489</v>
      </c>
      <c r="E82" s="18">
        <f>(1-E75)</f>
        <v>0.872</v>
      </c>
      <c r="F82" s="17" t="s">
        <v>9</v>
      </c>
      <c r="G82" s="19"/>
      <c r="H82" s="19"/>
      <c r="I82" s="21" t="s">
        <v>28</v>
      </c>
      <c r="J82" s="21" t="s">
        <v>9</v>
      </c>
      <c r="K82" s="22" t="s">
        <v>489</v>
      </c>
      <c r="L82" s="22" t="s">
        <v>987</v>
      </c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1"/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1"/>
      <c r="CC82" s="21"/>
      <c r="CD82" s="21"/>
      <c r="CE82" s="21"/>
      <c r="CF82" s="21"/>
      <c r="CG82" s="21"/>
      <c r="CH82" s="21"/>
      <c r="CI82" s="21"/>
      <c r="CJ82" s="21"/>
      <c r="CK82" s="21"/>
      <c r="CL82" s="21"/>
      <c r="CM82" s="21"/>
      <c r="CN82" s="21"/>
      <c r="CO82" s="21"/>
      <c r="CP82" s="21"/>
      <c r="CQ82" s="21"/>
      <c r="CR82" s="21"/>
      <c r="CS82" s="21"/>
      <c r="CT82" s="21"/>
      <c r="CU82" s="21"/>
      <c r="CV82" s="21"/>
      <c r="CW82" s="21"/>
      <c r="CX82" s="21"/>
      <c r="CY82" s="21"/>
      <c r="CZ82" s="21"/>
      <c r="DA82" s="21"/>
      <c r="DB82" s="21"/>
      <c r="DC82" s="21"/>
      <c r="DD82" s="21"/>
      <c r="DE82" s="21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1"/>
      <c r="DQ82" s="21"/>
      <c r="DR82" s="21"/>
      <c r="DS82" s="21"/>
      <c r="DT82" s="21"/>
      <c r="DU82" s="21"/>
      <c r="DV82" s="21"/>
      <c r="DW82" s="21"/>
      <c r="DX82" s="21"/>
      <c r="DY82" s="21"/>
      <c r="DZ82" s="21"/>
      <c r="EA82" s="21"/>
      <c r="EB82" s="21"/>
      <c r="EC82" s="21"/>
      <c r="ED82" s="21"/>
      <c r="EE82" s="21"/>
      <c r="EF82" s="21"/>
      <c r="EG82" s="21"/>
      <c r="EH82" s="21"/>
      <c r="EI82" s="21"/>
      <c r="EJ82" s="21"/>
      <c r="EK82" s="21"/>
      <c r="EL82" s="21"/>
      <c r="EM82" s="21"/>
      <c r="EN82" s="21"/>
      <c r="EO82" s="21"/>
      <c r="EP82" s="21"/>
      <c r="EQ82" s="21"/>
      <c r="ER82" s="21"/>
      <c r="ES82" s="21"/>
      <c r="ET82" s="21"/>
      <c r="EU82" s="21"/>
      <c r="EV82" s="21"/>
      <c r="EW82" s="21"/>
      <c r="EX82" s="21"/>
      <c r="EY82" s="21"/>
    </row>
    <row r="83" spans="1:155" s="11" customFormat="1" x14ac:dyDescent="0.3">
      <c r="A83" s="21"/>
      <c r="B83" s="22" t="s">
        <v>990</v>
      </c>
      <c r="C83" s="22" t="s">
        <v>235</v>
      </c>
      <c r="D83" s="17" t="s">
        <v>490</v>
      </c>
      <c r="E83" s="18">
        <f>(1-E76)</f>
        <v>0.75900000000000001</v>
      </c>
      <c r="F83" s="17" t="s">
        <v>9</v>
      </c>
      <c r="G83" s="19"/>
      <c r="H83" s="19"/>
      <c r="I83" s="21" t="s">
        <v>28</v>
      </c>
      <c r="J83" s="21" t="s">
        <v>9</v>
      </c>
      <c r="K83" s="22" t="s">
        <v>490</v>
      </c>
      <c r="L83" s="22" t="s">
        <v>987</v>
      </c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1"/>
      <c r="CC83" s="21"/>
      <c r="CD83" s="21"/>
      <c r="CE83" s="21"/>
      <c r="CF83" s="21"/>
      <c r="CG83" s="21"/>
      <c r="CH83" s="21"/>
      <c r="CI83" s="21"/>
      <c r="CJ83" s="21"/>
      <c r="CK83" s="21"/>
      <c r="CL83" s="21"/>
      <c r="CM83" s="21"/>
      <c r="CN83" s="21"/>
      <c r="CO83" s="21"/>
      <c r="CP83" s="21"/>
      <c r="CQ83" s="21"/>
      <c r="CR83" s="21"/>
      <c r="CS83" s="21"/>
      <c r="CT83" s="21"/>
      <c r="CU83" s="21"/>
      <c r="CV83" s="21"/>
      <c r="CW83" s="21"/>
      <c r="CX83" s="21"/>
      <c r="CY83" s="21"/>
      <c r="CZ83" s="21"/>
      <c r="DA83" s="21"/>
      <c r="DB83" s="21"/>
      <c r="DC83" s="21"/>
      <c r="DD83" s="21"/>
      <c r="DE83" s="21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1"/>
      <c r="DQ83" s="21"/>
      <c r="DR83" s="21"/>
      <c r="DS83" s="21"/>
      <c r="DT83" s="21"/>
      <c r="DU83" s="21"/>
      <c r="DV83" s="21"/>
      <c r="DW83" s="21"/>
      <c r="DX83" s="21"/>
      <c r="DY83" s="21"/>
      <c r="DZ83" s="21"/>
      <c r="EA83" s="21"/>
      <c r="EB83" s="21"/>
      <c r="EC83" s="21"/>
      <c r="ED83" s="21"/>
      <c r="EE83" s="21"/>
      <c r="EF83" s="21"/>
      <c r="EG83" s="21"/>
      <c r="EH83" s="21"/>
      <c r="EI83" s="21"/>
      <c r="EJ83" s="21"/>
      <c r="EK83" s="21"/>
      <c r="EL83" s="21"/>
      <c r="EM83" s="21"/>
      <c r="EN83" s="21"/>
      <c r="EO83" s="21"/>
      <c r="EP83" s="21"/>
      <c r="EQ83" s="21"/>
      <c r="ER83" s="21"/>
      <c r="ES83" s="21"/>
      <c r="ET83" s="21"/>
      <c r="EU83" s="21"/>
      <c r="EV83" s="21"/>
      <c r="EW83" s="21"/>
      <c r="EX83" s="21"/>
      <c r="EY83" s="21"/>
    </row>
    <row r="84" spans="1:155" s="11" customFormat="1" x14ac:dyDescent="0.3">
      <c r="A84" s="21"/>
      <c r="B84" s="22" t="s">
        <v>990</v>
      </c>
      <c r="C84" s="22" t="s">
        <v>235</v>
      </c>
      <c r="D84" s="17" t="s">
        <v>491</v>
      </c>
      <c r="E84" s="18">
        <f t="shared" ref="E84:E85" si="0">(1-E77)</f>
        <v>0.95499999999999996</v>
      </c>
      <c r="F84" s="17" t="s">
        <v>9</v>
      </c>
      <c r="G84" s="19"/>
      <c r="H84" s="19"/>
      <c r="I84" s="21" t="s">
        <v>28</v>
      </c>
      <c r="J84" s="21" t="s">
        <v>9</v>
      </c>
      <c r="K84" s="22" t="s">
        <v>491</v>
      </c>
      <c r="L84" s="22" t="s">
        <v>987</v>
      </c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1"/>
      <c r="CC84" s="21"/>
      <c r="CD84" s="21"/>
      <c r="CE84" s="21"/>
      <c r="CF84" s="21"/>
      <c r="CG84" s="21"/>
      <c r="CH84" s="21"/>
      <c r="CI84" s="21"/>
      <c r="CJ84" s="21"/>
      <c r="CK84" s="21"/>
      <c r="CL84" s="21"/>
      <c r="CM84" s="21"/>
      <c r="CN84" s="21"/>
      <c r="CO84" s="21"/>
      <c r="CP84" s="21"/>
      <c r="CQ84" s="21"/>
      <c r="CR84" s="21"/>
      <c r="CS84" s="21"/>
      <c r="CT84" s="21"/>
      <c r="CU84" s="21"/>
      <c r="CV84" s="21"/>
      <c r="CW84" s="21"/>
      <c r="CX84" s="21"/>
      <c r="CY84" s="21"/>
      <c r="CZ84" s="21"/>
      <c r="DA84" s="21"/>
      <c r="DB84" s="21"/>
      <c r="DC84" s="21"/>
      <c r="DD84" s="21"/>
      <c r="DE84" s="21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1"/>
      <c r="DQ84" s="21"/>
      <c r="DR84" s="21"/>
      <c r="DS84" s="21"/>
      <c r="DT84" s="21"/>
      <c r="DU84" s="21"/>
      <c r="DV84" s="21"/>
      <c r="DW84" s="21"/>
      <c r="DX84" s="21"/>
      <c r="DY84" s="21"/>
      <c r="DZ84" s="21"/>
      <c r="EA84" s="21"/>
      <c r="EB84" s="21"/>
      <c r="EC84" s="21"/>
      <c r="ED84" s="21"/>
      <c r="EE84" s="21"/>
      <c r="EF84" s="21"/>
      <c r="EG84" s="21"/>
      <c r="EH84" s="21"/>
      <c r="EI84" s="21"/>
      <c r="EJ84" s="21"/>
      <c r="EK84" s="21"/>
      <c r="EL84" s="21"/>
      <c r="EM84" s="21"/>
      <c r="EN84" s="21"/>
      <c r="EO84" s="21"/>
      <c r="EP84" s="21"/>
      <c r="EQ84" s="21"/>
      <c r="ER84" s="21"/>
      <c r="ES84" s="21"/>
      <c r="ET84" s="21"/>
      <c r="EU84" s="21"/>
      <c r="EV84" s="21"/>
      <c r="EW84" s="21"/>
      <c r="EX84" s="21"/>
      <c r="EY84" s="21"/>
    </row>
    <row r="85" spans="1:155" s="11" customFormat="1" x14ac:dyDescent="0.3">
      <c r="A85" s="21"/>
      <c r="B85" s="22" t="s">
        <v>990</v>
      </c>
      <c r="C85" s="22" t="s">
        <v>235</v>
      </c>
      <c r="D85" s="17" t="s">
        <v>492</v>
      </c>
      <c r="E85" s="18">
        <f t="shared" si="0"/>
        <v>0.73499999999999999</v>
      </c>
      <c r="F85" s="17" t="s">
        <v>9</v>
      </c>
      <c r="G85" s="19"/>
      <c r="H85" s="19"/>
      <c r="I85" s="21" t="s">
        <v>28</v>
      </c>
      <c r="J85" s="21" t="s">
        <v>9</v>
      </c>
      <c r="K85" s="22" t="s">
        <v>492</v>
      </c>
      <c r="L85" s="22" t="s">
        <v>987</v>
      </c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  <c r="CA85" s="21"/>
      <c r="CB85" s="21"/>
      <c r="CC85" s="21"/>
      <c r="CD85" s="21"/>
      <c r="CE85" s="21"/>
      <c r="CF85" s="21"/>
      <c r="CG85" s="21"/>
      <c r="CH85" s="21"/>
      <c r="CI85" s="21"/>
      <c r="CJ85" s="21"/>
      <c r="CK85" s="21"/>
      <c r="CL85" s="21"/>
      <c r="CM85" s="21"/>
      <c r="CN85" s="21"/>
      <c r="CO85" s="21"/>
      <c r="CP85" s="21"/>
      <c r="CQ85" s="21"/>
      <c r="CR85" s="21"/>
      <c r="CS85" s="21"/>
      <c r="CT85" s="21"/>
      <c r="CU85" s="21"/>
      <c r="CV85" s="21"/>
      <c r="CW85" s="21"/>
      <c r="CX85" s="21"/>
      <c r="CY85" s="21"/>
      <c r="CZ85" s="21"/>
      <c r="DA85" s="21"/>
      <c r="DB85" s="21"/>
      <c r="DC85" s="21"/>
      <c r="DD85" s="21"/>
      <c r="DE85" s="21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1"/>
      <c r="DQ85" s="21"/>
      <c r="DR85" s="21"/>
      <c r="DS85" s="21"/>
      <c r="DT85" s="21"/>
      <c r="DU85" s="21"/>
      <c r="DV85" s="21"/>
      <c r="DW85" s="21"/>
      <c r="DX85" s="21"/>
      <c r="DY85" s="21"/>
      <c r="DZ85" s="21"/>
      <c r="EA85" s="21"/>
      <c r="EB85" s="21"/>
      <c r="EC85" s="21"/>
      <c r="ED85" s="21"/>
      <c r="EE85" s="21"/>
      <c r="EF85" s="21"/>
      <c r="EG85" s="21"/>
      <c r="EH85" s="21"/>
      <c r="EI85" s="21"/>
      <c r="EJ85" s="21"/>
      <c r="EK85" s="21"/>
      <c r="EL85" s="21"/>
      <c r="EM85" s="21"/>
      <c r="EN85" s="21"/>
      <c r="EO85" s="21"/>
      <c r="EP85" s="21"/>
      <c r="EQ85" s="21"/>
      <c r="ER85" s="21"/>
      <c r="ES85" s="21"/>
      <c r="ET85" s="21"/>
      <c r="EU85" s="21"/>
      <c r="EV85" s="21"/>
      <c r="EW85" s="21"/>
      <c r="EX85" s="21"/>
      <c r="EY85" s="21"/>
    </row>
    <row r="86" spans="1:155" s="11" customFormat="1" x14ac:dyDescent="0.3">
      <c r="A86" s="21"/>
      <c r="B86" s="22" t="s">
        <v>990</v>
      </c>
      <c r="C86" s="22" t="s">
        <v>149</v>
      </c>
      <c r="D86" s="22" t="s">
        <v>106</v>
      </c>
      <c r="E86" s="32">
        <v>4500</v>
      </c>
      <c r="F86" s="21" t="s">
        <v>9</v>
      </c>
      <c r="G86" s="21">
        <v>0</v>
      </c>
      <c r="H86" s="21">
        <v>100000</v>
      </c>
      <c r="I86" s="21" t="s">
        <v>1043</v>
      </c>
      <c r="J86" s="21" t="s">
        <v>9</v>
      </c>
      <c r="K86" s="22" t="s">
        <v>106</v>
      </c>
      <c r="L86" s="22" t="s">
        <v>987</v>
      </c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  <c r="BQ86" s="21"/>
      <c r="BR86" s="21"/>
      <c r="BS86" s="21"/>
      <c r="BT86" s="21"/>
      <c r="BU86" s="21"/>
      <c r="BV86" s="21"/>
      <c r="BW86" s="21"/>
      <c r="BX86" s="21"/>
      <c r="BY86" s="21"/>
      <c r="BZ86" s="21"/>
      <c r="CA86" s="21"/>
      <c r="CB86" s="21"/>
      <c r="CC86" s="21"/>
      <c r="CD86" s="21"/>
      <c r="CE86" s="21"/>
      <c r="CF86" s="21"/>
      <c r="CG86" s="21"/>
      <c r="CH86" s="21"/>
      <c r="CI86" s="21"/>
      <c r="CJ86" s="21"/>
      <c r="CK86" s="21"/>
      <c r="CL86" s="21"/>
      <c r="CM86" s="21"/>
      <c r="CN86" s="21"/>
      <c r="CO86" s="21"/>
      <c r="CP86" s="21"/>
      <c r="CQ86" s="21"/>
      <c r="CR86" s="21"/>
      <c r="CS86" s="21"/>
      <c r="CT86" s="21"/>
      <c r="CU86" s="21"/>
      <c r="CV86" s="21"/>
      <c r="CW86" s="21"/>
      <c r="CX86" s="21"/>
      <c r="CY86" s="21"/>
      <c r="CZ86" s="21"/>
      <c r="DA86" s="21"/>
      <c r="DB86" s="21"/>
      <c r="DC86" s="21"/>
      <c r="DD86" s="21"/>
      <c r="DE86" s="21"/>
      <c r="DF86" s="21"/>
      <c r="DG86" s="21"/>
      <c r="DH86" s="21"/>
      <c r="DI86" s="21"/>
      <c r="DJ86" s="21"/>
      <c r="DK86" s="21"/>
      <c r="DL86" s="21"/>
      <c r="DM86" s="21"/>
      <c r="DN86" s="21"/>
      <c r="DO86" s="21"/>
      <c r="DP86" s="21"/>
      <c r="DQ86" s="21"/>
      <c r="DR86" s="21"/>
      <c r="DS86" s="21"/>
      <c r="DT86" s="21"/>
      <c r="DU86" s="21"/>
      <c r="DV86" s="21"/>
      <c r="DW86" s="21"/>
      <c r="DX86" s="21"/>
      <c r="DY86" s="21"/>
      <c r="DZ86" s="21"/>
      <c r="EA86" s="21"/>
      <c r="EB86" s="21"/>
      <c r="EC86" s="21"/>
      <c r="ED86" s="21"/>
      <c r="EE86" s="21"/>
      <c r="EF86" s="21"/>
      <c r="EG86" s="21"/>
      <c r="EH86" s="21"/>
      <c r="EI86" s="21"/>
      <c r="EJ86" s="21"/>
      <c r="EK86" s="21"/>
      <c r="EL86" s="21"/>
      <c r="EM86" s="21"/>
      <c r="EN86" s="21"/>
      <c r="EO86" s="21"/>
      <c r="EP86" s="21"/>
      <c r="EQ86" s="21"/>
      <c r="ER86" s="21"/>
      <c r="ES86" s="21"/>
      <c r="ET86" s="21"/>
      <c r="EU86" s="21"/>
      <c r="EV86" s="21"/>
      <c r="EW86" s="21"/>
      <c r="EX86" s="21"/>
      <c r="EY86" s="21"/>
    </row>
    <row r="87" spans="1:155" s="11" customFormat="1" x14ac:dyDescent="0.3">
      <c r="A87" s="21"/>
      <c r="B87" s="22" t="s">
        <v>990</v>
      </c>
      <c r="C87" s="22" t="s">
        <v>250</v>
      </c>
      <c r="D87" s="22" t="s">
        <v>276</v>
      </c>
      <c r="E87" s="32">
        <v>0</v>
      </c>
      <c r="F87" s="22" t="s">
        <v>10</v>
      </c>
      <c r="G87" s="21">
        <v>0</v>
      </c>
      <c r="H87" s="21">
        <v>2000</v>
      </c>
      <c r="I87" s="21" t="s">
        <v>1043</v>
      </c>
      <c r="J87" s="21" t="s">
        <v>10</v>
      </c>
      <c r="K87" s="37" t="s">
        <v>1045</v>
      </c>
      <c r="L87" s="22" t="s">
        <v>987</v>
      </c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  <c r="BY87" s="21"/>
      <c r="BZ87" s="21"/>
      <c r="CA87" s="21"/>
      <c r="CB87" s="21"/>
      <c r="CC87" s="21"/>
      <c r="CD87" s="21"/>
      <c r="CE87" s="21"/>
      <c r="CF87" s="21"/>
      <c r="CG87" s="21"/>
      <c r="CH87" s="21"/>
      <c r="CI87" s="21"/>
      <c r="CJ87" s="21"/>
      <c r="CK87" s="21"/>
      <c r="CL87" s="21"/>
      <c r="CM87" s="21"/>
      <c r="CN87" s="21"/>
      <c r="CO87" s="21"/>
      <c r="CP87" s="21"/>
      <c r="CQ87" s="21"/>
      <c r="CR87" s="21"/>
      <c r="CS87" s="21"/>
      <c r="CT87" s="21"/>
      <c r="CU87" s="21"/>
      <c r="CV87" s="21"/>
      <c r="CW87" s="21"/>
      <c r="CX87" s="21"/>
      <c r="CY87" s="21"/>
      <c r="CZ87" s="21"/>
      <c r="DA87" s="21"/>
      <c r="DB87" s="21"/>
      <c r="DC87" s="21"/>
      <c r="DD87" s="21"/>
      <c r="DE87" s="21"/>
      <c r="DF87" s="21"/>
      <c r="DG87" s="21"/>
      <c r="DH87" s="21"/>
      <c r="DI87" s="21"/>
      <c r="DJ87" s="21"/>
      <c r="DK87" s="21"/>
      <c r="DL87" s="21"/>
      <c r="DM87" s="21"/>
      <c r="DN87" s="21"/>
      <c r="DO87" s="21"/>
      <c r="DP87" s="21"/>
      <c r="DQ87" s="21"/>
      <c r="DR87" s="21"/>
      <c r="DS87" s="21"/>
      <c r="DT87" s="21"/>
      <c r="DU87" s="21"/>
      <c r="DV87" s="21"/>
      <c r="DW87" s="21"/>
      <c r="DX87" s="21"/>
      <c r="DY87" s="21"/>
      <c r="DZ87" s="21"/>
      <c r="EA87" s="21"/>
      <c r="EB87" s="21"/>
      <c r="EC87" s="21"/>
      <c r="ED87" s="21"/>
      <c r="EE87" s="21"/>
      <c r="EF87" s="21"/>
      <c r="EG87" s="21"/>
      <c r="EH87" s="21"/>
      <c r="EI87" s="21"/>
      <c r="EJ87" s="21"/>
      <c r="EK87" s="21"/>
      <c r="EL87" s="21"/>
      <c r="EM87" s="21"/>
      <c r="EN87" s="21"/>
      <c r="EO87" s="21"/>
      <c r="EP87" s="21"/>
      <c r="EQ87" s="21"/>
      <c r="ER87" s="21"/>
      <c r="ES87" s="21"/>
      <c r="ET87" s="21"/>
      <c r="EU87" s="21"/>
      <c r="EV87" s="21"/>
      <c r="EW87" s="21"/>
      <c r="EX87" s="21"/>
      <c r="EY87" s="21"/>
    </row>
    <row r="88" spans="1:155" s="11" customFormat="1" x14ac:dyDescent="0.3">
      <c r="A88" s="21"/>
      <c r="B88" s="22" t="s">
        <v>990</v>
      </c>
      <c r="C88" s="22" t="s">
        <v>250</v>
      </c>
      <c r="D88" s="22" t="s">
        <v>1016</v>
      </c>
      <c r="E88" s="31">
        <v>900</v>
      </c>
      <c r="F88" s="22" t="s">
        <v>10</v>
      </c>
      <c r="G88" s="21">
        <v>0</v>
      </c>
      <c r="H88" s="21">
        <v>2000</v>
      </c>
      <c r="I88" s="21" t="s">
        <v>1043</v>
      </c>
      <c r="J88" s="21" t="s">
        <v>10</v>
      </c>
      <c r="K88" s="22" t="s">
        <v>1044</v>
      </c>
      <c r="L88" s="22" t="s">
        <v>987</v>
      </c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  <c r="BY88" s="21"/>
      <c r="BZ88" s="21"/>
      <c r="CA88" s="21"/>
      <c r="CB88" s="21"/>
      <c r="CC88" s="21"/>
      <c r="CD88" s="21"/>
      <c r="CE88" s="21"/>
      <c r="CF88" s="21"/>
      <c r="CG88" s="21"/>
      <c r="CH88" s="21"/>
      <c r="CI88" s="21"/>
      <c r="CJ88" s="21"/>
      <c r="CK88" s="21"/>
      <c r="CL88" s="21"/>
      <c r="CM88" s="21"/>
      <c r="CN88" s="21"/>
      <c r="CO88" s="21"/>
      <c r="CP88" s="21"/>
      <c r="CQ88" s="21"/>
      <c r="CR88" s="21"/>
      <c r="CS88" s="21"/>
      <c r="CT88" s="21"/>
      <c r="CU88" s="21"/>
      <c r="CV88" s="21"/>
      <c r="CW88" s="21"/>
      <c r="CX88" s="21"/>
      <c r="CY88" s="21"/>
      <c r="CZ88" s="21"/>
      <c r="DA88" s="21"/>
      <c r="DB88" s="21"/>
      <c r="DC88" s="21"/>
      <c r="DD88" s="21"/>
      <c r="DE88" s="21"/>
      <c r="DF88" s="21"/>
      <c r="DG88" s="21"/>
      <c r="DH88" s="21"/>
      <c r="DI88" s="21"/>
      <c r="DJ88" s="21"/>
      <c r="DK88" s="21"/>
      <c r="DL88" s="21"/>
      <c r="DM88" s="21"/>
      <c r="DN88" s="21"/>
      <c r="DO88" s="21"/>
      <c r="DP88" s="21"/>
      <c r="DQ88" s="21"/>
      <c r="DR88" s="21"/>
      <c r="DS88" s="21"/>
      <c r="DT88" s="21"/>
      <c r="DU88" s="21"/>
      <c r="DV88" s="21"/>
      <c r="DW88" s="21"/>
      <c r="DX88" s="21"/>
      <c r="DY88" s="21"/>
      <c r="DZ88" s="21"/>
      <c r="EA88" s="21"/>
      <c r="EB88" s="21"/>
      <c r="EC88" s="21"/>
      <c r="ED88" s="21"/>
      <c r="EE88" s="21"/>
      <c r="EF88" s="21"/>
      <c r="EG88" s="21"/>
      <c r="EH88" s="21"/>
      <c r="EI88" s="21"/>
      <c r="EJ88" s="21"/>
      <c r="EK88" s="21"/>
      <c r="EL88" s="21"/>
      <c r="EM88" s="21"/>
      <c r="EN88" s="21"/>
      <c r="EO88" s="21"/>
      <c r="EP88" s="21"/>
      <c r="EQ88" s="21"/>
      <c r="ER88" s="21"/>
      <c r="ES88" s="21"/>
      <c r="ET88" s="21"/>
      <c r="EU88" s="21"/>
      <c r="EV88" s="21"/>
      <c r="EW88" s="21"/>
      <c r="EX88" s="21"/>
      <c r="EY88" s="21"/>
    </row>
    <row r="89" spans="1:155" s="11" customFormat="1" x14ac:dyDescent="0.3">
      <c r="A89" s="21"/>
      <c r="B89" s="22" t="s">
        <v>990</v>
      </c>
      <c r="C89" s="21" t="s">
        <v>1053</v>
      </c>
      <c r="D89" s="22" t="s">
        <v>1009</v>
      </c>
      <c r="E89" s="32">
        <v>526</v>
      </c>
      <c r="F89" s="22" t="s">
        <v>10</v>
      </c>
      <c r="G89" s="21">
        <v>0</v>
      </c>
      <c r="H89" s="21">
        <v>10000</v>
      </c>
      <c r="I89" s="21" t="s">
        <v>1043</v>
      </c>
      <c r="J89" s="21" t="s">
        <v>10</v>
      </c>
      <c r="K89" s="22" t="s">
        <v>1019</v>
      </c>
      <c r="L89" s="22" t="s">
        <v>987</v>
      </c>
      <c r="M89" s="21" t="s">
        <v>486</v>
      </c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/>
      <c r="BP89" s="21"/>
      <c r="BQ89" s="21"/>
      <c r="BR89" s="21"/>
      <c r="BS89" s="21"/>
      <c r="BT89" s="21"/>
      <c r="BU89" s="21"/>
      <c r="BV89" s="21"/>
      <c r="BW89" s="21"/>
      <c r="BX89" s="21"/>
      <c r="BY89" s="21"/>
      <c r="BZ89" s="21"/>
      <c r="CA89" s="21"/>
      <c r="CB89" s="21"/>
      <c r="CC89" s="21"/>
      <c r="CD89" s="21"/>
      <c r="CE89" s="21"/>
      <c r="CF89" s="21"/>
      <c r="CG89" s="21"/>
      <c r="CH89" s="21"/>
      <c r="CI89" s="21"/>
      <c r="CJ89" s="21"/>
      <c r="CK89" s="21"/>
      <c r="CL89" s="21"/>
      <c r="CM89" s="21"/>
      <c r="CN89" s="21"/>
      <c r="CO89" s="21"/>
      <c r="CP89" s="21"/>
      <c r="CQ89" s="21"/>
      <c r="CR89" s="21"/>
      <c r="CS89" s="21"/>
      <c r="CT89" s="21"/>
      <c r="CU89" s="21"/>
      <c r="CV89" s="21"/>
      <c r="CW89" s="21"/>
      <c r="CX89" s="21"/>
      <c r="CY89" s="21"/>
      <c r="CZ89" s="21"/>
      <c r="DA89" s="21"/>
      <c r="DB89" s="21"/>
      <c r="DC89" s="21"/>
      <c r="DD89" s="21"/>
      <c r="DE89" s="21"/>
      <c r="DF89" s="21"/>
      <c r="DG89" s="21"/>
      <c r="DH89" s="21"/>
      <c r="DI89" s="21"/>
      <c r="DJ89" s="21"/>
      <c r="DK89" s="21"/>
      <c r="DL89" s="21"/>
      <c r="DM89" s="21"/>
      <c r="DN89" s="21"/>
      <c r="DO89" s="21"/>
      <c r="DP89" s="21"/>
      <c r="DQ89" s="21"/>
      <c r="DR89" s="21"/>
      <c r="DS89" s="21"/>
      <c r="DT89" s="21"/>
      <c r="DU89" s="21"/>
      <c r="DV89" s="21"/>
      <c r="DW89" s="21"/>
      <c r="DX89" s="21"/>
      <c r="DY89" s="21"/>
      <c r="DZ89" s="21"/>
      <c r="EA89" s="21"/>
      <c r="EB89" s="21"/>
      <c r="EC89" s="21"/>
      <c r="ED89" s="21"/>
      <c r="EE89" s="21"/>
      <c r="EF89" s="21"/>
      <c r="EG89" s="21"/>
      <c r="EH89" s="21"/>
      <c r="EI89" s="21"/>
      <c r="EJ89" s="21"/>
      <c r="EK89" s="21"/>
      <c r="EL89" s="21"/>
      <c r="EM89" s="21"/>
      <c r="EN89" s="21"/>
      <c r="EO89" s="21"/>
      <c r="EP89" s="21"/>
      <c r="EQ89" s="21"/>
      <c r="ER89" s="21"/>
      <c r="ES89" s="21"/>
      <c r="ET89" s="21"/>
      <c r="EU89" s="21"/>
      <c r="EV89" s="21"/>
      <c r="EW89" s="21"/>
      <c r="EX89" s="21"/>
      <c r="EY89" s="21"/>
    </row>
    <row r="90" spans="1:155" s="11" customFormat="1" x14ac:dyDescent="0.3">
      <c r="A90" s="21"/>
      <c r="B90" s="22" t="s">
        <v>990</v>
      </c>
      <c r="C90" s="21" t="s">
        <v>1053</v>
      </c>
      <c r="D90" s="22" t="s">
        <v>1010</v>
      </c>
      <c r="E90" s="32">
        <v>445</v>
      </c>
      <c r="F90" s="22" t="s">
        <v>10</v>
      </c>
      <c r="G90" s="21">
        <v>0</v>
      </c>
      <c r="H90" s="21">
        <v>10000</v>
      </c>
      <c r="I90" s="21" t="s">
        <v>1043</v>
      </c>
      <c r="J90" s="21" t="s">
        <v>10</v>
      </c>
      <c r="K90" s="22" t="s">
        <v>1020</v>
      </c>
      <c r="L90" s="22" t="s">
        <v>987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21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21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21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21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21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21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21"/>
      <c r="EF90" s="21"/>
      <c r="EG90" s="21"/>
      <c r="EH90" s="21"/>
      <c r="EI90" s="21"/>
      <c r="EJ90" s="21"/>
      <c r="EK90" s="21"/>
      <c r="EL90" s="21"/>
      <c r="EM90" s="21"/>
      <c r="EN90" s="21"/>
      <c r="EO90" s="21"/>
      <c r="EP90" s="21"/>
      <c r="EQ90" s="21"/>
      <c r="ER90" s="21"/>
      <c r="ES90" s="21"/>
      <c r="ET90" s="21"/>
      <c r="EU90" s="21"/>
      <c r="EV90" s="21"/>
      <c r="EW90" s="21"/>
      <c r="EX90" s="21"/>
      <c r="EY90" s="21"/>
    </row>
    <row r="91" spans="1:155" s="11" customFormat="1" x14ac:dyDescent="0.3">
      <c r="A91" s="21"/>
      <c r="B91" s="22" t="s">
        <v>990</v>
      </c>
      <c r="C91" s="21" t="s">
        <v>1053</v>
      </c>
      <c r="D91" s="21" t="s">
        <v>1011</v>
      </c>
      <c r="E91" s="32">
        <v>0</v>
      </c>
      <c r="F91" s="22" t="s">
        <v>10</v>
      </c>
      <c r="G91" s="21">
        <v>0</v>
      </c>
      <c r="H91" s="21">
        <v>10000</v>
      </c>
      <c r="I91" s="21" t="s">
        <v>1043</v>
      </c>
      <c r="J91" s="21" t="s">
        <v>10</v>
      </c>
      <c r="K91" s="22" t="s">
        <v>1022</v>
      </c>
      <c r="L91" s="22" t="s">
        <v>987</v>
      </c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  <c r="BS91" s="21"/>
      <c r="BT91" s="21"/>
      <c r="BU91" s="21"/>
      <c r="BV91" s="21"/>
      <c r="BW91" s="21"/>
      <c r="BX91" s="21"/>
      <c r="BY91" s="21"/>
      <c r="BZ91" s="21"/>
      <c r="CA91" s="21"/>
      <c r="CB91" s="21"/>
      <c r="CC91" s="21"/>
      <c r="CD91" s="21"/>
      <c r="CE91" s="21"/>
      <c r="CF91" s="21"/>
      <c r="CG91" s="21"/>
      <c r="CH91" s="21"/>
      <c r="CI91" s="21"/>
      <c r="CJ91" s="21"/>
      <c r="CK91" s="21"/>
      <c r="CL91" s="21"/>
      <c r="CM91" s="21"/>
      <c r="CN91" s="21"/>
      <c r="CO91" s="21"/>
      <c r="CP91" s="21"/>
      <c r="CQ91" s="21"/>
      <c r="CR91" s="21"/>
      <c r="CS91" s="21"/>
      <c r="CT91" s="21"/>
      <c r="CU91" s="21"/>
      <c r="CV91" s="21"/>
      <c r="CW91" s="21"/>
      <c r="CX91" s="21"/>
      <c r="CY91" s="21"/>
      <c r="CZ91" s="21"/>
      <c r="DA91" s="21"/>
      <c r="DB91" s="21"/>
      <c r="DC91" s="21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1"/>
      <c r="DQ91" s="21"/>
      <c r="DR91" s="21"/>
      <c r="DS91" s="21"/>
      <c r="DT91" s="21"/>
      <c r="DU91" s="21"/>
      <c r="DV91" s="21"/>
      <c r="DW91" s="21"/>
      <c r="DX91" s="21"/>
      <c r="DY91" s="21"/>
      <c r="DZ91" s="21"/>
      <c r="EA91" s="21"/>
      <c r="EB91" s="21"/>
      <c r="EC91" s="21"/>
      <c r="ED91" s="21"/>
      <c r="EE91" s="21"/>
      <c r="EF91" s="21"/>
      <c r="EG91" s="21"/>
      <c r="EH91" s="21"/>
      <c r="EI91" s="21"/>
      <c r="EJ91" s="21"/>
      <c r="EK91" s="21"/>
      <c r="EL91" s="21"/>
      <c r="EM91" s="21"/>
      <c r="EN91" s="21"/>
      <c r="EO91" s="21"/>
      <c r="EP91" s="21"/>
      <c r="EQ91" s="21"/>
      <c r="ER91" s="21"/>
      <c r="ES91" s="21"/>
      <c r="ET91" s="21"/>
      <c r="EU91" s="21"/>
      <c r="EV91" s="21"/>
      <c r="EW91" s="21"/>
      <c r="EX91" s="21"/>
      <c r="EY91" s="21"/>
    </row>
    <row r="92" spans="1:155" s="11" customFormat="1" x14ac:dyDescent="0.3">
      <c r="A92" s="21"/>
      <c r="B92" s="22" t="s">
        <v>990</v>
      </c>
      <c r="C92" s="21" t="s">
        <v>1053</v>
      </c>
      <c r="D92" s="22" t="s">
        <v>1012</v>
      </c>
      <c r="E92" s="32">
        <v>0</v>
      </c>
      <c r="F92" s="22" t="s">
        <v>10</v>
      </c>
      <c r="G92" s="21">
        <v>0</v>
      </c>
      <c r="H92" s="21">
        <v>10000</v>
      </c>
      <c r="I92" s="21" t="s">
        <v>1043</v>
      </c>
      <c r="J92" s="21" t="s">
        <v>10</v>
      </c>
      <c r="K92" s="22" t="s">
        <v>1023</v>
      </c>
      <c r="L92" s="22" t="s">
        <v>987</v>
      </c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  <c r="BQ92" s="21"/>
      <c r="BR92" s="21"/>
      <c r="BS92" s="21"/>
      <c r="BT92" s="21"/>
      <c r="BU92" s="21"/>
      <c r="BV92" s="21"/>
      <c r="BW92" s="21"/>
      <c r="BX92" s="21"/>
      <c r="BY92" s="21"/>
      <c r="BZ92" s="21"/>
      <c r="CA92" s="21"/>
      <c r="CB92" s="21"/>
      <c r="CC92" s="21"/>
      <c r="CD92" s="21"/>
      <c r="CE92" s="21"/>
      <c r="CF92" s="21"/>
      <c r="CG92" s="21"/>
      <c r="CH92" s="21"/>
      <c r="CI92" s="21"/>
      <c r="CJ92" s="21"/>
      <c r="CK92" s="21"/>
      <c r="CL92" s="21"/>
      <c r="CM92" s="21"/>
      <c r="CN92" s="21"/>
      <c r="CO92" s="21"/>
      <c r="CP92" s="21"/>
      <c r="CQ92" s="21"/>
      <c r="CR92" s="21"/>
      <c r="CS92" s="21"/>
      <c r="CT92" s="21"/>
      <c r="CU92" s="21"/>
      <c r="CV92" s="21"/>
      <c r="CW92" s="21"/>
      <c r="CX92" s="21"/>
      <c r="CY92" s="21"/>
      <c r="CZ92" s="21"/>
      <c r="DA92" s="21"/>
      <c r="DB92" s="21"/>
      <c r="DC92" s="21"/>
      <c r="DD92" s="21"/>
      <c r="DE92" s="21"/>
      <c r="DF92" s="21"/>
      <c r="DG92" s="21"/>
      <c r="DH92" s="21"/>
      <c r="DI92" s="21"/>
      <c r="DJ92" s="21"/>
      <c r="DK92" s="21"/>
      <c r="DL92" s="21"/>
      <c r="DM92" s="21"/>
      <c r="DN92" s="21"/>
      <c r="DO92" s="21"/>
      <c r="DP92" s="21"/>
      <c r="DQ92" s="21"/>
      <c r="DR92" s="21"/>
      <c r="DS92" s="21"/>
      <c r="DT92" s="21"/>
      <c r="DU92" s="21"/>
      <c r="DV92" s="21"/>
      <c r="DW92" s="21"/>
      <c r="DX92" s="21"/>
      <c r="DY92" s="21"/>
      <c r="DZ92" s="21"/>
      <c r="EA92" s="21"/>
      <c r="EB92" s="21"/>
      <c r="EC92" s="21"/>
      <c r="ED92" s="21"/>
      <c r="EE92" s="21"/>
      <c r="EF92" s="21"/>
      <c r="EG92" s="21"/>
      <c r="EH92" s="21"/>
      <c r="EI92" s="21"/>
      <c r="EJ92" s="21"/>
      <c r="EK92" s="21"/>
      <c r="EL92" s="21"/>
      <c r="EM92" s="21"/>
      <c r="EN92" s="21"/>
      <c r="EO92" s="21"/>
      <c r="EP92" s="21"/>
      <c r="EQ92" s="21"/>
      <c r="ER92" s="21"/>
      <c r="ES92" s="21"/>
      <c r="ET92" s="21"/>
      <c r="EU92" s="21"/>
      <c r="EV92" s="21"/>
      <c r="EW92" s="21"/>
      <c r="EX92" s="21"/>
      <c r="EY92" s="21"/>
    </row>
    <row r="93" spans="1:155" s="11" customFormat="1" x14ac:dyDescent="0.3">
      <c r="A93" s="21"/>
      <c r="B93" s="22" t="s">
        <v>990</v>
      </c>
      <c r="C93" s="21" t="s">
        <v>1053</v>
      </c>
      <c r="D93" s="22" t="s">
        <v>1013</v>
      </c>
      <c r="E93" s="32">
        <v>0</v>
      </c>
      <c r="F93" s="22" t="s">
        <v>10</v>
      </c>
      <c r="G93" s="21">
        <v>0</v>
      </c>
      <c r="H93" s="21">
        <v>10000</v>
      </c>
      <c r="I93" s="21" t="s">
        <v>1043</v>
      </c>
      <c r="J93" s="21" t="s">
        <v>10</v>
      </c>
      <c r="K93" s="22" t="s">
        <v>1024</v>
      </c>
      <c r="L93" s="22" t="s">
        <v>987</v>
      </c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  <c r="BO93" s="21"/>
      <c r="BP93" s="21"/>
      <c r="BQ93" s="21"/>
      <c r="BR93" s="21"/>
      <c r="BS93" s="21"/>
      <c r="BT93" s="21"/>
      <c r="BU93" s="21"/>
      <c r="BV93" s="21"/>
      <c r="BW93" s="21"/>
      <c r="BX93" s="21"/>
      <c r="BY93" s="21"/>
      <c r="BZ93" s="21"/>
      <c r="CA93" s="21"/>
      <c r="CB93" s="21"/>
      <c r="CC93" s="21"/>
      <c r="CD93" s="21"/>
      <c r="CE93" s="21"/>
      <c r="CF93" s="21"/>
      <c r="CG93" s="21"/>
      <c r="CH93" s="21"/>
      <c r="CI93" s="21"/>
      <c r="CJ93" s="21"/>
      <c r="CK93" s="21"/>
      <c r="CL93" s="21"/>
      <c r="CM93" s="21"/>
      <c r="CN93" s="21"/>
      <c r="CO93" s="21"/>
      <c r="CP93" s="21"/>
      <c r="CQ93" s="21"/>
      <c r="CR93" s="21"/>
      <c r="CS93" s="21"/>
      <c r="CT93" s="21"/>
      <c r="CU93" s="21"/>
      <c r="CV93" s="21"/>
      <c r="CW93" s="21"/>
      <c r="CX93" s="21"/>
      <c r="CY93" s="21"/>
      <c r="CZ93" s="21"/>
      <c r="DA93" s="21"/>
      <c r="DB93" s="21"/>
      <c r="DC93" s="21"/>
      <c r="DD93" s="21"/>
      <c r="DE93" s="21"/>
      <c r="DF93" s="21"/>
      <c r="DG93" s="21"/>
      <c r="DH93" s="21"/>
      <c r="DI93" s="21"/>
      <c r="DJ93" s="21"/>
      <c r="DK93" s="21"/>
      <c r="DL93" s="21"/>
      <c r="DM93" s="21"/>
      <c r="DN93" s="21"/>
      <c r="DO93" s="21"/>
      <c r="DP93" s="21"/>
      <c r="DQ93" s="21"/>
      <c r="DR93" s="21"/>
      <c r="DS93" s="21"/>
      <c r="DT93" s="21"/>
      <c r="DU93" s="21"/>
      <c r="DV93" s="21"/>
      <c r="DW93" s="21"/>
      <c r="DX93" s="21"/>
      <c r="DY93" s="21"/>
      <c r="DZ93" s="21"/>
      <c r="EA93" s="21"/>
      <c r="EB93" s="21"/>
      <c r="EC93" s="21"/>
      <c r="ED93" s="21"/>
      <c r="EE93" s="21"/>
      <c r="EF93" s="21"/>
      <c r="EG93" s="21"/>
      <c r="EH93" s="21"/>
      <c r="EI93" s="21"/>
      <c r="EJ93" s="21"/>
      <c r="EK93" s="21"/>
      <c r="EL93" s="21"/>
      <c r="EM93" s="21"/>
      <c r="EN93" s="21"/>
      <c r="EO93" s="21"/>
      <c r="EP93" s="21"/>
      <c r="EQ93" s="21"/>
      <c r="ER93" s="21"/>
      <c r="ES93" s="21"/>
      <c r="ET93" s="21"/>
      <c r="EU93" s="21"/>
      <c r="EV93" s="21"/>
      <c r="EW93" s="21"/>
      <c r="EX93" s="21"/>
      <c r="EY93" s="21"/>
    </row>
    <row r="94" spans="1:155" s="11" customFormat="1" x14ac:dyDescent="0.3">
      <c r="A94" s="21"/>
      <c r="B94" s="22" t="s">
        <v>990</v>
      </c>
      <c r="C94" s="21" t="s">
        <v>1053</v>
      </c>
      <c r="D94" s="22" t="s">
        <v>1014</v>
      </c>
      <c r="E94" s="32">
        <v>1193</v>
      </c>
      <c r="F94" s="22" t="s">
        <v>10</v>
      </c>
      <c r="G94" s="21">
        <v>0</v>
      </c>
      <c r="H94" s="21">
        <v>10000</v>
      </c>
      <c r="I94" s="21" t="s">
        <v>1043</v>
      </c>
      <c r="J94" s="21" t="s">
        <v>10</v>
      </c>
      <c r="K94" s="22" t="s">
        <v>1025</v>
      </c>
      <c r="L94" s="22" t="s">
        <v>987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  <c r="AZ94" s="21"/>
      <c r="BA94" s="21"/>
      <c r="BB94" s="21"/>
      <c r="BC94" s="21"/>
      <c r="BD94" s="21"/>
      <c r="BE94" s="21"/>
      <c r="BF94" s="21"/>
      <c r="BG94" s="21"/>
      <c r="BH94" s="21"/>
      <c r="BI94" s="21"/>
      <c r="BJ94" s="21"/>
      <c r="BK94" s="21"/>
      <c r="BL94" s="21"/>
      <c r="BM94" s="21"/>
      <c r="BN94" s="21"/>
      <c r="BO94" s="21"/>
      <c r="BP94" s="21"/>
      <c r="BQ94" s="21"/>
      <c r="BR94" s="21"/>
      <c r="BS94" s="21"/>
      <c r="BT94" s="21"/>
      <c r="BU94" s="21"/>
      <c r="BV94" s="21"/>
      <c r="BW94" s="21"/>
      <c r="BX94" s="21"/>
      <c r="BY94" s="21"/>
      <c r="BZ94" s="21"/>
      <c r="CA94" s="21"/>
      <c r="CB94" s="21"/>
      <c r="CC94" s="21"/>
      <c r="CD94" s="21"/>
      <c r="CE94" s="21"/>
      <c r="CF94" s="21"/>
      <c r="CG94" s="21"/>
      <c r="CH94" s="21"/>
      <c r="CI94" s="21"/>
      <c r="CJ94" s="21"/>
      <c r="CK94" s="21"/>
      <c r="CL94" s="21"/>
      <c r="CM94" s="21"/>
      <c r="CN94" s="21"/>
      <c r="CO94" s="21"/>
      <c r="CP94" s="21"/>
      <c r="CQ94" s="21"/>
      <c r="CR94" s="21"/>
      <c r="CS94" s="21"/>
      <c r="CT94" s="21"/>
      <c r="CU94" s="21"/>
      <c r="CV94" s="21"/>
      <c r="CW94" s="21"/>
      <c r="CX94" s="21"/>
      <c r="CY94" s="21"/>
      <c r="CZ94" s="21"/>
      <c r="DA94" s="21"/>
      <c r="DB94" s="21"/>
      <c r="DC94" s="21"/>
      <c r="DD94" s="21"/>
      <c r="DE94" s="21"/>
      <c r="DF94" s="21"/>
      <c r="DG94" s="21"/>
      <c r="DH94" s="21"/>
      <c r="DI94" s="21"/>
      <c r="DJ94" s="21"/>
      <c r="DK94" s="21"/>
      <c r="DL94" s="21"/>
      <c r="DM94" s="21"/>
      <c r="DN94" s="21"/>
      <c r="DO94" s="21"/>
      <c r="DP94" s="21"/>
      <c r="DQ94" s="21"/>
      <c r="DR94" s="21"/>
      <c r="DS94" s="21"/>
      <c r="DT94" s="21"/>
      <c r="DU94" s="21"/>
      <c r="DV94" s="21"/>
      <c r="DW94" s="21"/>
      <c r="DX94" s="21"/>
      <c r="DY94" s="21"/>
      <c r="DZ94" s="21"/>
      <c r="EA94" s="21"/>
      <c r="EB94" s="21"/>
      <c r="EC94" s="21"/>
      <c r="ED94" s="21"/>
      <c r="EE94" s="21"/>
      <c r="EF94" s="21"/>
      <c r="EG94" s="21"/>
      <c r="EH94" s="21"/>
      <c r="EI94" s="21"/>
      <c r="EJ94" s="21"/>
      <c r="EK94" s="21"/>
      <c r="EL94" s="21"/>
      <c r="EM94" s="21"/>
      <c r="EN94" s="21"/>
      <c r="EO94" s="21"/>
      <c r="EP94" s="21"/>
      <c r="EQ94" s="21"/>
      <c r="ER94" s="21"/>
      <c r="ES94" s="21"/>
      <c r="ET94" s="21"/>
      <c r="EU94" s="21"/>
      <c r="EV94" s="21"/>
      <c r="EW94" s="21"/>
      <c r="EX94" s="21"/>
      <c r="EY94" s="21"/>
    </row>
    <row r="95" spans="1:155" s="11" customFormat="1" x14ac:dyDescent="0.3">
      <c r="A95" s="21"/>
      <c r="B95" s="22" t="s">
        <v>990</v>
      </c>
      <c r="C95" s="21" t="s">
        <v>1053</v>
      </c>
      <c r="D95" s="22" t="s">
        <v>1015</v>
      </c>
      <c r="E95" s="32">
        <v>0</v>
      </c>
      <c r="F95" s="22" t="s">
        <v>10</v>
      </c>
      <c r="G95" s="21">
        <v>0</v>
      </c>
      <c r="H95" s="21">
        <v>10000</v>
      </c>
      <c r="I95" s="21" t="s">
        <v>1043</v>
      </c>
      <c r="J95" s="21" t="s">
        <v>10</v>
      </c>
      <c r="K95" s="22" t="s">
        <v>1026</v>
      </c>
      <c r="L95" s="22" t="s">
        <v>987</v>
      </c>
      <c r="M95" s="21" t="s">
        <v>984</v>
      </c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  <c r="BR95" s="21"/>
      <c r="BS95" s="21"/>
      <c r="BT95" s="21"/>
      <c r="BU95" s="21"/>
      <c r="BV95" s="21"/>
      <c r="BW95" s="21"/>
      <c r="BX95" s="21"/>
      <c r="BY95" s="21"/>
      <c r="BZ95" s="21"/>
      <c r="CA95" s="21"/>
      <c r="CB95" s="21"/>
      <c r="CC95" s="21"/>
      <c r="CD95" s="21"/>
      <c r="CE95" s="21"/>
      <c r="CF95" s="21"/>
      <c r="CG95" s="21"/>
      <c r="CH95" s="21"/>
      <c r="CI95" s="21"/>
      <c r="CJ95" s="21"/>
      <c r="CK95" s="21"/>
      <c r="CL95" s="21"/>
      <c r="CM95" s="21"/>
      <c r="CN95" s="21"/>
      <c r="CO95" s="21"/>
      <c r="CP95" s="21"/>
      <c r="CQ95" s="21"/>
      <c r="CR95" s="21"/>
      <c r="CS95" s="21"/>
      <c r="CT95" s="21"/>
      <c r="CU95" s="21"/>
      <c r="CV95" s="21"/>
      <c r="CW95" s="21"/>
      <c r="CX95" s="21"/>
      <c r="CY95" s="21"/>
      <c r="CZ95" s="21"/>
      <c r="DA95" s="21"/>
      <c r="DB95" s="21"/>
      <c r="DC95" s="21"/>
      <c r="DD95" s="21"/>
      <c r="DE95" s="21"/>
      <c r="DF95" s="21"/>
      <c r="DG95" s="21"/>
      <c r="DH95" s="21"/>
      <c r="DI95" s="21"/>
      <c r="DJ95" s="21"/>
      <c r="DK95" s="21"/>
      <c r="DL95" s="21"/>
      <c r="DM95" s="21"/>
      <c r="DN95" s="21"/>
      <c r="DO95" s="21"/>
      <c r="DP95" s="21"/>
      <c r="DQ95" s="21"/>
      <c r="DR95" s="21"/>
      <c r="DS95" s="21"/>
      <c r="DT95" s="21"/>
      <c r="DU95" s="21"/>
      <c r="DV95" s="21"/>
      <c r="DW95" s="21"/>
      <c r="DX95" s="21"/>
      <c r="DY95" s="21"/>
      <c r="DZ95" s="21"/>
      <c r="EA95" s="21"/>
      <c r="EB95" s="21"/>
      <c r="EC95" s="21"/>
      <c r="ED95" s="21"/>
      <c r="EE95" s="21"/>
      <c r="EF95" s="21"/>
      <c r="EG95" s="21"/>
      <c r="EH95" s="21"/>
      <c r="EI95" s="21"/>
      <c r="EJ95" s="21"/>
      <c r="EK95" s="21"/>
      <c r="EL95" s="21"/>
      <c r="EM95" s="21"/>
      <c r="EN95" s="21"/>
      <c r="EO95" s="21"/>
      <c r="EP95" s="21"/>
      <c r="EQ95" s="21"/>
      <c r="ER95" s="21"/>
      <c r="ES95" s="21"/>
      <c r="ET95" s="21"/>
      <c r="EU95" s="21"/>
      <c r="EV95" s="21"/>
      <c r="EW95" s="21"/>
      <c r="EX95" s="21"/>
      <c r="EY95" s="21"/>
    </row>
    <row r="96" spans="1:155" s="11" customFormat="1" x14ac:dyDescent="0.3">
      <c r="A96" s="21"/>
      <c r="B96" s="22" t="s">
        <v>990</v>
      </c>
      <c r="C96" s="21" t="s">
        <v>193</v>
      </c>
      <c r="D96" s="21" t="s">
        <v>194</v>
      </c>
      <c r="E96" s="32">
        <v>1</v>
      </c>
      <c r="F96" s="22" t="s">
        <v>9</v>
      </c>
      <c r="G96" s="21"/>
      <c r="H96" s="21"/>
      <c r="I96" s="21" t="s">
        <v>234</v>
      </c>
      <c r="J96" s="21" t="s">
        <v>9</v>
      </c>
      <c r="K96" s="21" t="s">
        <v>194</v>
      </c>
      <c r="L96" s="22" t="s">
        <v>987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  <c r="BR96" s="21"/>
      <c r="BS96" s="21"/>
      <c r="BT96" s="21"/>
      <c r="BU96" s="21"/>
      <c r="BV96" s="21"/>
      <c r="BW96" s="21"/>
      <c r="BX96" s="21"/>
      <c r="BY96" s="21"/>
      <c r="BZ96" s="21"/>
      <c r="CA96" s="21"/>
      <c r="CB96" s="21"/>
      <c r="CC96" s="21"/>
      <c r="CD96" s="21"/>
      <c r="CE96" s="21"/>
      <c r="CF96" s="21"/>
      <c r="CG96" s="21"/>
      <c r="CH96" s="21"/>
      <c r="CI96" s="21"/>
      <c r="CJ96" s="21"/>
      <c r="CK96" s="21"/>
      <c r="CL96" s="21"/>
      <c r="CM96" s="21"/>
      <c r="CN96" s="21"/>
      <c r="CO96" s="21"/>
      <c r="CP96" s="21"/>
      <c r="CQ96" s="21"/>
      <c r="CR96" s="21"/>
      <c r="CS96" s="21"/>
      <c r="CT96" s="21"/>
      <c r="CU96" s="21"/>
      <c r="CV96" s="21"/>
      <c r="CW96" s="21"/>
      <c r="CX96" s="21"/>
      <c r="CY96" s="21"/>
      <c r="CZ96" s="21"/>
      <c r="DA96" s="21"/>
      <c r="DB96" s="21"/>
      <c r="DC96" s="21"/>
      <c r="DD96" s="21"/>
      <c r="DE96" s="21"/>
      <c r="DF96" s="21"/>
      <c r="DG96" s="21"/>
      <c r="DH96" s="21"/>
      <c r="DI96" s="21"/>
      <c r="DJ96" s="21"/>
      <c r="DK96" s="21"/>
      <c r="DL96" s="21"/>
      <c r="DM96" s="21"/>
      <c r="DN96" s="21"/>
      <c r="DO96" s="21"/>
      <c r="DP96" s="21"/>
      <c r="DQ96" s="21"/>
      <c r="DR96" s="21"/>
      <c r="DS96" s="21"/>
      <c r="DT96" s="21"/>
      <c r="DU96" s="21"/>
      <c r="DV96" s="21"/>
      <c r="DW96" s="21"/>
      <c r="DX96" s="21"/>
      <c r="DY96" s="21"/>
      <c r="DZ96" s="21"/>
      <c r="EA96" s="21"/>
      <c r="EB96" s="21"/>
      <c r="EC96" s="21"/>
      <c r="ED96" s="21"/>
      <c r="EE96" s="21"/>
      <c r="EF96" s="21"/>
      <c r="EG96" s="21"/>
      <c r="EH96" s="21"/>
      <c r="EI96" s="21"/>
      <c r="EJ96" s="21"/>
      <c r="EK96" s="21"/>
      <c r="EL96" s="21"/>
      <c r="EM96" s="21"/>
      <c r="EN96" s="21"/>
      <c r="EO96" s="21"/>
      <c r="EP96" s="21"/>
      <c r="EQ96" s="21"/>
      <c r="ER96" s="21"/>
      <c r="ES96" s="21"/>
      <c r="ET96" s="21"/>
      <c r="EU96" s="21"/>
      <c r="EV96" s="21"/>
      <c r="EW96" s="21"/>
      <c r="EX96" s="21"/>
      <c r="EY96" s="21"/>
    </row>
    <row r="97" spans="1:155" s="11" customFormat="1" x14ac:dyDescent="0.3">
      <c r="A97" s="21"/>
      <c r="B97" s="22" t="s">
        <v>990</v>
      </c>
      <c r="C97" s="21" t="s">
        <v>193</v>
      </c>
      <c r="D97" s="21" t="s">
        <v>195</v>
      </c>
      <c r="E97" s="32">
        <v>2</v>
      </c>
      <c r="F97" s="22" t="s">
        <v>9</v>
      </c>
      <c r="G97" s="21"/>
      <c r="H97" s="21"/>
      <c r="I97" s="21" t="s">
        <v>234</v>
      </c>
      <c r="J97" s="21" t="s">
        <v>9</v>
      </c>
      <c r="K97" s="21" t="s">
        <v>195</v>
      </c>
      <c r="L97" s="22" t="s">
        <v>987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  <c r="BQ97" s="21"/>
      <c r="BR97" s="21"/>
      <c r="BS97" s="21"/>
      <c r="BT97" s="21"/>
      <c r="BU97" s="21"/>
      <c r="BV97" s="21"/>
      <c r="BW97" s="21"/>
      <c r="BX97" s="21"/>
      <c r="BY97" s="21"/>
      <c r="BZ97" s="21"/>
      <c r="CA97" s="21"/>
      <c r="CB97" s="21"/>
      <c r="CC97" s="21"/>
      <c r="CD97" s="21"/>
      <c r="CE97" s="21"/>
      <c r="CF97" s="21"/>
      <c r="CG97" s="21"/>
      <c r="CH97" s="21"/>
      <c r="CI97" s="21"/>
      <c r="CJ97" s="21"/>
      <c r="CK97" s="21"/>
      <c r="CL97" s="21"/>
      <c r="CM97" s="21"/>
      <c r="CN97" s="21"/>
      <c r="CO97" s="21"/>
      <c r="CP97" s="21"/>
      <c r="CQ97" s="21"/>
      <c r="CR97" s="21"/>
      <c r="CS97" s="21"/>
      <c r="CT97" s="21"/>
      <c r="CU97" s="21"/>
      <c r="CV97" s="21"/>
      <c r="CW97" s="21"/>
      <c r="CX97" s="21"/>
      <c r="CY97" s="21"/>
      <c r="CZ97" s="21"/>
      <c r="DA97" s="21"/>
      <c r="DB97" s="21"/>
      <c r="DC97" s="21"/>
      <c r="DD97" s="21"/>
      <c r="DE97" s="21"/>
      <c r="DF97" s="21"/>
      <c r="DG97" s="21"/>
      <c r="DH97" s="21"/>
      <c r="DI97" s="21"/>
      <c r="DJ97" s="21"/>
      <c r="DK97" s="21"/>
      <c r="DL97" s="21"/>
      <c r="DM97" s="21"/>
      <c r="DN97" s="21"/>
      <c r="DO97" s="21"/>
      <c r="DP97" s="21"/>
      <c r="DQ97" s="21"/>
      <c r="DR97" s="21"/>
      <c r="DS97" s="21"/>
      <c r="DT97" s="21"/>
      <c r="DU97" s="21"/>
      <c r="DV97" s="21"/>
      <c r="DW97" s="21"/>
      <c r="DX97" s="21"/>
      <c r="DY97" s="21"/>
      <c r="DZ97" s="21"/>
      <c r="EA97" s="21"/>
      <c r="EB97" s="21"/>
      <c r="EC97" s="21"/>
      <c r="ED97" s="21"/>
      <c r="EE97" s="21"/>
      <c r="EF97" s="21"/>
      <c r="EG97" s="21"/>
      <c r="EH97" s="21"/>
      <c r="EI97" s="21"/>
      <c r="EJ97" s="21"/>
      <c r="EK97" s="21"/>
      <c r="EL97" s="21"/>
      <c r="EM97" s="21"/>
      <c r="EN97" s="21"/>
      <c r="EO97" s="21"/>
      <c r="EP97" s="21"/>
      <c r="EQ97" s="21"/>
      <c r="ER97" s="21"/>
      <c r="ES97" s="21"/>
      <c r="ET97" s="21"/>
      <c r="EU97" s="21"/>
      <c r="EV97" s="21"/>
      <c r="EW97" s="21"/>
      <c r="EX97" s="21"/>
      <c r="EY97" s="21"/>
    </row>
    <row r="98" spans="1:155" s="11" customFormat="1" x14ac:dyDescent="0.3">
      <c r="A98" s="21"/>
      <c r="B98" s="22" t="s">
        <v>990</v>
      </c>
      <c r="C98" s="21" t="s">
        <v>193</v>
      </c>
      <c r="D98" s="21" t="s">
        <v>196</v>
      </c>
      <c r="E98" s="32">
        <v>3</v>
      </c>
      <c r="F98" s="22" t="s">
        <v>9</v>
      </c>
      <c r="G98" s="21"/>
      <c r="H98" s="21"/>
      <c r="I98" s="21" t="s">
        <v>234</v>
      </c>
      <c r="J98" s="21" t="s">
        <v>9</v>
      </c>
      <c r="K98" s="21" t="s">
        <v>196</v>
      </c>
      <c r="L98" s="22" t="s">
        <v>987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  <c r="AZ98" s="21"/>
      <c r="BA98" s="21"/>
      <c r="BB98" s="21"/>
      <c r="BC98" s="21"/>
      <c r="BD98" s="21"/>
      <c r="BE98" s="21"/>
      <c r="BF98" s="21"/>
      <c r="BG98" s="21"/>
      <c r="BH98" s="21"/>
      <c r="BI98" s="21"/>
      <c r="BJ98" s="21"/>
      <c r="BK98" s="21"/>
      <c r="BL98" s="21"/>
      <c r="BM98" s="21"/>
      <c r="BN98" s="21"/>
      <c r="BO98" s="21"/>
      <c r="BP98" s="21"/>
      <c r="BQ98" s="21"/>
      <c r="BR98" s="21"/>
      <c r="BS98" s="21"/>
      <c r="BT98" s="21"/>
      <c r="BU98" s="21"/>
      <c r="BV98" s="21"/>
      <c r="BW98" s="21"/>
      <c r="BX98" s="21"/>
      <c r="BY98" s="21"/>
      <c r="BZ98" s="21"/>
      <c r="CA98" s="21"/>
      <c r="CB98" s="21"/>
      <c r="CC98" s="21"/>
      <c r="CD98" s="21"/>
      <c r="CE98" s="21"/>
      <c r="CF98" s="21"/>
      <c r="CG98" s="21"/>
      <c r="CH98" s="21"/>
      <c r="CI98" s="21"/>
      <c r="CJ98" s="21"/>
      <c r="CK98" s="21"/>
      <c r="CL98" s="21"/>
      <c r="CM98" s="21"/>
      <c r="CN98" s="21"/>
      <c r="CO98" s="21"/>
      <c r="CP98" s="21"/>
      <c r="CQ98" s="21"/>
      <c r="CR98" s="21"/>
      <c r="CS98" s="21"/>
      <c r="CT98" s="21"/>
      <c r="CU98" s="21"/>
      <c r="CV98" s="21"/>
      <c r="CW98" s="21"/>
      <c r="CX98" s="21"/>
      <c r="CY98" s="21"/>
      <c r="CZ98" s="21"/>
      <c r="DA98" s="21"/>
      <c r="DB98" s="21"/>
      <c r="DC98" s="21"/>
      <c r="DD98" s="21"/>
      <c r="DE98" s="21"/>
      <c r="DF98" s="21"/>
      <c r="DG98" s="21"/>
      <c r="DH98" s="21"/>
      <c r="DI98" s="21"/>
      <c r="DJ98" s="21"/>
      <c r="DK98" s="21"/>
      <c r="DL98" s="21"/>
      <c r="DM98" s="21"/>
      <c r="DN98" s="21"/>
      <c r="DO98" s="21"/>
      <c r="DP98" s="21"/>
      <c r="DQ98" s="21"/>
      <c r="DR98" s="21"/>
      <c r="DS98" s="21"/>
      <c r="DT98" s="21"/>
      <c r="DU98" s="21"/>
      <c r="DV98" s="21"/>
      <c r="DW98" s="21"/>
      <c r="DX98" s="21"/>
      <c r="DY98" s="21"/>
      <c r="DZ98" s="21"/>
      <c r="EA98" s="21"/>
      <c r="EB98" s="21"/>
      <c r="EC98" s="21"/>
      <c r="ED98" s="21"/>
      <c r="EE98" s="21"/>
      <c r="EF98" s="21"/>
      <c r="EG98" s="21"/>
      <c r="EH98" s="21"/>
      <c r="EI98" s="21"/>
      <c r="EJ98" s="21"/>
      <c r="EK98" s="21"/>
      <c r="EL98" s="21"/>
      <c r="EM98" s="21"/>
      <c r="EN98" s="21"/>
      <c r="EO98" s="21"/>
      <c r="EP98" s="21"/>
      <c r="EQ98" s="21"/>
      <c r="ER98" s="21"/>
      <c r="ES98" s="21"/>
      <c r="ET98" s="21"/>
      <c r="EU98" s="21"/>
      <c r="EV98" s="21"/>
      <c r="EW98" s="21"/>
      <c r="EX98" s="21"/>
      <c r="EY98" s="21"/>
    </row>
    <row r="99" spans="1:155" s="11" customFormat="1" x14ac:dyDescent="0.3">
      <c r="A99" s="21"/>
      <c r="B99" s="22" t="s">
        <v>990</v>
      </c>
      <c r="C99" s="21" t="s">
        <v>193</v>
      </c>
      <c r="D99" s="21" t="s">
        <v>197</v>
      </c>
      <c r="E99" s="32">
        <v>4</v>
      </c>
      <c r="F99" s="22" t="s">
        <v>9</v>
      </c>
      <c r="G99" s="21"/>
      <c r="H99" s="21"/>
      <c r="I99" s="21" t="s">
        <v>234</v>
      </c>
      <c r="J99" s="21" t="s">
        <v>9</v>
      </c>
      <c r="K99" s="21" t="s">
        <v>197</v>
      </c>
      <c r="L99" s="22" t="s">
        <v>987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  <c r="BR99" s="21"/>
      <c r="BS99" s="21"/>
      <c r="BT99" s="21"/>
      <c r="BU99" s="21"/>
      <c r="BV99" s="21"/>
      <c r="BW99" s="21"/>
      <c r="BX99" s="21"/>
      <c r="BY99" s="21"/>
      <c r="BZ99" s="21"/>
      <c r="CA99" s="21"/>
      <c r="CB99" s="21"/>
      <c r="CC99" s="21"/>
      <c r="CD99" s="21"/>
      <c r="CE99" s="21"/>
      <c r="CF99" s="21"/>
      <c r="CG99" s="21"/>
      <c r="CH99" s="21"/>
      <c r="CI99" s="21"/>
      <c r="CJ99" s="21"/>
      <c r="CK99" s="21"/>
      <c r="CL99" s="21"/>
      <c r="CM99" s="21"/>
      <c r="CN99" s="21"/>
      <c r="CO99" s="21"/>
      <c r="CP99" s="21"/>
      <c r="CQ99" s="21"/>
      <c r="CR99" s="21"/>
      <c r="CS99" s="21"/>
      <c r="CT99" s="21"/>
      <c r="CU99" s="21"/>
      <c r="CV99" s="21"/>
      <c r="CW99" s="21"/>
      <c r="CX99" s="21"/>
      <c r="CY99" s="21"/>
      <c r="CZ99" s="21"/>
      <c r="DA99" s="21"/>
      <c r="DB99" s="21"/>
      <c r="DC99" s="21"/>
      <c r="DD99" s="21"/>
      <c r="DE99" s="21"/>
      <c r="DF99" s="21"/>
      <c r="DG99" s="21"/>
      <c r="DH99" s="21"/>
      <c r="DI99" s="21"/>
      <c r="DJ99" s="21"/>
      <c r="DK99" s="21"/>
      <c r="DL99" s="21"/>
      <c r="DM99" s="21"/>
      <c r="DN99" s="21"/>
      <c r="DO99" s="21"/>
      <c r="DP99" s="21"/>
      <c r="DQ99" s="21"/>
      <c r="DR99" s="21"/>
      <c r="DS99" s="21"/>
      <c r="DT99" s="21"/>
      <c r="DU99" s="21"/>
      <c r="DV99" s="21"/>
      <c r="DW99" s="21"/>
      <c r="DX99" s="21"/>
      <c r="DY99" s="21"/>
      <c r="DZ99" s="21"/>
      <c r="EA99" s="21"/>
      <c r="EB99" s="21"/>
      <c r="EC99" s="21"/>
      <c r="ED99" s="21"/>
      <c r="EE99" s="21"/>
      <c r="EF99" s="21"/>
      <c r="EG99" s="21"/>
      <c r="EH99" s="21"/>
      <c r="EI99" s="21"/>
      <c r="EJ99" s="21"/>
      <c r="EK99" s="21"/>
      <c r="EL99" s="21"/>
      <c r="EM99" s="21"/>
      <c r="EN99" s="21"/>
      <c r="EO99" s="21"/>
      <c r="EP99" s="21"/>
      <c r="EQ99" s="21"/>
      <c r="ER99" s="21"/>
      <c r="ES99" s="21"/>
      <c r="ET99" s="21"/>
      <c r="EU99" s="21"/>
      <c r="EV99" s="21"/>
      <c r="EW99" s="21"/>
      <c r="EX99" s="21"/>
      <c r="EY99" s="21"/>
    </row>
    <row r="100" spans="1:155" s="11" customFormat="1" x14ac:dyDescent="0.3">
      <c r="A100" s="21"/>
      <c r="B100" s="22" t="s">
        <v>990</v>
      </c>
      <c r="C100" s="21" t="s">
        <v>193</v>
      </c>
      <c r="D100" s="21" t="s">
        <v>198</v>
      </c>
      <c r="E100" s="32">
        <v>5</v>
      </c>
      <c r="F100" s="22" t="s">
        <v>9</v>
      </c>
      <c r="G100" s="21"/>
      <c r="H100" s="21"/>
      <c r="I100" s="21" t="s">
        <v>234</v>
      </c>
      <c r="J100" s="21" t="s">
        <v>9</v>
      </c>
      <c r="K100" s="21" t="s">
        <v>198</v>
      </c>
      <c r="L100" s="22" t="s">
        <v>987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  <c r="BR100" s="21"/>
      <c r="BS100" s="21"/>
      <c r="BT100" s="21"/>
      <c r="BU100" s="21"/>
      <c r="BV100" s="21"/>
      <c r="BW100" s="21"/>
      <c r="BX100" s="21"/>
      <c r="BY100" s="21"/>
      <c r="BZ100" s="21"/>
      <c r="CA100" s="21"/>
      <c r="CB100" s="21"/>
      <c r="CC100" s="21"/>
      <c r="CD100" s="21"/>
      <c r="CE100" s="21"/>
      <c r="CF100" s="21"/>
      <c r="CG100" s="21"/>
      <c r="CH100" s="21"/>
      <c r="CI100" s="21"/>
      <c r="CJ100" s="21"/>
      <c r="CK100" s="21"/>
      <c r="CL100" s="21"/>
      <c r="CM100" s="21"/>
      <c r="CN100" s="21"/>
      <c r="CO100" s="21"/>
      <c r="CP100" s="21"/>
      <c r="CQ100" s="21"/>
      <c r="CR100" s="21"/>
      <c r="CS100" s="21"/>
      <c r="CT100" s="21"/>
      <c r="CU100" s="21"/>
      <c r="CV100" s="21"/>
      <c r="CW100" s="21"/>
      <c r="CX100" s="21"/>
      <c r="CY100" s="21"/>
      <c r="CZ100" s="21"/>
      <c r="DA100" s="21"/>
      <c r="DB100" s="21"/>
      <c r="DC100" s="21"/>
      <c r="DD100" s="21"/>
      <c r="DE100" s="21"/>
      <c r="DF100" s="21"/>
      <c r="DG100" s="21"/>
      <c r="DH100" s="21"/>
      <c r="DI100" s="21"/>
      <c r="DJ100" s="21"/>
      <c r="DK100" s="21"/>
      <c r="DL100" s="21"/>
      <c r="DM100" s="21"/>
      <c r="DN100" s="21"/>
      <c r="DO100" s="21"/>
      <c r="DP100" s="21"/>
      <c r="DQ100" s="21"/>
      <c r="DR100" s="21"/>
      <c r="DS100" s="21"/>
      <c r="DT100" s="21"/>
      <c r="DU100" s="21"/>
      <c r="DV100" s="21"/>
      <c r="DW100" s="21"/>
      <c r="DX100" s="21"/>
      <c r="DY100" s="21"/>
      <c r="DZ100" s="21"/>
      <c r="EA100" s="21"/>
      <c r="EB100" s="21"/>
      <c r="EC100" s="21"/>
      <c r="ED100" s="21"/>
      <c r="EE100" s="21"/>
      <c r="EF100" s="21"/>
      <c r="EG100" s="21"/>
      <c r="EH100" s="21"/>
      <c r="EI100" s="21"/>
      <c r="EJ100" s="21"/>
      <c r="EK100" s="21"/>
      <c r="EL100" s="21"/>
      <c r="EM100" s="21"/>
      <c r="EN100" s="21"/>
      <c r="EO100" s="21"/>
      <c r="EP100" s="21"/>
      <c r="EQ100" s="21"/>
      <c r="ER100" s="21"/>
      <c r="ES100" s="21"/>
      <c r="ET100" s="21"/>
      <c r="EU100" s="21"/>
      <c r="EV100" s="21"/>
      <c r="EW100" s="21"/>
      <c r="EX100" s="21"/>
      <c r="EY100" s="21"/>
    </row>
    <row r="101" spans="1:155" s="11" customFormat="1" x14ac:dyDescent="0.3">
      <c r="A101" s="21"/>
      <c r="B101" s="22" t="s">
        <v>990</v>
      </c>
      <c r="C101" s="21" t="s">
        <v>193</v>
      </c>
      <c r="D101" s="21" t="s">
        <v>199</v>
      </c>
      <c r="E101" s="32">
        <v>6</v>
      </c>
      <c r="F101" s="22" t="s">
        <v>9</v>
      </c>
      <c r="G101" s="21"/>
      <c r="H101" s="21"/>
      <c r="I101" s="21" t="s">
        <v>234</v>
      </c>
      <c r="J101" s="21" t="s">
        <v>9</v>
      </c>
      <c r="K101" s="21" t="s">
        <v>199</v>
      </c>
      <c r="L101" s="22" t="s">
        <v>987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  <c r="BR101" s="21"/>
      <c r="BS101" s="21"/>
      <c r="BT101" s="21"/>
      <c r="BU101" s="21"/>
      <c r="BV101" s="21"/>
      <c r="BW101" s="21"/>
      <c r="BX101" s="21"/>
      <c r="BY101" s="21"/>
      <c r="BZ101" s="21"/>
      <c r="CA101" s="21"/>
      <c r="CB101" s="21"/>
      <c r="CC101" s="21"/>
      <c r="CD101" s="21"/>
      <c r="CE101" s="21"/>
      <c r="CF101" s="21"/>
      <c r="CG101" s="21"/>
      <c r="CH101" s="21"/>
      <c r="CI101" s="21"/>
      <c r="CJ101" s="21"/>
      <c r="CK101" s="21"/>
      <c r="CL101" s="21"/>
      <c r="CM101" s="21"/>
      <c r="CN101" s="21"/>
      <c r="CO101" s="21"/>
      <c r="CP101" s="21"/>
      <c r="CQ101" s="21"/>
      <c r="CR101" s="21"/>
      <c r="CS101" s="21"/>
      <c r="CT101" s="21"/>
      <c r="CU101" s="21"/>
      <c r="CV101" s="21"/>
      <c r="CW101" s="21"/>
      <c r="CX101" s="21"/>
      <c r="CY101" s="21"/>
      <c r="CZ101" s="21"/>
      <c r="DA101" s="21"/>
      <c r="DB101" s="21"/>
      <c r="DC101" s="21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1"/>
      <c r="DQ101" s="21"/>
      <c r="DR101" s="21"/>
      <c r="DS101" s="21"/>
      <c r="DT101" s="21"/>
      <c r="DU101" s="21"/>
      <c r="DV101" s="21"/>
      <c r="DW101" s="21"/>
      <c r="DX101" s="21"/>
      <c r="DY101" s="21"/>
      <c r="DZ101" s="21"/>
      <c r="EA101" s="21"/>
      <c r="EB101" s="21"/>
      <c r="EC101" s="21"/>
      <c r="ED101" s="21"/>
      <c r="EE101" s="21"/>
      <c r="EF101" s="21"/>
      <c r="EG101" s="21"/>
      <c r="EH101" s="21"/>
      <c r="EI101" s="21"/>
      <c r="EJ101" s="21"/>
      <c r="EK101" s="21"/>
      <c r="EL101" s="21"/>
      <c r="EM101" s="21"/>
      <c r="EN101" s="21"/>
      <c r="EO101" s="21"/>
      <c r="EP101" s="21"/>
      <c r="EQ101" s="21"/>
      <c r="ER101" s="21"/>
      <c r="ES101" s="21"/>
      <c r="ET101" s="21"/>
      <c r="EU101" s="21"/>
      <c r="EV101" s="21"/>
      <c r="EW101" s="21"/>
      <c r="EX101" s="21"/>
      <c r="EY101" s="21"/>
    </row>
    <row r="102" spans="1:155" s="11" customFormat="1" x14ac:dyDescent="0.3">
      <c r="A102" s="21"/>
      <c r="B102" s="22" t="s">
        <v>990</v>
      </c>
      <c r="C102" s="21" t="s">
        <v>193</v>
      </c>
      <c r="D102" s="21" t="s">
        <v>200</v>
      </c>
      <c r="E102" s="32">
        <v>7</v>
      </c>
      <c r="F102" s="22" t="s">
        <v>9</v>
      </c>
      <c r="G102" s="21"/>
      <c r="H102" s="21"/>
      <c r="I102" s="21" t="s">
        <v>234</v>
      </c>
      <c r="J102" s="21" t="s">
        <v>9</v>
      </c>
      <c r="K102" s="21" t="s">
        <v>200</v>
      </c>
      <c r="L102" s="22" t="s">
        <v>987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  <c r="AY102" s="21"/>
      <c r="AZ102" s="21"/>
      <c r="BA102" s="21"/>
      <c r="BB102" s="21"/>
      <c r="BC102" s="21"/>
      <c r="BD102" s="21"/>
      <c r="BE102" s="21"/>
      <c r="BF102" s="21"/>
      <c r="BG102" s="21"/>
      <c r="BH102" s="21"/>
      <c r="BI102" s="21"/>
      <c r="BJ102" s="21"/>
      <c r="BK102" s="21"/>
      <c r="BL102" s="21"/>
      <c r="BM102" s="21"/>
      <c r="BN102" s="21"/>
      <c r="BO102" s="21"/>
      <c r="BP102" s="21"/>
      <c r="BQ102" s="21"/>
      <c r="BR102" s="21"/>
      <c r="BS102" s="21"/>
      <c r="BT102" s="21"/>
      <c r="BU102" s="21"/>
      <c r="BV102" s="21"/>
      <c r="BW102" s="21"/>
      <c r="BX102" s="21"/>
      <c r="BY102" s="21"/>
      <c r="BZ102" s="21"/>
      <c r="CA102" s="21"/>
      <c r="CB102" s="21"/>
      <c r="CC102" s="21"/>
      <c r="CD102" s="21"/>
      <c r="CE102" s="21"/>
      <c r="CF102" s="21"/>
      <c r="CG102" s="21"/>
      <c r="CH102" s="21"/>
      <c r="CI102" s="21"/>
      <c r="CJ102" s="21"/>
      <c r="CK102" s="21"/>
      <c r="CL102" s="21"/>
      <c r="CM102" s="21"/>
      <c r="CN102" s="21"/>
      <c r="CO102" s="21"/>
      <c r="CP102" s="21"/>
      <c r="CQ102" s="21"/>
      <c r="CR102" s="21"/>
      <c r="CS102" s="21"/>
      <c r="CT102" s="21"/>
      <c r="CU102" s="21"/>
      <c r="CV102" s="21"/>
      <c r="CW102" s="21"/>
      <c r="CX102" s="21"/>
      <c r="CY102" s="21"/>
      <c r="CZ102" s="21"/>
      <c r="DA102" s="21"/>
      <c r="DB102" s="21"/>
      <c r="DC102" s="21"/>
      <c r="DD102" s="21"/>
      <c r="DE102" s="21"/>
      <c r="DF102" s="21"/>
      <c r="DG102" s="21"/>
      <c r="DH102" s="21"/>
      <c r="DI102" s="21"/>
      <c r="DJ102" s="21"/>
      <c r="DK102" s="21"/>
      <c r="DL102" s="21"/>
      <c r="DM102" s="21"/>
      <c r="DN102" s="21"/>
      <c r="DO102" s="21"/>
      <c r="DP102" s="21"/>
      <c r="DQ102" s="21"/>
      <c r="DR102" s="21"/>
      <c r="DS102" s="21"/>
      <c r="DT102" s="21"/>
      <c r="DU102" s="21"/>
      <c r="DV102" s="21"/>
      <c r="DW102" s="21"/>
      <c r="DX102" s="21"/>
      <c r="DY102" s="21"/>
      <c r="DZ102" s="21"/>
      <c r="EA102" s="21"/>
      <c r="EB102" s="21"/>
      <c r="EC102" s="21"/>
      <c r="ED102" s="21"/>
      <c r="EE102" s="21"/>
      <c r="EF102" s="21"/>
      <c r="EG102" s="21"/>
      <c r="EH102" s="21"/>
      <c r="EI102" s="21"/>
      <c r="EJ102" s="21"/>
      <c r="EK102" s="21"/>
      <c r="EL102" s="21"/>
      <c r="EM102" s="21"/>
      <c r="EN102" s="21"/>
      <c r="EO102" s="21"/>
      <c r="EP102" s="21"/>
      <c r="EQ102" s="21"/>
      <c r="ER102" s="21"/>
      <c r="ES102" s="21"/>
      <c r="ET102" s="21"/>
      <c r="EU102" s="21"/>
      <c r="EV102" s="21"/>
      <c r="EW102" s="21"/>
      <c r="EX102" s="21"/>
      <c r="EY102" s="21"/>
    </row>
    <row r="103" spans="1:155" s="11" customFormat="1" x14ac:dyDescent="0.3">
      <c r="A103" s="21"/>
      <c r="B103" s="22" t="s">
        <v>990</v>
      </c>
      <c r="C103" s="21" t="s">
        <v>193</v>
      </c>
      <c r="D103" s="21" t="s">
        <v>201</v>
      </c>
      <c r="E103" s="32">
        <v>8</v>
      </c>
      <c r="F103" s="22" t="s">
        <v>9</v>
      </c>
      <c r="G103" s="21"/>
      <c r="H103" s="21"/>
      <c r="I103" s="21" t="s">
        <v>234</v>
      </c>
      <c r="J103" s="21" t="s">
        <v>9</v>
      </c>
      <c r="K103" s="21" t="s">
        <v>201</v>
      </c>
      <c r="L103" s="22" t="s">
        <v>987</v>
      </c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  <c r="BQ103" s="21"/>
      <c r="BR103" s="21"/>
      <c r="BS103" s="21"/>
      <c r="BT103" s="21"/>
      <c r="BU103" s="21"/>
      <c r="BV103" s="21"/>
      <c r="BW103" s="21"/>
      <c r="BX103" s="21"/>
      <c r="BY103" s="21"/>
      <c r="BZ103" s="21"/>
      <c r="CA103" s="21"/>
      <c r="CB103" s="21"/>
      <c r="CC103" s="21"/>
      <c r="CD103" s="21"/>
      <c r="CE103" s="21"/>
      <c r="CF103" s="21"/>
      <c r="CG103" s="21"/>
      <c r="CH103" s="21"/>
      <c r="CI103" s="21"/>
      <c r="CJ103" s="21"/>
      <c r="CK103" s="21"/>
      <c r="CL103" s="21"/>
      <c r="CM103" s="21"/>
      <c r="CN103" s="21"/>
      <c r="CO103" s="21"/>
      <c r="CP103" s="21"/>
      <c r="CQ103" s="21"/>
      <c r="CR103" s="21"/>
      <c r="CS103" s="21"/>
      <c r="CT103" s="21"/>
      <c r="CU103" s="21"/>
      <c r="CV103" s="21"/>
      <c r="CW103" s="21"/>
      <c r="CX103" s="21"/>
      <c r="CY103" s="21"/>
      <c r="CZ103" s="21"/>
      <c r="DA103" s="21"/>
      <c r="DB103" s="21"/>
      <c r="DC103" s="21"/>
      <c r="DD103" s="21"/>
      <c r="DE103" s="21"/>
      <c r="DF103" s="21"/>
      <c r="DG103" s="21"/>
      <c r="DH103" s="21"/>
      <c r="DI103" s="21"/>
      <c r="DJ103" s="21"/>
      <c r="DK103" s="21"/>
      <c r="DL103" s="21"/>
      <c r="DM103" s="21"/>
      <c r="DN103" s="21"/>
      <c r="DO103" s="21"/>
      <c r="DP103" s="21"/>
      <c r="DQ103" s="21"/>
      <c r="DR103" s="21"/>
      <c r="DS103" s="21"/>
      <c r="DT103" s="21"/>
      <c r="DU103" s="21"/>
      <c r="DV103" s="21"/>
      <c r="DW103" s="21"/>
      <c r="DX103" s="21"/>
      <c r="DY103" s="21"/>
      <c r="DZ103" s="21"/>
      <c r="EA103" s="21"/>
      <c r="EB103" s="21"/>
      <c r="EC103" s="21"/>
      <c r="ED103" s="21"/>
      <c r="EE103" s="21"/>
      <c r="EF103" s="21"/>
      <c r="EG103" s="21"/>
      <c r="EH103" s="21"/>
      <c r="EI103" s="21"/>
      <c r="EJ103" s="21"/>
      <c r="EK103" s="21"/>
      <c r="EL103" s="21"/>
      <c r="EM103" s="21"/>
      <c r="EN103" s="21"/>
      <c r="EO103" s="21"/>
      <c r="EP103" s="21"/>
      <c r="EQ103" s="21"/>
      <c r="ER103" s="21"/>
      <c r="ES103" s="21"/>
      <c r="ET103" s="21"/>
      <c r="EU103" s="21"/>
      <c r="EV103" s="21"/>
      <c r="EW103" s="21"/>
      <c r="EX103" s="21"/>
      <c r="EY103" s="21"/>
    </row>
    <row r="104" spans="1:155" s="11" customFormat="1" x14ac:dyDescent="0.3">
      <c r="A104" s="21"/>
      <c r="B104" s="22" t="s">
        <v>990</v>
      </c>
      <c r="C104" s="21" t="s">
        <v>193</v>
      </c>
      <c r="D104" s="21" t="s">
        <v>202</v>
      </c>
      <c r="E104" s="32">
        <v>9</v>
      </c>
      <c r="F104" s="22" t="s">
        <v>9</v>
      </c>
      <c r="G104" s="21"/>
      <c r="H104" s="21"/>
      <c r="I104" s="21" t="s">
        <v>234</v>
      </c>
      <c r="J104" s="21" t="s">
        <v>9</v>
      </c>
      <c r="K104" s="21" t="s">
        <v>202</v>
      </c>
      <c r="L104" s="22" t="s">
        <v>987</v>
      </c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  <c r="BR104" s="21"/>
      <c r="BS104" s="21"/>
      <c r="BT104" s="21"/>
      <c r="BU104" s="21"/>
      <c r="BV104" s="21"/>
      <c r="BW104" s="21"/>
      <c r="BX104" s="21"/>
      <c r="BY104" s="21"/>
      <c r="BZ104" s="21"/>
      <c r="CA104" s="21"/>
      <c r="CB104" s="21"/>
      <c r="CC104" s="21"/>
      <c r="CD104" s="21"/>
      <c r="CE104" s="21"/>
      <c r="CF104" s="21"/>
      <c r="CG104" s="21"/>
      <c r="CH104" s="21"/>
      <c r="CI104" s="21"/>
      <c r="CJ104" s="21"/>
      <c r="CK104" s="21"/>
      <c r="CL104" s="21"/>
      <c r="CM104" s="21"/>
      <c r="CN104" s="21"/>
      <c r="CO104" s="21"/>
      <c r="CP104" s="21"/>
      <c r="CQ104" s="21"/>
      <c r="CR104" s="21"/>
      <c r="CS104" s="21"/>
      <c r="CT104" s="21"/>
      <c r="CU104" s="21"/>
      <c r="CV104" s="21"/>
      <c r="CW104" s="21"/>
      <c r="CX104" s="21"/>
      <c r="CY104" s="21"/>
      <c r="CZ104" s="21"/>
      <c r="DA104" s="21"/>
      <c r="DB104" s="21"/>
      <c r="DC104" s="21"/>
      <c r="DD104" s="21"/>
      <c r="DE104" s="21"/>
      <c r="DF104" s="21"/>
      <c r="DG104" s="21"/>
      <c r="DH104" s="21"/>
      <c r="DI104" s="21"/>
      <c r="DJ104" s="21"/>
      <c r="DK104" s="21"/>
      <c r="DL104" s="21"/>
      <c r="DM104" s="21"/>
      <c r="DN104" s="21"/>
      <c r="DO104" s="21"/>
      <c r="DP104" s="21"/>
      <c r="DQ104" s="21"/>
      <c r="DR104" s="21"/>
      <c r="DS104" s="21"/>
      <c r="DT104" s="21"/>
      <c r="DU104" s="21"/>
      <c r="DV104" s="21"/>
      <c r="DW104" s="21"/>
      <c r="DX104" s="21"/>
      <c r="DY104" s="21"/>
      <c r="DZ104" s="21"/>
      <c r="EA104" s="21"/>
      <c r="EB104" s="21"/>
      <c r="EC104" s="21"/>
      <c r="ED104" s="21"/>
      <c r="EE104" s="21"/>
      <c r="EF104" s="21"/>
      <c r="EG104" s="21"/>
      <c r="EH104" s="21"/>
      <c r="EI104" s="21"/>
      <c r="EJ104" s="21"/>
      <c r="EK104" s="21"/>
      <c r="EL104" s="21"/>
      <c r="EM104" s="21"/>
      <c r="EN104" s="21"/>
      <c r="EO104" s="21"/>
      <c r="EP104" s="21"/>
      <c r="EQ104" s="21"/>
      <c r="ER104" s="21"/>
      <c r="ES104" s="21"/>
      <c r="ET104" s="21"/>
      <c r="EU104" s="21"/>
      <c r="EV104" s="21"/>
      <c r="EW104" s="21"/>
      <c r="EX104" s="21"/>
      <c r="EY104" s="21"/>
    </row>
    <row r="105" spans="1:155" s="11" customFormat="1" x14ac:dyDescent="0.3">
      <c r="A105" s="21"/>
      <c r="B105" s="22" t="s">
        <v>990</v>
      </c>
      <c r="C105" s="21" t="s">
        <v>193</v>
      </c>
      <c r="D105" s="21" t="s">
        <v>203</v>
      </c>
      <c r="E105" s="32">
        <v>10</v>
      </c>
      <c r="F105" s="22" t="s">
        <v>9</v>
      </c>
      <c r="G105" s="21"/>
      <c r="H105" s="21"/>
      <c r="I105" s="21" t="s">
        <v>234</v>
      </c>
      <c r="J105" s="21" t="s">
        <v>9</v>
      </c>
      <c r="K105" s="21" t="s">
        <v>203</v>
      </c>
      <c r="L105" s="22" t="s">
        <v>987</v>
      </c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1"/>
      <c r="BL105" s="21"/>
      <c r="BM105" s="21"/>
      <c r="BN105" s="21"/>
      <c r="BO105" s="21"/>
      <c r="BP105" s="21"/>
      <c r="BQ105" s="21"/>
      <c r="BR105" s="21"/>
      <c r="BS105" s="21"/>
      <c r="BT105" s="21"/>
      <c r="BU105" s="21"/>
      <c r="BV105" s="21"/>
      <c r="BW105" s="21"/>
      <c r="BX105" s="21"/>
      <c r="BY105" s="21"/>
      <c r="BZ105" s="21"/>
      <c r="CA105" s="21"/>
      <c r="CB105" s="21"/>
      <c r="CC105" s="21"/>
      <c r="CD105" s="21"/>
      <c r="CE105" s="21"/>
      <c r="CF105" s="21"/>
      <c r="CG105" s="21"/>
      <c r="CH105" s="21"/>
      <c r="CI105" s="21"/>
      <c r="CJ105" s="21"/>
      <c r="CK105" s="21"/>
      <c r="CL105" s="21"/>
      <c r="CM105" s="21"/>
      <c r="CN105" s="21"/>
      <c r="CO105" s="21"/>
      <c r="CP105" s="21"/>
      <c r="CQ105" s="21"/>
      <c r="CR105" s="21"/>
      <c r="CS105" s="21"/>
      <c r="CT105" s="21"/>
      <c r="CU105" s="21"/>
      <c r="CV105" s="21"/>
      <c r="CW105" s="21"/>
      <c r="CX105" s="21"/>
      <c r="CY105" s="21"/>
      <c r="CZ105" s="21"/>
      <c r="DA105" s="21"/>
      <c r="DB105" s="21"/>
      <c r="DC105" s="21"/>
      <c r="DD105" s="21"/>
      <c r="DE105" s="21"/>
      <c r="DF105" s="21"/>
      <c r="DG105" s="21"/>
      <c r="DH105" s="21"/>
      <c r="DI105" s="21"/>
      <c r="DJ105" s="21"/>
      <c r="DK105" s="21"/>
      <c r="DL105" s="21"/>
      <c r="DM105" s="21"/>
      <c r="DN105" s="21"/>
      <c r="DO105" s="21"/>
      <c r="DP105" s="21"/>
      <c r="DQ105" s="21"/>
      <c r="DR105" s="21"/>
      <c r="DS105" s="21"/>
      <c r="DT105" s="21"/>
      <c r="DU105" s="21"/>
      <c r="DV105" s="21"/>
      <c r="DW105" s="21"/>
      <c r="DX105" s="21"/>
      <c r="DY105" s="21"/>
      <c r="DZ105" s="21"/>
      <c r="EA105" s="21"/>
      <c r="EB105" s="21"/>
      <c r="EC105" s="21"/>
      <c r="ED105" s="21"/>
      <c r="EE105" s="21"/>
      <c r="EF105" s="21"/>
      <c r="EG105" s="21"/>
      <c r="EH105" s="21"/>
      <c r="EI105" s="21"/>
      <c r="EJ105" s="21"/>
      <c r="EK105" s="21"/>
      <c r="EL105" s="21"/>
      <c r="EM105" s="21"/>
      <c r="EN105" s="21"/>
      <c r="EO105" s="21"/>
      <c r="EP105" s="21"/>
      <c r="EQ105" s="21"/>
      <c r="ER105" s="21"/>
      <c r="ES105" s="21"/>
      <c r="ET105" s="21"/>
      <c r="EU105" s="21"/>
      <c r="EV105" s="21"/>
      <c r="EW105" s="21"/>
      <c r="EX105" s="21"/>
      <c r="EY105" s="21"/>
    </row>
    <row r="106" spans="1:155" s="11" customFormat="1" x14ac:dyDescent="0.3">
      <c r="A106" s="21"/>
      <c r="B106" s="22" t="s">
        <v>990</v>
      </c>
      <c r="C106" s="21" t="s">
        <v>193</v>
      </c>
      <c r="D106" s="21" t="s">
        <v>204</v>
      </c>
      <c r="E106" s="32">
        <v>11</v>
      </c>
      <c r="F106" s="22" t="s">
        <v>9</v>
      </c>
      <c r="G106" s="21"/>
      <c r="H106" s="21"/>
      <c r="I106" s="21" t="s">
        <v>234</v>
      </c>
      <c r="J106" s="21" t="s">
        <v>9</v>
      </c>
      <c r="K106" s="21" t="s">
        <v>204</v>
      </c>
      <c r="L106" s="22" t="s">
        <v>987</v>
      </c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  <c r="AY106" s="21"/>
      <c r="AZ106" s="21"/>
      <c r="BA106" s="21"/>
      <c r="BB106" s="21"/>
      <c r="BC106" s="21"/>
      <c r="BD106" s="21"/>
      <c r="BE106" s="21"/>
      <c r="BF106" s="21"/>
      <c r="BG106" s="21"/>
      <c r="BH106" s="21"/>
      <c r="BI106" s="21"/>
      <c r="BJ106" s="21"/>
      <c r="BK106" s="21"/>
      <c r="BL106" s="21"/>
      <c r="BM106" s="21"/>
      <c r="BN106" s="21"/>
      <c r="BO106" s="21"/>
      <c r="BP106" s="21"/>
      <c r="BQ106" s="21"/>
      <c r="BR106" s="21"/>
      <c r="BS106" s="21"/>
      <c r="BT106" s="21"/>
      <c r="BU106" s="21"/>
      <c r="BV106" s="21"/>
      <c r="BW106" s="21"/>
      <c r="BX106" s="21"/>
      <c r="BY106" s="21"/>
      <c r="BZ106" s="21"/>
      <c r="CA106" s="21"/>
      <c r="CB106" s="21"/>
      <c r="CC106" s="21"/>
      <c r="CD106" s="21"/>
      <c r="CE106" s="21"/>
      <c r="CF106" s="21"/>
      <c r="CG106" s="21"/>
      <c r="CH106" s="21"/>
      <c r="CI106" s="21"/>
      <c r="CJ106" s="21"/>
      <c r="CK106" s="21"/>
      <c r="CL106" s="21"/>
      <c r="CM106" s="21"/>
      <c r="CN106" s="21"/>
      <c r="CO106" s="21"/>
      <c r="CP106" s="21"/>
      <c r="CQ106" s="21"/>
      <c r="CR106" s="21"/>
      <c r="CS106" s="21"/>
      <c r="CT106" s="21"/>
      <c r="CU106" s="21"/>
      <c r="CV106" s="21"/>
      <c r="CW106" s="21"/>
      <c r="CX106" s="21"/>
      <c r="CY106" s="21"/>
      <c r="CZ106" s="21"/>
      <c r="DA106" s="21"/>
      <c r="DB106" s="21"/>
      <c r="DC106" s="21"/>
      <c r="DD106" s="21"/>
      <c r="DE106" s="21"/>
      <c r="DF106" s="21"/>
      <c r="DG106" s="21"/>
      <c r="DH106" s="21"/>
      <c r="DI106" s="21"/>
      <c r="DJ106" s="21"/>
      <c r="DK106" s="21"/>
      <c r="DL106" s="21"/>
      <c r="DM106" s="21"/>
      <c r="DN106" s="21"/>
      <c r="DO106" s="21"/>
      <c r="DP106" s="21"/>
      <c r="DQ106" s="21"/>
      <c r="DR106" s="21"/>
      <c r="DS106" s="21"/>
      <c r="DT106" s="21"/>
      <c r="DU106" s="21"/>
      <c r="DV106" s="21"/>
      <c r="DW106" s="21"/>
      <c r="DX106" s="21"/>
      <c r="DY106" s="21"/>
      <c r="DZ106" s="21"/>
      <c r="EA106" s="21"/>
      <c r="EB106" s="21"/>
      <c r="EC106" s="21"/>
      <c r="ED106" s="21"/>
      <c r="EE106" s="21"/>
      <c r="EF106" s="21"/>
      <c r="EG106" s="21"/>
      <c r="EH106" s="21"/>
      <c r="EI106" s="21"/>
      <c r="EJ106" s="21"/>
      <c r="EK106" s="21"/>
      <c r="EL106" s="21"/>
      <c r="EM106" s="21"/>
      <c r="EN106" s="21"/>
      <c r="EO106" s="21"/>
      <c r="EP106" s="21"/>
      <c r="EQ106" s="21"/>
      <c r="ER106" s="21"/>
      <c r="ES106" s="21"/>
      <c r="ET106" s="21"/>
      <c r="EU106" s="21"/>
      <c r="EV106" s="21"/>
      <c r="EW106" s="21"/>
      <c r="EX106" s="21"/>
      <c r="EY106" s="21"/>
    </row>
    <row r="107" spans="1:155" s="11" customFormat="1" x14ac:dyDescent="0.3">
      <c r="A107" s="21"/>
      <c r="B107" s="22" t="s">
        <v>990</v>
      </c>
      <c r="C107" s="21" t="s">
        <v>193</v>
      </c>
      <c r="D107" s="21" t="s">
        <v>205</v>
      </c>
      <c r="E107" s="32">
        <v>12</v>
      </c>
      <c r="F107" s="22" t="s">
        <v>9</v>
      </c>
      <c r="G107" s="21"/>
      <c r="H107" s="21"/>
      <c r="I107" s="21" t="s">
        <v>234</v>
      </c>
      <c r="J107" s="21" t="s">
        <v>9</v>
      </c>
      <c r="K107" s="21" t="s">
        <v>205</v>
      </c>
      <c r="L107" s="22" t="s">
        <v>987</v>
      </c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1"/>
      <c r="BT107" s="21"/>
      <c r="BU107" s="21"/>
      <c r="BV107" s="21"/>
      <c r="BW107" s="21"/>
      <c r="BX107" s="21"/>
      <c r="BY107" s="21"/>
      <c r="BZ107" s="21"/>
      <c r="CA107" s="21"/>
      <c r="CB107" s="21"/>
      <c r="CC107" s="21"/>
      <c r="CD107" s="21"/>
      <c r="CE107" s="21"/>
      <c r="CF107" s="21"/>
      <c r="CG107" s="21"/>
      <c r="CH107" s="21"/>
      <c r="CI107" s="21"/>
      <c r="CJ107" s="21"/>
      <c r="CK107" s="21"/>
      <c r="CL107" s="21"/>
      <c r="CM107" s="21"/>
      <c r="CN107" s="21"/>
      <c r="CO107" s="21"/>
      <c r="CP107" s="21"/>
      <c r="CQ107" s="21"/>
      <c r="CR107" s="21"/>
      <c r="CS107" s="21"/>
      <c r="CT107" s="21"/>
      <c r="CU107" s="21"/>
      <c r="CV107" s="21"/>
      <c r="CW107" s="21"/>
      <c r="CX107" s="21"/>
      <c r="CY107" s="21"/>
      <c r="CZ107" s="21"/>
      <c r="DA107" s="21"/>
      <c r="DB107" s="21"/>
      <c r="DC107" s="21"/>
      <c r="DD107" s="21"/>
      <c r="DE107" s="21"/>
      <c r="DF107" s="21"/>
      <c r="DG107" s="21"/>
      <c r="DH107" s="21"/>
      <c r="DI107" s="21"/>
      <c r="DJ107" s="21"/>
      <c r="DK107" s="21"/>
      <c r="DL107" s="21"/>
      <c r="DM107" s="21"/>
      <c r="DN107" s="21"/>
      <c r="DO107" s="21"/>
      <c r="DP107" s="21"/>
      <c r="DQ107" s="21"/>
      <c r="DR107" s="21"/>
      <c r="DS107" s="21"/>
      <c r="DT107" s="21"/>
      <c r="DU107" s="21"/>
      <c r="DV107" s="21"/>
      <c r="DW107" s="21"/>
      <c r="DX107" s="21"/>
      <c r="DY107" s="21"/>
      <c r="DZ107" s="21"/>
      <c r="EA107" s="21"/>
      <c r="EB107" s="21"/>
      <c r="EC107" s="21"/>
      <c r="ED107" s="21"/>
      <c r="EE107" s="21"/>
      <c r="EF107" s="21"/>
      <c r="EG107" s="21"/>
      <c r="EH107" s="21"/>
      <c r="EI107" s="21"/>
      <c r="EJ107" s="21"/>
      <c r="EK107" s="21"/>
      <c r="EL107" s="21"/>
      <c r="EM107" s="21"/>
      <c r="EN107" s="21"/>
      <c r="EO107" s="21"/>
      <c r="EP107" s="21"/>
      <c r="EQ107" s="21"/>
      <c r="ER107" s="21"/>
      <c r="ES107" s="21"/>
      <c r="ET107" s="21"/>
      <c r="EU107" s="21"/>
      <c r="EV107" s="21"/>
      <c r="EW107" s="21"/>
      <c r="EX107" s="21"/>
      <c r="EY107" s="21"/>
    </row>
    <row r="108" spans="1:155" s="11" customFormat="1" x14ac:dyDescent="0.3">
      <c r="A108" s="21"/>
      <c r="B108" s="22" t="s">
        <v>990</v>
      </c>
      <c r="C108" s="21" t="s">
        <v>193</v>
      </c>
      <c r="D108" s="21" t="s">
        <v>206</v>
      </c>
      <c r="E108" s="32">
        <v>13</v>
      </c>
      <c r="F108" s="22" t="s">
        <v>9</v>
      </c>
      <c r="G108" s="21"/>
      <c r="H108" s="21"/>
      <c r="I108" s="21" t="s">
        <v>234</v>
      </c>
      <c r="J108" s="21" t="s">
        <v>9</v>
      </c>
      <c r="K108" s="21" t="s">
        <v>206</v>
      </c>
      <c r="L108" s="22" t="s">
        <v>987</v>
      </c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  <c r="BO108" s="21"/>
      <c r="BP108" s="21"/>
      <c r="BQ108" s="21"/>
      <c r="BR108" s="21"/>
      <c r="BS108" s="21"/>
      <c r="BT108" s="21"/>
      <c r="BU108" s="21"/>
      <c r="BV108" s="21"/>
      <c r="BW108" s="21"/>
      <c r="BX108" s="21"/>
      <c r="BY108" s="21"/>
      <c r="BZ108" s="21"/>
      <c r="CA108" s="21"/>
      <c r="CB108" s="21"/>
      <c r="CC108" s="21"/>
      <c r="CD108" s="21"/>
      <c r="CE108" s="21"/>
      <c r="CF108" s="21"/>
      <c r="CG108" s="21"/>
      <c r="CH108" s="21"/>
      <c r="CI108" s="21"/>
      <c r="CJ108" s="21"/>
      <c r="CK108" s="21"/>
      <c r="CL108" s="21"/>
      <c r="CM108" s="21"/>
      <c r="CN108" s="21"/>
      <c r="CO108" s="21"/>
      <c r="CP108" s="21"/>
      <c r="CQ108" s="21"/>
      <c r="CR108" s="21"/>
      <c r="CS108" s="21"/>
      <c r="CT108" s="21"/>
      <c r="CU108" s="21"/>
      <c r="CV108" s="21"/>
      <c r="CW108" s="21"/>
      <c r="CX108" s="21"/>
      <c r="CY108" s="21"/>
      <c r="CZ108" s="21"/>
      <c r="DA108" s="21"/>
      <c r="DB108" s="21"/>
      <c r="DC108" s="21"/>
      <c r="DD108" s="21"/>
      <c r="DE108" s="21"/>
      <c r="DF108" s="21"/>
      <c r="DG108" s="21"/>
      <c r="DH108" s="21"/>
      <c r="DI108" s="21"/>
      <c r="DJ108" s="21"/>
      <c r="DK108" s="21"/>
      <c r="DL108" s="21"/>
      <c r="DM108" s="21"/>
      <c r="DN108" s="21"/>
      <c r="DO108" s="21"/>
      <c r="DP108" s="21"/>
      <c r="DQ108" s="21"/>
      <c r="DR108" s="21"/>
      <c r="DS108" s="21"/>
      <c r="DT108" s="21"/>
      <c r="DU108" s="21"/>
      <c r="DV108" s="21"/>
      <c r="DW108" s="21"/>
      <c r="DX108" s="21"/>
      <c r="DY108" s="21"/>
      <c r="DZ108" s="21"/>
      <c r="EA108" s="21"/>
      <c r="EB108" s="21"/>
      <c r="EC108" s="21"/>
      <c r="ED108" s="21"/>
      <c r="EE108" s="21"/>
      <c r="EF108" s="21"/>
      <c r="EG108" s="21"/>
      <c r="EH108" s="21"/>
      <c r="EI108" s="21"/>
      <c r="EJ108" s="21"/>
      <c r="EK108" s="21"/>
      <c r="EL108" s="21"/>
      <c r="EM108" s="21"/>
      <c r="EN108" s="21"/>
      <c r="EO108" s="21"/>
      <c r="EP108" s="21"/>
      <c r="EQ108" s="21"/>
      <c r="ER108" s="21"/>
      <c r="ES108" s="21"/>
      <c r="ET108" s="21"/>
      <c r="EU108" s="21"/>
      <c r="EV108" s="21"/>
      <c r="EW108" s="21"/>
      <c r="EX108" s="21"/>
      <c r="EY108" s="21"/>
    </row>
    <row r="109" spans="1:155" s="11" customFormat="1" x14ac:dyDescent="0.3">
      <c r="A109" s="21"/>
      <c r="B109" s="22" t="s">
        <v>990</v>
      </c>
      <c r="C109" s="21" t="s">
        <v>193</v>
      </c>
      <c r="D109" s="21" t="s">
        <v>207</v>
      </c>
      <c r="E109" s="32">
        <v>14</v>
      </c>
      <c r="F109" s="22" t="s">
        <v>9</v>
      </c>
      <c r="G109" s="21"/>
      <c r="H109" s="21"/>
      <c r="I109" s="21" t="s">
        <v>234</v>
      </c>
      <c r="J109" s="21" t="s">
        <v>9</v>
      </c>
      <c r="K109" s="21" t="s">
        <v>207</v>
      </c>
      <c r="L109" s="22" t="s">
        <v>987</v>
      </c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  <c r="BO109" s="21"/>
      <c r="BP109" s="21"/>
      <c r="BQ109" s="21"/>
      <c r="BR109" s="21"/>
      <c r="BS109" s="21"/>
      <c r="BT109" s="21"/>
      <c r="BU109" s="21"/>
      <c r="BV109" s="21"/>
      <c r="BW109" s="21"/>
      <c r="BX109" s="21"/>
      <c r="BY109" s="21"/>
      <c r="BZ109" s="21"/>
      <c r="CA109" s="21"/>
      <c r="CB109" s="21"/>
      <c r="CC109" s="21"/>
      <c r="CD109" s="21"/>
      <c r="CE109" s="21"/>
      <c r="CF109" s="21"/>
      <c r="CG109" s="21"/>
      <c r="CH109" s="21"/>
      <c r="CI109" s="21"/>
      <c r="CJ109" s="21"/>
      <c r="CK109" s="21"/>
      <c r="CL109" s="21"/>
      <c r="CM109" s="21"/>
      <c r="CN109" s="21"/>
      <c r="CO109" s="21"/>
      <c r="CP109" s="21"/>
      <c r="CQ109" s="21"/>
      <c r="CR109" s="21"/>
      <c r="CS109" s="21"/>
      <c r="CT109" s="21"/>
      <c r="CU109" s="21"/>
      <c r="CV109" s="21"/>
      <c r="CW109" s="21"/>
      <c r="CX109" s="21"/>
      <c r="CY109" s="21"/>
      <c r="CZ109" s="21"/>
      <c r="DA109" s="21"/>
      <c r="DB109" s="21"/>
      <c r="DC109" s="21"/>
      <c r="DD109" s="21"/>
      <c r="DE109" s="21"/>
      <c r="DF109" s="21"/>
      <c r="DG109" s="21"/>
      <c r="DH109" s="21"/>
      <c r="DI109" s="21"/>
      <c r="DJ109" s="21"/>
      <c r="DK109" s="21"/>
      <c r="DL109" s="21"/>
      <c r="DM109" s="21"/>
      <c r="DN109" s="21"/>
      <c r="DO109" s="21"/>
      <c r="DP109" s="21"/>
      <c r="DQ109" s="21"/>
      <c r="DR109" s="21"/>
      <c r="DS109" s="21"/>
      <c r="DT109" s="21"/>
      <c r="DU109" s="21"/>
      <c r="DV109" s="21"/>
      <c r="DW109" s="21"/>
      <c r="DX109" s="21"/>
      <c r="DY109" s="21"/>
      <c r="DZ109" s="21"/>
      <c r="EA109" s="21"/>
      <c r="EB109" s="21"/>
      <c r="EC109" s="21"/>
      <c r="ED109" s="21"/>
      <c r="EE109" s="21"/>
      <c r="EF109" s="21"/>
      <c r="EG109" s="21"/>
      <c r="EH109" s="21"/>
      <c r="EI109" s="21"/>
      <c r="EJ109" s="21"/>
      <c r="EK109" s="21"/>
      <c r="EL109" s="21"/>
      <c r="EM109" s="21"/>
      <c r="EN109" s="21"/>
      <c r="EO109" s="21"/>
      <c r="EP109" s="21"/>
      <c r="EQ109" s="21"/>
      <c r="ER109" s="21"/>
      <c r="ES109" s="21"/>
      <c r="ET109" s="21"/>
      <c r="EU109" s="21"/>
      <c r="EV109" s="21"/>
      <c r="EW109" s="21"/>
      <c r="EX109" s="21"/>
      <c r="EY109" s="21"/>
    </row>
    <row r="110" spans="1:155" s="11" customFormat="1" x14ac:dyDescent="0.3">
      <c r="A110" s="21"/>
      <c r="B110" s="22" t="s">
        <v>990</v>
      </c>
      <c r="C110" s="21" t="s">
        <v>193</v>
      </c>
      <c r="D110" s="21" t="s">
        <v>208</v>
      </c>
      <c r="E110" s="32">
        <v>15</v>
      </c>
      <c r="F110" s="22" t="s">
        <v>9</v>
      </c>
      <c r="G110" s="21"/>
      <c r="H110" s="21"/>
      <c r="I110" s="21" t="s">
        <v>234</v>
      </c>
      <c r="J110" s="21" t="s">
        <v>9</v>
      </c>
      <c r="K110" s="21" t="s">
        <v>208</v>
      </c>
      <c r="L110" s="22" t="s">
        <v>987</v>
      </c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1"/>
      <c r="BI110" s="21"/>
      <c r="BJ110" s="21"/>
      <c r="BK110" s="21"/>
      <c r="BL110" s="21"/>
      <c r="BM110" s="21"/>
      <c r="BN110" s="21"/>
      <c r="BO110" s="21"/>
      <c r="BP110" s="21"/>
      <c r="BQ110" s="21"/>
      <c r="BR110" s="21"/>
      <c r="BS110" s="21"/>
      <c r="BT110" s="21"/>
      <c r="BU110" s="21"/>
      <c r="BV110" s="21"/>
      <c r="BW110" s="21"/>
      <c r="BX110" s="21"/>
      <c r="BY110" s="21"/>
      <c r="BZ110" s="21"/>
      <c r="CA110" s="21"/>
      <c r="CB110" s="21"/>
      <c r="CC110" s="21"/>
      <c r="CD110" s="21"/>
      <c r="CE110" s="21"/>
      <c r="CF110" s="21"/>
      <c r="CG110" s="21"/>
      <c r="CH110" s="21"/>
      <c r="CI110" s="21"/>
      <c r="CJ110" s="21"/>
      <c r="CK110" s="21"/>
      <c r="CL110" s="21"/>
      <c r="CM110" s="21"/>
      <c r="CN110" s="21"/>
      <c r="CO110" s="21"/>
      <c r="CP110" s="21"/>
      <c r="CQ110" s="21"/>
      <c r="CR110" s="21"/>
      <c r="CS110" s="21"/>
      <c r="CT110" s="21"/>
      <c r="CU110" s="21"/>
      <c r="CV110" s="21"/>
      <c r="CW110" s="21"/>
      <c r="CX110" s="21"/>
      <c r="CY110" s="21"/>
      <c r="CZ110" s="21"/>
      <c r="DA110" s="21"/>
      <c r="DB110" s="21"/>
      <c r="DC110" s="21"/>
      <c r="DD110" s="21"/>
      <c r="DE110" s="21"/>
      <c r="DF110" s="21"/>
      <c r="DG110" s="21"/>
      <c r="DH110" s="21"/>
      <c r="DI110" s="21"/>
      <c r="DJ110" s="21"/>
      <c r="DK110" s="21"/>
      <c r="DL110" s="21"/>
      <c r="DM110" s="21"/>
      <c r="DN110" s="21"/>
      <c r="DO110" s="21"/>
      <c r="DP110" s="21"/>
      <c r="DQ110" s="21"/>
      <c r="DR110" s="21"/>
      <c r="DS110" s="21"/>
      <c r="DT110" s="21"/>
      <c r="DU110" s="21"/>
      <c r="DV110" s="21"/>
      <c r="DW110" s="21"/>
      <c r="DX110" s="21"/>
      <c r="DY110" s="21"/>
      <c r="DZ110" s="21"/>
      <c r="EA110" s="21"/>
      <c r="EB110" s="21"/>
      <c r="EC110" s="21"/>
      <c r="ED110" s="21"/>
      <c r="EE110" s="21"/>
      <c r="EF110" s="21"/>
      <c r="EG110" s="21"/>
      <c r="EH110" s="21"/>
      <c r="EI110" s="21"/>
      <c r="EJ110" s="21"/>
      <c r="EK110" s="21"/>
      <c r="EL110" s="21"/>
      <c r="EM110" s="21"/>
      <c r="EN110" s="21"/>
      <c r="EO110" s="21"/>
      <c r="EP110" s="21"/>
      <c r="EQ110" s="21"/>
      <c r="ER110" s="21"/>
      <c r="ES110" s="21"/>
      <c r="ET110" s="21"/>
      <c r="EU110" s="21"/>
      <c r="EV110" s="21"/>
      <c r="EW110" s="21"/>
      <c r="EX110" s="21"/>
      <c r="EY110" s="21"/>
    </row>
    <row r="111" spans="1:155" s="11" customFormat="1" x14ac:dyDescent="0.3">
      <c r="A111" s="21"/>
      <c r="B111" s="22" t="s">
        <v>990</v>
      </c>
      <c r="C111" s="21" t="s">
        <v>193</v>
      </c>
      <c r="D111" s="21" t="s">
        <v>209</v>
      </c>
      <c r="E111" s="32">
        <v>16</v>
      </c>
      <c r="F111" s="22" t="s">
        <v>9</v>
      </c>
      <c r="G111" s="21"/>
      <c r="H111" s="21"/>
      <c r="I111" s="21" t="s">
        <v>234</v>
      </c>
      <c r="J111" s="21" t="s">
        <v>9</v>
      </c>
      <c r="K111" s="21" t="s">
        <v>209</v>
      </c>
      <c r="L111" s="22" t="s">
        <v>987</v>
      </c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  <c r="BS111" s="21"/>
      <c r="BT111" s="21"/>
      <c r="BU111" s="21"/>
      <c r="BV111" s="21"/>
      <c r="BW111" s="21"/>
      <c r="BX111" s="21"/>
      <c r="BY111" s="21"/>
      <c r="BZ111" s="21"/>
      <c r="CA111" s="21"/>
      <c r="CB111" s="21"/>
      <c r="CC111" s="21"/>
      <c r="CD111" s="21"/>
      <c r="CE111" s="21"/>
      <c r="CF111" s="21"/>
      <c r="CG111" s="21"/>
      <c r="CH111" s="21"/>
      <c r="CI111" s="21"/>
      <c r="CJ111" s="21"/>
      <c r="CK111" s="21"/>
      <c r="CL111" s="21"/>
      <c r="CM111" s="21"/>
      <c r="CN111" s="21"/>
      <c r="CO111" s="21"/>
      <c r="CP111" s="21"/>
      <c r="CQ111" s="21"/>
      <c r="CR111" s="21"/>
      <c r="CS111" s="21"/>
      <c r="CT111" s="21"/>
      <c r="CU111" s="21"/>
      <c r="CV111" s="21"/>
      <c r="CW111" s="21"/>
      <c r="CX111" s="21"/>
      <c r="CY111" s="21"/>
      <c r="CZ111" s="21"/>
      <c r="DA111" s="21"/>
      <c r="DB111" s="21"/>
      <c r="DC111" s="21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1"/>
      <c r="DQ111" s="21"/>
      <c r="DR111" s="21"/>
      <c r="DS111" s="21"/>
      <c r="DT111" s="21"/>
      <c r="DU111" s="21"/>
      <c r="DV111" s="21"/>
      <c r="DW111" s="21"/>
      <c r="DX111" s="21"/>
      <c r="DY111" s="21"/>
      <c r="DZ111" s="21"/>
      <c r="EA111" s="21"/>
      <c r="EB111" s="21"/>
      <c r="EC111" s="21"/>
      <c r="ED111" s="21"/>
      <c r="EE111" s="21"/>
      <c r="EF111" s="21"/>
      <c r="EG111" s="21"/>
      <c r="EH111" s="21"/>
      <c r="EI111" s="21"/>
      <c r="EJ111" s="21"/>
      <c r="EK111" s="21"/>
      <c r="EL111" s="21"/>
      <c r="EM111" s="21"/>
      <c r="EN111" s="21"/>
      <c r="EO111" s="21"/>
      <c r="EP111" s="21"/>
      <c r="EQ111" s="21"/>
      <c r="ER111" s="21"/>
      <c r="ES111" s="21"/>
      <c r="ET111" s="21"/>
      <c r="EU111" s="21"/>
      <c r="EV111" s="21"/>
      <c r="EW111" s="21"/>
      <c r="EX111" s="21"/>
      <c r="EY111" s="21"/>
    </row>
    <row r="112" spans="1:155" s="11" customFormat="1" x14ac:dyDescent="0.3">
      <c r="A112" s="21"/>
      <c r="B112" s="22" t="s">
        <v>990</v>
      </c>
      <c r="C112" s="21" t="s">
        <v>193</v>
      </c>
      <c r="D112" s="21" t="s">
        <v>210</v>
      </c>
      <c r="E112" s="32">
        <v>17</v>
      </c>
      <c r="F112" s="22" t="s">
        <v>9</v>
      </c>
      <c r="G112" s="21"/>
      <c r="H112" s="21"/>
      <c r="I112" s="21" t="s">
        <v>234</v>
      </c>
      <c r="J112" s="21" t="s">
        <v>9</v>
      </c>
      <c r="K112" s="21" t="s">
        <v>210</v>
      </c>
      <c r="L112" s="22" t="s">
        <v>987</v>
      </c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  <c r="BQ112" s="21"/>
      <c r="BR112" s="21"/>
      <c r="BS112" s="21"/>
      <c r="BT112" s="21"/>
      <c r="BU112" s="21"/>
      <c r="BV112" s="21"/>
      <c r="BW112" s="21"/>
      <c r="BX112" s="21"/>
      <c r="BY112" s="21"/>
      <c r="BZ112" s="21"/>
      <c r="CA112" s="21"/>
      <c r="CB112" s="21"/>
      <c r="CC112" s="21"/>
      <c r="CD112" s="21"/>
      <c r="CE112" s="21"/>
      <c r="CF112" s="21"/>
      <c r="CG112" s="21"/>
      <c r="CH112" s="21"/>
      <c r="CI112" s="21"/>
      <c r="CJ112" s="21"/>
      <c r="CK112" s="21"/>
      <c r="CL112" s="21"/>
      <c r="CM112" s="21"/>
      <c r="CN112" s="21"/>
      <c r="CO112" s="21"/>
      <c r="CP112" s="21"/>
      <c r="CQ112" s="21"/>
      <c r="CR112" s="21"/>
      <c r="CS112" s="21"/>
      <c r="CT112" s="21"/>
      <c r="CU112" s="21"/>
      <c r="CV112" s="21"/>
      <c r="CW112" s="21"/>
      <c r="CX112" s="21"/>
      <c r="CY112" s="21"/>
      <c r="CZ112" s="21"/>
      <c r="DA112" s="21"/>
      <c r="DB112" s="21"/>
      <c r="DC112" s="21"/>
      <c r="DD112" s="21"/>
      <c r="DE112" s="21"/>
      <c r="DF112" s="21"/>
      <c r="DG112" s="21"/>
      <c r="DH112" s="21"/>
      <c r="DI112" s="21"/>
      <c r="DJ112" s="21"/>
      <c r="DK112" s="21"/>
      <c r="DL112" s="21"/>
      <c r="DM112" s="21"/>
      <c r="DN112" s="21"/>
      <c r="DO112" s="21"/>
      <c r="DP112" s="21"/>
      <c r="DQ112" s="21"/>
      <c r="DR112" s="21"/>
      <c r="DS112" s="21"/>
      <c r="DT112" s="21"/>
      <c r="DU112" s="21"/>
      <c r="DV112" s="21"/>
      <c r="DW112" s="21"/>
      <c r="DX112" s="21"/>
      <c r="DY112" s="21"/>
      <c r="DZ112" s="21"/>
      <c r="EA112" s="21"/>
      <c r="EB112" s="21"/>
      <c r="EC112" s="21"/>
      <c r="ED112" s="21"/>
      <c r="EE112" s="21"/>
      <c r="EF112" s="21"/>
      <c r="EG112" s="21"/>
      <c r="EH112" s="21"/>
      <c r="EI112" s="21"/>
      <c r="EJ112" s="21"/>
      <c r="EK112" s="21"/>
      <c r="EL112" s="21"/>
      <c r="EM112" s="21"/>
      <c r="EN112" s="21"/>
      <c r="EO112" s="21"/>
      <c r="EP112" s="21"/>
      <c r="EQ112" s="21"/>
      <c r="ER112" s="21"/>
      <c r="ES112" s="21"/>
      <c r="ET112" s="21"/>
      <c r="EU112" s="21"/>
      <c r="EV112" s="21"/>
      <c r="EW112" s="21"/>
      <c r="EX112" s="21"/>
      <c r="EY112" s="21"/>
    </row>
    <row r="113" spans="1:155" s="11" customFormat="1" x14ac:dyDescent="0.3">
      <c r="A113" s="21"/>
      <c r="B113" s="22" t="s">
        <v>990</v>
      </c>
      <c r="C113" s="21" t="s">
        <v>193</v>
      </c>
      <c r="D113" s="21" t="s">
        <v>211</v>
      </c>
      <c r="E113" s="32">
        <v>18</v>
      </c>
      <c r="F113" s="22" t="s">
        <v>9</v>
      </c>
      <c r="G113" s="21"/>
      <c r="H113" s="21"/>
      <c r="I113" s="21" t="s">
        <v>234</v>
      </c>
      <c r="J113" s="21" t="s">
        <v>9</v>
      </c>
      <c r="K113" s="21" t="s">
        <v>211</v>
      </c>
      <c r="L113" s="22" t="s">
        <v>987</v>
      </c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  <c r="BQ113" s="21"/>
      <c r="BR113" s="21"/>
      <c r="BS113" s="21"/>
      <c r="BT113" s="21"/>
      <c r="BU113" s="21"/>
      <c r="BV113" s="21"/>
      <c r="BW113" s="21"/>
      <c r="BX113" s="21"/>
      <c r="BY113" s="21"/>
      <c r="BZ113" s="21"/>
      <c r="CA113" s="21"/>
      <c r="CB113" s="21"/>
      <c r="CC113" s="21"/>
      <c r="CD113" s="21"/>
      <c r="CE113" s="21"/>
      <c r="CF113" s="21"/>
      <c r="CG113" s="21"/>
      <c r="CH113" s="21"/>
      <c r="CI113" s="21"/>
      <c r="CJ113" s="21"/>
      <c r="CK113" s="21"/>
      <c r="CL113" s="21"/>
      <c r="CM113" s="21"/>
      <c r="CN113" s="21"/>
      <c r="CO113" s="21"/>
      <c r="CP113" s="21"/>
      <c r="CQ113" s="21"/>
      <c r="CR113" s="21"/>
      <c r="CS113" s="21"/>
      <c r="CT113" s="21"/>
      <c r="CU113" s="21"/>
      <c r="CV113" s="21"/>
      <c r="CW113" s="21"/>
      <c r="CX113" s="21"/>
      <c r="CY113" s="21"/>
      <c r="CZ113" s="21"/>
      <c r="DA113" s="21"/>
      <c r="DB113" s="21"/>
      <c r="DC113" s="21"/>
      <c r="DD113" s="21"/>
      <c r="DE113" s="21"/>
      <c r="DF113" s="21"/>
      <c r="DG113" s="21"/>
      <c r="DH113" s="21"/>
      <c r="DI113" s="21"/>
      <c r="DJ113" s="21"/>
      <c r="DK113" s="21"/>
      <c r="DL113" s="21"/>
      <c r="DM113" s="21"/>
      <c r="DN113" s="21"/>
      <c r="DO113" s="21"/>
      <c r="DP113" s="21"/>
      <c r="DQ113" s="21"/>
      <c r="DR113" s="21"/>
      <c r="DS113" s="21"/>
      <c r="DT113" s="21"/>
      <c r="DU113" s="21"/>
      <c r="DV113" s="21"/>
      <c r="DW113" s="21"/>
      <c r="DX113" s="21"/>
      <c r="DY113" s="21"/>
      <c r="DZ113" s="21"/>
      <c r="EA113" s="21"/>
      <c r="EB113" s="21"/>
      <c r="EC113" s="21"/>
      <c r="ED113" s="21"/>
      <c r="EE113" s="21"/>
      <c r="EF113" s="21"/>
      <c r="EG113" s="21"/>
      <c r="EH113" s="21"/>
      <c r="EI113" s="21"/>
      <c r="EJ113" s="21"/>
      <c r="EK113" s="21"/>
      <c r="EL113" s="21"/>
      <c r="EM113" s="21"/>
      <c r="EN113" s="21"/>
      <c r="EO113" s="21"/>
      <c r="EP113" s="21"/>
      <c r="EQ113" s="21"/>
      <c r="ER113" s="21"/>
      <c r="ES113" s="21"/>
      <c r="ET113" s="21"/>
      <c r="EU113" s="21"/>
      <c r="EV113" s="21"/>
      <c r="EW113" s="21"/>
      <c r="EX113" s="21"/>
      <c r="EY113" s="21"/>
    </row>
    <row r="114" spans="1:155" s="11" customFormat="1" x14ac:dyDescent="0.3">
      <c r="A114" s="21"/>
      <c r="B114" s="22" t="s">
        <v>990</v>
      </c>
      <c r="C114" s="21" t="s">
        <v>193</v>
      </c>
      <c r="D114" s="21" t="s">
        <v>212</v>
      </c>
      <c r="E114" s="32">
        <v>19</v>
      </c>
      <c r="F114" s="22" t="s">
        <v>9</v>
      </c>
      <c r="G114" s="21"/>
      <c r="H114" s="21"/>
      <c r="I114" s="21" t="s">
        <v>234</v>
      </c>
      <c r="J114" s="21" t="s">
        <v>9</v>
      </c>
      <c r="K114" s="21" t="s">
        <v>212</v>
      </c>
      <c r="L114" s="22" t="s">
        <v>987</v>
      </c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  <c r="AZ114" s="21"/>
      <c r="BA114" s="21"/>
      <c r="BB114" s="21"/>
      <c r="BC114" s="21"/>
      <c r="BD114" s="21"/>
      <c r="BE114" s="21"/>
      <c r="BF114" s="21"/>
      <c r="BG114" s="21"/>
      <c r="BH114" s="21"/>
      <c r="BI114" s="21"/>
      <c r="BJ114" s="21"/>
      <c r="BK114" s="21"/>
      <c r="BL114" s="21"/>
      <c r="BM114" s="21"/>
      <c r="BN114" s="21"/>
      <c r="BO114" s="21"/>
      <c r="BP114" s="21"/>
      <c r="BQ114" s="21"/>
      <c r="BR114" s="21"/>
      <c r="BS114" s="21"/>
      <c r="BT114" s="21"/>
      <c r="BU114" s="21"/>
      <c r="BV114" s="21"/>
      <c r="BW114" s="21"/>
      <c r="BX114" s="21"/>
      <c r="BY114" s="21"/>
      <c r="BZ114" s="21"/>
      <c r="CA114" s="21"/>
      <c r="CB114" s="21"/>
      <c r="CC114" s="21"/>
      <c r="CD114" s="21"/>
      <c r="CE114" s="21"/>
      <c r="CF114" s="21"/>
      <c r="CG114" s="21"/>
      <c r="CH114" s="21"/>
      <c r="CI114" s="21"/>
      <c r="CJ114" s="21"/>
      <c r="CK114" s="21"/>
      <c r="CL114" s="21"/>
      <c r="CM114" s="21"/>
      <c r="CN114" s="21"/>
      <c r="CO114" s="21"/>
      <c r="CP114" s="21"/>
      <c r="CQ114" s="21"/>
      <c r="CR114" s="21"/>
      <c r="CS114" s="21"/>
      <c r="CT114" s="21"/>
      <c r="CU114" s="21"/>
      <c r="CV114" s="21"/>
      <c r="CW114" s="21"/>
      <c r="CX114" s="21"/>
      <c r="CY114" s="21"/>
      <c r="CZ114" s="21"/>
      <c r="DA114" s="21"/>
      <c r="DB114" s="21"/>
      <c r="DC114" s="21"/>
      <c r="DD114" s="21"/>
      <c r="DE114" s="21"/>
      <c r="DF114" s="21"/>
      <c r="DG114" s="21"/>
      <c r="DH114" s="21"/>
      <c r="DI114" s="21"/>
      <c r="DJ114" s="21"/>
      <c r="DK114" s="21"/>
      <c r="DL114" s="21"/>
      <c r="DM114" s="21"/>
      <c r="DN114" s="21"/>
      <c r="DO114" s="21"/>
      <c r="DP114" s="21"/>
      <c r="DQ114" s="21"/>
      <c r="DR114" s="21"/>
      <c r="DS114" s="21"/>
      <c r="DT114" s="21"/>
      <c r="DU114" s="21"/>
      <c r="DV114" s="21"/>
      <c r="DW114" s="21"/>
      <c r="DX114" s="21"/>
      <c r="DY114" s="21"/>
      <c r="DZ114" s="21"/>
      <c r="EA114" s="21"/>
      <c r="EB114" s="21"/>
      <c r="EC114" s="21"/>
      <c r="ED114" s="21"/>
      <c r="EE114" s="21"/>
      <c r="EF114" s="21"/>
      <c r="EG114" s="21"/>
      <c r="EH114" s="21"/>
      <c r="EI114" s="21"/>
      <c r="EJ114" s="21"/>
      <c r="EK114" s="21"/>
      <c r="EL114" s="21"/>
      <c r="EM114" s="21"/>
      <c r="EN114" s="21"/>
      <c r="EO114" s="21"/>
      <c r="EP114" s="21"/>
      <c r="EQ114" s="21"/>
      <c r="ER114" s="21"/>
      <c r="ES114" s="21"/>
      <c r="ET114" s="21"/>
      <c r="EU114" s="21"/>
      <c r="EV114" s="21"/>
      <c r="EW114" s="21"/>
      <c r="EX114" s="21"/>
      <c r="EY114" s="21"/>
    </row>
    <row r="115" spans="1:155" s="11" customFormat="1" x14ac:dyDescent="0.3">
      <c r="A115" s="21"/>
      <c r="B115" s="22" t="s">
        <v>990</v>
      </c>
      <c r="C115" s="21" t="s">
        <v>193</v>
      </c>
      <c r="D115" s="21" t="s">
        <v>213</v>
      </c>
      <c r="E115" s="32">
        <v>20</v>
      </c>
      <c r="F115" s="22" t="s">
        <v>9</v>
      </c>
      <c r="G115" s="21"/>
      <c r="H115" s="21"/>
      <c r="I115" s="21" t="s">
        <v>234</v>
      </c>
      <c r="J115" s="21" t="s">
        <v>9</v>
      </c>
      <c r="K115" s="21" t="s">
        <v>213</v>
      </c>
      <c r="L115" s="22" t="s">
        <v>987</v>
      </c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  <c r="BQ115" s="21"/>
      <c r="BR115" s="21"/>
      <c r="BS115" s="21"/>
      <c r="BT115" s="21"/>
      <c r="BU115" s="21"/>
      <c r="BV115" s="21"/>
      <c r="BW115" s="21"/>
      <c r="BX115" s="21"/>
      <c r="BY115" s="21"/>
      <c r="BZ115" s="21"/>
      <c r="CA115" s="21"/>
      <c r="CB115" s="21"/>
      <c r="CC115" s="21"/>
      <c r="CD115" s="21"/>
      <c r="CE115" s="21"/>
      <c r="CF115" s="21"/>
      <c r="CG115" s="21"/>
      <c r="CH115" s="21"/>
      <c r="CI115" s="21"/>
      <c r="CJ115" s="21"/>
      <c r="CK115" s="21"/>
      <c r="CL115" s="21"/>
      <c r="CM115" s="21"/>
      <c r="CN115" s="21"/>
      <c r="CO115" s="21"/>
      <c r="CP115" s="21"/>
      <c r="CQ115" s="21"/>
      <c r="CR115" s="21"/>
      <c r="CS115" s="21"/>
      <c r="CT115" s="21"/>
      <c r="CU115" s="21"/>
      <c r="CV115" s="21"/>
      <c r="CW115" s="21"/>
      <c r="CX115" s="21"/>
      <c r="CY115" s="21"/>
      <c r="CZ115" s="21"/>
      <c r="DA115" s="21"/>
      <c r="DB115" s="21"/>
      <c r="DC115" s="21"/>
      <c r="DD115" s="21"/>
      <c r="DE115" s="21"/>
      <c r="DF115" s="21"/>
      <c r="DG115" s="21"/>
      <c r="DH115" s="21"/>
      <c r="DI115" s="21"/>
      <c r="DJ115" s="21"/>
      <c r="DK115" s="21"/>
      <c r="DL115" s="21"/>
      <c r="DM115" s="21"/>
      <c r="DN115" s="21"/>
      <c r="DO115" s="21"/>
      <c r="DP115" s="21"/>
      <c r="DQ115" s="21"/>
      <c r="DR115" s="21"/>
      <c r="DS115" s="21"/>
      <c r="DT115" s="21"/>
      <c r="DU115" s="21"/>
      <c r="DV115" s="21"/>
      <c r="DW115" s="21"/>
      <c r="DX115" s="21"/>
      <c r="DY115" s="21"/>
      <c r="DZ115" s="21"/>
      <c r="EA115" s="21"/>
      <c r="EB115" s="21"/>
      <c r="EC115" s="21"/>
      <c r="ED115" s="21"/>
      <c r="EE115" s="21"/>
      <c r="EF115" s="21"/>
      <c r="EG115" s="21"/>
      <c r="EH115" s="21"/>
      <c r="EI115" s="21"/>
      <c r="EJ115" s="21"/>
      <c r="EK115" s="21"/>
      <c r="EL115" s="21"/>
      <c r="EM115" s="21"/>
      <c r="EN115" s="21"/>
      <c r="EO115" s="21"/>
      <c r="EP115" s="21"/>
      <c r="EQ115" s="21"/>
      <c r="ER115" s="21"/>
      <c r="ES115" s="21"/>
      <c r="ET115" s="21"/>
      <c r="EU115" s="21"/>
      <c r="EV115" s="21"/>
      <c r="EW115" s="21"/>
      <c r="EX115" s="21"/>
      <c r="EY115" s="21"/>
    </row>
    <row r="116" spans="1:155" s="11" customFormat="1" x14ac:dyDescent="0.3">
      <c r="A116" s="21"/>
      <c r="B116" s="22" t="s">
        <v>990</v>
      </c>
      <c r="C116" s="21" t="s">
        <v>193</v>
      </c>
      <c r="D116" s="21" t="s">
        <v>214</v>
      </c>
      <c r="E116" s="32">
        <v>21</v>
      </c>
      <c r="F116" s="22" t="s">
        <v>9</v>
      </c>
      <c r="G116" s="21"/>
      <c r="H116" s="21"/>
      <c r="I116" s="21" t="s">
        <v>234</v>
      </c>
      <c r="J116" s="21" t="s">
        <v>9</v>
      </c>
      <c r="K116" s="21" t="s">
        <v>214</v>
      </c>
      <c r="L116" s="22" t="s">
        <v>987</v>
      </c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  <c r="BQ116" s="21"/>
      <c r="BR116" s="21"/>
      <c r="BS116" s="21"/>
      <c r="BT116" s="21"/>
      <c r="BU116" s="21"/>
      <c r="BV116" s="21"/>
      <c r="BW116" s="21"/>
      <c r="BX116" s="21"/>
      <c r="BY116" s="21"/>
      <c r="BZ116" s="21"/>
      <c r="CA116" s="21"/>
      <c r="CB116" s="21"/>
      <c r="CC116" s="21"/>
      <c r="CD116" s="21"/>
      <c r="CE116" s="21"/>
      <c r="CF116" s="21"/>
      <c r="CG116" s="21"/>
      <c r="CH116" s="21"/>
      <c r="CI116" s="21"/>
      <c r="CJ116" s="21"/>
      <c r="CK116" s="21"/>
      <c r="CL116" s="21"/>
      <c r="CM116" s="21"/>
      <c r="CN116" s="21"/>
      <c r="CO116" s="21"/>
      <c r="CP116" s="21"/>
      <c r="CQ116" s="21"/>
      <c r="CR116" s="21"/>
      <c r="CS116" s="21"/>
      <c r="CT116" s="21"/>
      <c r="CU116" s="21"/>
      <c r="CV116" s="21"/>
      <c r="CW116" s="21"/>
      <c r="CX116" s="21"/>
      <c r="CY116" s="21"/>
      <c r="CZ116" s="21"/>
      <c r="DA116" s="21"/>
      <c r="DB116" s="21"/>
      <c r="DC116" s="21"/>
      <c r="DD116" s="21"/>
      <c r="DE116" s="21"/>
      <c r="DF116" s="21"/>
      <c r="DG116" s="21"/>
      <c r="DH116" s="21"/>
      <c r="DI116" s="21"/>
      <c r="DJ116" s="21"/>
      <c r="DK116" s="21"/>
      <c r="DL116" s="21"/>
      <c r="DM116" s="21"/>
      <c r="DN116" s="21"/>
      <c r="DO116" s="21"/>
      <c r="DP116" s="21"/>
      <c r="DQ116" s="21"/>
      <c r="DR116" s="21"/>
      <c r="DS116" s="21"/>
      <c r="DT116" s="21"/>
      <c r="DU116" s="21"/>
      <c r="DV116" s="21"/>
      <c r="DW116" s="21"/>
      <c r="DX116" s="21"/>
      <c r="DY116" s="21"/>
      <c r="DZ116" s="21"/>
      <c r="EA116" s="21"/>
      <c r="EB116" s="21"/>
      <c r="EC116" s="21"/>
      <c r="ED116" s="21"/>
      <c r="EE116" s="21"/>
      <c r="EF116" s="21"/>
      <c r="EG116" s="21"/>
      <c r="EH116" s="21"/>
      <c r="EI116" s="21"/>
      <c r="EJ116" s="21"/>
      <c r="EK116" s="21"/>
      <c r="EL116" s="21"/>
      <c r="EM116" s="21"/>
      <c r="EN116" s="21"/>
      <c r="EO116" s="21"/>
      <c r="EP116" s="21"/>
      <c r="EQ116" s="21"/>
      <c r="ER116" s="21"/>
      <c r="ES116" s="21"/>
      <c r="ET116" s="21"/>
      <c r="EU116" s="21"/>
      <c r="EV116" s="21"/>
      <c r="EW116" s="21"/>
      <c r="EX116" s="21"/>
      <c r="EY116" s="21"/>
    </row>
    <row r="117" spans="1:155" s="11" customFormat="1" x14ac:dyDescent="0.3">
      <c r="A117" s="21"/>
      <c r="B117" s="22" t="s">
        <v>990</v>
      </c>
      <c r="C117" s="21" t="s">
        <v>193</v>
      </c>
      <c r="D117" s="21" t="s">
        <v>215</v>
      </c>
      <c r="E117" s="32">
        <v>22</v>
      </c>
      <c r="F117" s="22" t="s">
        <v>9</v>
      </c>
      <c r="G117" s="21"/>
      <c r="H117" s="21"/>
      <c r="I117" s="21" t="s">
        <v>234</v>
      </c>
      <c r="J117" s="21" t="s">
        <v>9</v>
      </c>
      <c r="K117" s="21" t="s">
        <v>215</v>
      </c>
      <c r="L117" s="22" t="s">
        <v>987</v>
      </c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  <c r="BK117" s="21"/>
      <c r="BL117" s="21"/>
      <c r="BM117" s="21"/>
      <c r="BN117" s="21"/>
      <c r="BO117" s="21"/>
      <c r="BP117" s="21"/>
      <c r="BQ117" s="21"/>
      <c r="BR117" s="21"/>
      <c r="BS117" s="21"/>
      <c r="BT117" s="21"/>
      <c r="BU117" s="21"/>
      <c r="BV117" s="21"/>
      <c r="BW117" s="21"/>
      <c r="BX117" s="21"/>
      <c r="BY117" s="21"/>
      <c r="BZ117" s="21"/>
      <c r="CA117" s="21"/>
      <c r="CB117" s="21"/>
      <c r="CC117" s="21"/>
      <c r="CD117" s="21"/>
      <c r="CE117" s="21"/>
      <c r="CF117" s="21"/>
      <c r="CG117" s="21"/>
      <c r="CH117" s="21"/>
      <c r="CI117" s="21"/>
      <c r="CJ117" s="21"/>
      <c r="CK117" s="21"/>
      <c r="CL117" s="21"/>
      <c r="CM117" s="21"/>
      <c r="CN117" s="21"/>
      <c r="CO117" s="21"/>
      <c r="CP117" s="21"/>
      <c r="CQ117" s="21"/>
      <c r="CR117" s="21"/>
      <c r="CS117" s="21"/>
      <c r="CT117" s="21"/>
      <c r="CU117" s="21"/>
      <c r="CV117" s="21"/>
      <c r="CW117" s="21"/>
      <c r="CX117" s="21"/>
      <c r="CY117" s="21"/>
      <c r="CZ117" s="21"/>
      <c r="DA117" s="21"/>
      <c r="DB117" s="21"/>
      <c r="DC117" s="21"/>
      <c r="DD117" s="21"/>
      <c r="DE117" s="21"/>
      <c r="DF117" s="21"/>
      <c r="DG117" s="21"/>
      <c r="DH117" s="21"/>
      <c r="DI117" s="21"/>
      <c r="DJ117" s="21"/>
      <c r="DK117" s="21"/>
      <c r="DL117" s="21"/>
      <c r="DM117" s="21"/>
      <c r="DN117" s="21"/>
      <c r="DO117" s="21"/>
      <c r="DP117" s="21"/>
      <c r="DQ117" s="21"/>
      <c r="DR117" s="21"/>
      <c r="DS117" s="21"/>
      <c r="DT117" s="21"/>
      <c r="DU117" s="21"/>
      <c r="DV117" s="21"/>
      <c r="DW117" s="21"/>
      <c r="DX117" s="21"/>
      <c r="DY117" s="21"/>
      <c r="DZ117" s="21"/>
      <c r="EA117" s="21"/>
      <c r="EB117" s="21"/>
      <c r="EC117" s="21"/>
      <c r="ED117" s="21"/>
      <c r="EE117" s="21"/>
      <c r="EF117" s="21"/>
      <c r="EG117" s="21"/>
      <c r="EH117" s="21"/>
      <c r="EI117" s="21"/>
      <c r="EJ117" s="21"/>
      <c r="EK117" s="21"/>
      <c r="EL117" s="21"/>
      <c r="EM117" s="21"/>
      <c r="EN117" s="21"/>
      <c r="EO117" s="21"/>
      <c r="EP117" s="21"/>
      <c r="EQ117" s="21"/>
      <c r="ER117" s="21"/>
      <c r="ES117" s="21"/>
      <c r="ET117" s="21"/>
      <c r="EU117" s="21"/>
      <c r="EV117" s="21"/>
      <c r="EW117" s="21"/>
      <c r="EX117" s="21"/>
      <c r="EY117" s="21"/>
    </row>
    <row r="118" spans="1:155" s="11" customFormat="1" x14ac:dyDescent="0.3">
      <c r="A118" s="21"/>
      <c r="B118" s="22" t="s">
        <v>990</v>
      </c>
      <c r="C118" s="21" t="s">
        <v>193</v>
      </c>
      <c r="D118" s="21" t="s">
        <v>216</v>
      </c>
      <c r="E118" s="32">
        <v>23</v>
      </c>
      <c r="F118" s="22" t="s">
        <v>9</v>
      </c>
      <c r="G118" s="21"/>
      <c r="H118" s="21"/>
      <c r="I118" s="21" t="s">
        <v>234</v>
      </c>
      <c r="J118" s="21" t="s">
        <v>9</v>
      </c>
      <c r="K118" s="21" t="s">
        <v>216</v>
      </c>
      <c r="L118" s="22" t="s">
        <v>987</v>
      </c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  <c r="BK118" s="21"/>
      <c r="BL118" s="21"/>
      <c r="BM118" s="21"/>
      <c r="BN118" s="21"/>
      <c r="BO118" s="21"/>
      <c r="BP118" s="21"/>
      <c r="BQ118" s="21"/>
      <c r="BR118" s="21"/>
      <c r="BS118" s="21"/>
      <c r="BT118" s="21"/>
      <c r="BU118" s="21"/>
      <c r="BV118" s="21"/>
      <c r="BW118" s="21"/>
      <c r="BX118" s="21"/>
      <c r="BY118" s="21"/>
      <c r="BZ118" s="21"/>
      <c r="CA118" s="21"/>
      <c r="CB118" s="21"/>
      <c r="CC118" s="21"/>
      <c r="CD118" s="21"/>
      <c r="CE118" s="21"/>
      <c r="CF118" s="21"/>
      <c r="CG118" s="21"/>
      <c r="CH118" s="21"/>
      <c r="CI118" s="21"/>
      <c r="CJ118" s="21"/>
      <c r="CK118" s="21"/>
      <c r="CL118" s="21"/>
      <c r="CM118" s="21"/>
      <c r="CN118" s="21"/>
      <c r="CO118" s="21"/>
      <c r="CP118" s="21"/>
      <c r="CQ118" s="21"/>
      <c r="CR118" s="21"/>
      <c r="CS118" s="21"/>
      <c r="CT118" s="21"/>
      <c r="CU118" s="21"/>
      <c r="CV118" s="21"/>
      <c r="CW118" s="21"/>
      <c r="CX118" s="21"/>
      <c r="CY118" s="21"/>
      <c r="CZ118" s="21"/>
      <c r="DA118" s="21"/>
      <c r="DB118" s="21"/>
      <c r="DC118" s="21"/>
      <c r="DD118" s="21"/>
      <c r="DE118" s="21"/>
      <c r="DF118" s="21"/>
      <c r="DG118" s="21"/>
      <c r="DH118" s="21"/>
      <c r="DI118" s="21"/>
      <c r="DJ118" s="21"/>
      <c r="DK118" s="21"/>
      <c r="DL118" s="21"/>
      <c r="DM118" s="21"/>
      <c r="DN118" s="21"/>
      <c r="DO118" s="21"/>
      <c r="DP118" s="21"/>
      <c r="DQ118" s="21"/>
      <c r="DR118" s="21"/>
      <c r="DS118" s="21"/>
      <c r="DT118" s="21"/>
      <c r="DU118" s="21"/>
      <c r="DV118" s="21"/>
      <c r="DW118" s="21"/>
      <c r="DX118" s="21"/>
      <c r="DY118" s="21"/>
      <c r="DZ118" s="21"/>
      <c r="EA118" s="21"/>
      <c r="EB118" s="21"/>
      <c r="EC118" s="21"/>
      <c r="ED118" s="21"/>
      <c r="EE118" s="21"/>
      <c r="EF118" s="21"/>
      <c r="EG118" s="21"/>
      <c r="EH118" s="21"/>
      <c r="EI118" s="21"/>
      <c r="EJ118" s="21"/>
      <c r="EK118" s="21"/>
      <c r="EL118" s="21"/>
      <c r="EM118" s="21"/>
      <c r="EN118" s="21"/>
      <c r="EO118" s="21"/>
      <c r="EP118" s="21"/>
      <c r="EQ118" s="21"/>
      <c r="ER118" s="21"/>
      <c r="ES118" s="21"/>
      <c r="ET118" s="21"/>
      <c r="EU118" s="21"/>
      <c r="EV118" s="21"/>
      <c r="EW118" s="21"/>
      <c r="EX118" s="21"/>
      <c r="EY118" s="21"/>
    </row>
    <row r="119" spans="1:155" s="11" customFormat="1" x14ac:dyDescent="0.3">
      <c r="A119" s="21"/>
      <c r="B119" s="22" t="s">
        <v>990</v>
      </c>
      <c r="C119" s="21" t="s">
        <v>193</v>
      </c>
      <c r="D119" s="21" t="s">
        <v>217</v>
      </c>
      <c r="E119" s="32">
        <v>24</v>
      </c>
      <c r="F119" s="22" t="s">
        <v>9</v>
      </c>
      <c r="G119" s="21"/>
      <c r="H119" s="21"/>
      <c r="I119" s="21" t="s">
        <v>234</v>
      </c>
      <c r="J119" s="21" t="s">
        <v>9</v>
      </c>
      <c r="K119" s="21" t="s">
        <v>217</v>
      </c>
      <c r="L119" s="22" t="s">
        <v>987</v>
      </c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  <c r="BQ119" s="21"/>
      <c r="BR119" s="21"/>
      <c r="BS119" s="21"/>
      <c r="BT119" s="21"/>
      <c r="BU119" s="21"/>
      <c r="BV119" s="21"/>
      <c r="BW119" s="21"/>
      <c r="BX119" s="21"/>
      <c r="BY119" s="21"/>
      <c r="BZ119" s="21"/>
      <c r="CA119" s="21"/>
      <c r="CB119" s="21"/>
      <c r="CC119" s="21"/>
      <c r="CD119" s="21"/>
      <c r="CE119" s="21"/>
      <c r="CF119" s="21"/>
      <c r="CG119" s="21"/>
      <c r="CH119" s="21"/>
      <c r="CI119" s="21"/>
      <c r="CJ119" s="21"/>
      <c r="CK119" s="21"/>
      <c r="CL119" s="21"/>
      <c r="CM119" s="21"/>
      <c r="CN119" s="21"/>
      <c r="CO119" s="21"/>
      <c r="CP119" s="21"/>
      <c r="CQ119" s="21"/>
      <c r="CR119" s="21"/>
      <c r="CS119" s="21"/>
      <c r="CT119" s="21"/>
      <c r="CU119" s="21"/>
      <c r="CV119" s="21"/>
      <c r="CW119" s="21"/>
      <c r="CX119" s="21"/>
      <c r="CY119" s="21"/>
      <c r="CZ119" s="21"/>
      <c r="DA119" s="21"/>
      <c r="DB119" s="21"/>
      <c r="DC119" s="21"/>
      <c r="DD119" s="21"/>
      <c r="DE119" s="21"/>
      <c r="DF119" s="21"/>
      <c r="DG119" s="21"/>
      <c r="DH119" s="21"/>
      <c r="DI119" s="21"/>
      <c r="DJ119" s="21"/>
      <c r="DK119" s="21"/>
      <c r="DL119" s="21"/>
      <c r="DM119" s="21"/>
      <c r="DN119" s="21"/>
      <c r="DO119" s="21"/>
      <c r="DP119" s="21"/>
      <c r="DQ119" s="21"/>
      <c r="DR119" s="21"/>
      <c r="DS119" s="21"/>
      <c r="DT119" s="21"/>
      <c r="DU119" s="21"/>
      <c r="DV119" s="21"/>
      <c r="DW119" s="21"/>
      <c r="DX119" s="21"/>
      <c r="DY119" s="21"/>
      <c r="DZ119" s="21"/>
      <c r="EA119" s="21"/>
      <c r="EB119" s="21"/>
      <c r="EC119" s="21"/>
      <c r="ED119" s="21"/>
      <c r="EE119" s="21"/>
      <c r="EF119" s="21"/>
      <c r="EG119" s="21"/>
      <c r="EH119" s="21"/>
      <c r="EI119" s="21"/>
      <c r="EJ119" s="21"/>
      <c r="EK119" s="21"/>
      <c r="EL119" s="21"/>
      <c r="EM119" s="21"/>
      <c r="EN119" s="21"/>
      <c r="EO119" s="21"/>
      <c r="EP119" s="21"/>
      <c r="EQ119" s="21"/>
      <c r="ER119" s="21"/>
      <c r="ES119" s="21"/>
      <c r="ET119" s="21"/>
      <c r="EU119" s="21"/>
      <c r="EV119" s="21"/>
      <c r="EW119" s="21"/>
      <c r="EX119" s="21"/>
      <c r="EY119" s="21"/>
    </row>
    <row r="120" spans="1:155" s="11" customFormat="1" x14ac:dyDescent="0.3">
      <c r="A120" s="21"/>
      <c r="B120" s="22" t="s">
        <v>990</v>
      </c>
      <c r="C120" s="21" t="s">
        <v>193</v>
      </c>
      <c r="D120" s="21" t="s">
        <v>218</v>
      </c>
      <c r="E120" s="32">
        <v>25</v>
      </c>
      <c r="F120" s="22" t="s">
        <v>9</v>
      </c>
      <c r="G120" s="21"/>
      <c r="H120" s="21"/>
      <c r="I120" s="21" t="s">
        <v>234</v>
      </c>
      <c r="J120" s="21" t="s">
        <v>9</v>
      </c>
      <c r="K120" s="21" t="s">
        <v>218</v>
      </c>
      <c r="L120" s="22" t="s">
        <v>987</v>
      </c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  <c r="BR120" s="21"/>
      <c r="BS120" s="21"/>
      <c r="BT120" s="21"/>
      <c r="BU120" s="21"/>
      <c r="BV120" s="21"/>
      <c r="BW120" s="21"/>
      <c r="BX120" s="21"/>
      <c r="BY120" s="21"/>
      <c r="BZ120" s="21"/>
      <c r="CA120" s="21"/>
      <c r="CB120" s="21"/>
      <c r="CC120" s="21"/>
      <c r="CD120" s="21"/>
      <c r="CE120" s="21"/>
      <c r="CF120" s="21"/>
      <c r="CG120" s="21"/>
      <c r="CH120" s="21"/>
      <c r="CI120" s="21"/>
      <c r="CJ120" s="21"/>
      <c r="CK120" s="21"/>
      <c r="CL120" s="21"/>
      <c r="CM120" s="21"/>
      <c r="CN120" s="21"/>
      <c r="CO120" s="21"/>
      <c r="CP120" s="21"/>
      <c r="CQ120" s="21"/>
      <c r="CR120" s="21"/>
      <c r="CS120" s="21"/>
      <c r="CT120" s="21"/>
      <c r="CU120" s="21"/>
      <c r="CV120" s="21"/>
      <c r="CW120" s="21"/>
      <c r="CX120" s="21"/>
      <c r="CY120" s="21"/>
      <c r="CZ120" s="21"/>
      <c r="DA120" s="21"/>
      <c r="DB120" s="21"/>
      <c r="DC120" s="21"/>
      <c r="DD120" s="21"/>
      <c r="DE120" s="21"/>
      <c r="DF120" s="21"/>
      <c r="DG120" s="21"/>
      <c r="DH120" s="21"/>
      <c r="DI120" s="21"/>
      <c r="DJ120" s="21"/>
      <c r="DK120" s="21"/>
      <c r="DL120" s="21"/>
      <c r="DM120" s="21"/>
      <c r="DN120" s="21"/>
      <c r="DO120" s="21"/>
      <c r="DP120" s="21"/>
      <c r="DQ120" s="21"/>
      <c r="DR120" s="21"/>
      <c r="DS120" s="21"/>
      <c r="DT120" s="21"/>
      <c r="DU120" s="21"/>
      <c r="DV120" s="21"/>
      <c r="DW120" s="21"/>
      <c r="DX120" s="21"/>
      <c r="DY120" s="21"/>
      <c r="DZ120" s="21"/>
      <c r="EA120" s="21"/>
      <c r="EB120" s="21"/>
      <c r="EC120" s="21"/>
      <c r="ED120" s="21"/>
      <c r="EE120" s="21"/>
      <c r="EF120" s="21"/>
      <c r="EG120" s="21"/>
      <c r="EH120" s="21"/>
      <c r="EI120" s="21"/>
      <c r="EJ120" s="21"/>
      <c r="EK120" s="21"/>
      <c r="EL120" s="21"/>
      <c r="EM120" s="21"/>
      <c r="EN120" s="21"/>
      <c r="EO120" s="21"/>
      <c r="EP120" s="21"/>
      <c r="EQ120" s="21"/>
      <c r="ER120" s="21"/>
      <c r="ES120" s="21"/>
      <c r="ET120" s="21"/>
      <c r="EU120" s="21"/>
      <c r="EV120" s="21"/>
      <c r="EW120" s="21"/>
      <c r="EX120" s="21"/>
      <c r="EY120" s="21"/>
    </row>
    <row r="121" spans="1:155" s="11" customFormat="1" x14ac:dyDescent="0.3">
      <c r="A121" s="21"/>
      <c r="B121" s="22" t="s">
        <v>990</v>
      </c>
      <c r="C121" s="21" t="s">
        <v>193</v>
      </c>
      <c r="D121" s="21" t="s">
        <v>219</v>
      </c>
      <c r="E121" s="32">
        <v>26</v>
      </c>
      <c r="F121" s="22" t="s">
        <v>9</v>
      </c>
      <c r="G121" s="21"/>
      <c r="H121" s="21"/>
      <c r="I121" s="21" t="s">
        <v>234</v>
      </c>
      <c r="J121" s="21" t="s">
        <v>9</v>
      </c>
      <c r="K121" s="21" t="s">
        <v>219</v>
      </c>
      <c r="L121" s="22" t="s">
        <v>987</v>
      </c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  <c r="BR121" s="21"/>
      <c r="BS121" s="21"/>
      <c r="BT121" s="21"/>
      <c r="BU121" s="21"/>
      <c r="BV121" s="21"/>
      <c r="BW121" s="21"/>
      <c r="BX121" s="21"/>
      <c r="BY121" s="21"/>
      <c r="BZ121" s="21"/>
      <c r="CA121" s="21"/>
      <c r="CB121" s="21"/>
      <c r="CC121" s="21"/>
      <c r="CD121" s="21"/>
      <c r="CE121" s="21"/>
      <c r="CF121" s="21"/>
      <c r="CG121" s="21"/>
      <c r="CH121" s="21"/>
      <c r="CI121" s="21"/>
      <c r="CJ121" s="21"/>
      <c r="CK121" s="21"/>
      <c r="CL121" s="21"/>
      <c r="CM121" s="21"/>
      <c r="CN121" s="21"/>
      <c r="CO121" s="21"/>
      <c r="CP121" s="21"/>
      <c r="CQ121" s="21"/>
      <c r="CR121" s="21"/>
      <c r="CS121" s="21"/>
      <c r="CT121" s="21"/>
      <c r="CU121" s="21"/>
      <c r="CV121" s="21"/>
      <c r="CW121" s="21"/>
      <c r="CX121" s="21"/>
      <c r="CY121" s="21"/>
      <c r="CZ121" s="21"/>
      <c r="DA121" s="21"/>
      <c r="DB121" s="21"/>
      <c r="DC121" s="21"/>
      <c r="DD121" s="21"/>
      <c r="DE121" s="21"/>
      <c r="DF121" s="21"/>
      <c r="DG121" s="21"/>
      <c r="DH121" s="21"/>
      <c r="DI121" s="21"/>
      <c r="DJ121" s="21"/>
      <c r="DK121" s="21"/>
      <c r="DL121" s="21"/>
      <c r="DM121" s="21"/>
      <c r="DN121" s="21"/>
      <c r="DO121" s="21"/>
      <c r="DP121" s="21"/>
      <c r="DQ121" s="21"/>
      <c r="DR121" s="21"/>
      <c r="DS121" s="21"/>
      <c r="DT121" s="21"/>
      <c r="DU121" s="21"/>
      <c r="DV121" s="21"/>
      <c r="DW121" s="21"/>
      <c r="DX121" s="21"/>
      <c r="DY121" s="21"/>
      <c r="DZ121" s="21"/>
      <c r="EA121" s="21"/>
      <c r="EB121" s="21"/>
      <c r="EC121" s="21"/>
      <c r="ED121" s="21"/>
      <c r="EE121" s="21"/>
      <c r="EF121" s="21"/>
      <c r="EG121" s="21"/>
      <c r="EH121" s="21"/>
      <c r="EI121" s="21"/>
      <c r="EJ121" s="21"/>
      <c r="EK121" s="21"/>
      <c r="EL121" s="21"/>
      <c r="EM121" s="21"/>
      <c r="EN121" s="21"/>
      <c r="EO121" s="21"/>
      <c r="EP121" s="21"/>
      <c r="EQ121" s="21"/>
      <c r="ER121" s="21"/>
      <c r="ES121" s="21"/>
      <c r="ET121" s="21"/>
      <c r="EU121" s="21"/>
      <c r="EV121" s="21"/>
      <c r="EW121" s="21"/>
      <c r="EX121" s="21"/>
      <c r="EY121" s="21"/>
    </row>
    <row r="122" spans="1:155" s="11" customFormat="1" x14ac:dyDescent="0.3">
      <c r="A122" s="21"/>
      <c r="B122" s="22" t="s">
        <v>990</v>
      </c>
      <c r="C122" s="21" t="s">
        <v>193</v>
      </c>
      <c r="D122" s="21" t="s">
        <v>220</v>
      </c>
      <c r="E122" s="32">
        <v>27</v>
      </c>
      <c r="F122" s="22" t="s">
        <v>9</v>
      </c>
      <c r="G122" s="21"/>
      <c r="H122" s="21"/>
      <c r="I122" s="21" t="s">
        <v>234</v>
      </c>
      <c r="J122" s="21" t="s">
        <v>9</v>
      </c>
      <c r="K122" s="21" t="s">
        <v>220</v>
      </c>
      <c r="L122" s="22" t="s">
        <v>987</v>
      </c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1"/>
      <c r="AV122" s="21"/>
      <c r="AW122" s="21"/>
      <c r="AX122" s="21"/>
      <c r="AY122" s="21"/>
      <c r="AZ122" s="21"/>
      <c r="BA122" s="21"/>
      <c r="BB122" s="21"/>
      <c r="BC122" s="21"/>
      <c r="BD122" s="21"/>
      <c r="BE122" s="21"/>
      <c r="BF122" s="21"/>
      <c r="BG122" s="21"/>
      <c r="BH122" s="21"/>
      <c r="BI122" s="21"/>
      <c r="BJ122" s="21"/>
      <c r="BK122" s="21"/>
      <c r="BL122" s="21"/>
      <c r="BM122" s="21"/>
      <c r="BN122" s="21"/>
      <c r="BO122" s="21"/>
      <c r="BP122" s="21"/>
      <c r="BQ122" s="21"/>
      <c r="BR122" s="21"/>
      <c r="BS122" s="21"/>
      <c r="BT122" s="21"/>
      <c r="BU122" s="21"/>
      <c r="BV122" s="21"/>
      <c r="BW122" s="21"/>
      <c r="BX122" s="21"/>
      <c r="BY122" s="21"/>
      <c r="BZ122" s="21"/>
      <c r="CA122" s="21"/>
      <c r="CB122" s="21"/>
      <c r="CC122" s="21"/>
      <c r="CD122" s="21"/>
      <c r="CE122" s="21"/>
      <c r="CF122" s="21"/>
      <c r="CG122" s="21"/>
      <c r="CH122" s="21"/>
      <c r="CI122" s="21"/>
      <c r="CJ122" s="21"/>
      <c r="CK122" s="21"/>
      <c r="CL122" s="21"/>
      <c r="CM122" s="21"/>
      <c r="CN122" s="21"/>
      <c r="CO122" s="21"/>
      <c r="CP122" s="21"/>
      <c r="CQ122" s="21"/>
      <c r="CR122" s="21"/>
      <c r="CS122" s="21"/>
      <c r="CT122" s="21"/>
      <c r="CU122" s="21"/>
      <c r="CV122" s="21"/>
      <c r="CW122" s="21"/>
      <c r="CX122" s="21"/>
      <c r="CY122" s="21"/>
      <c r="CZ122" s="21"/>
      <c r="DA122" s="21"/>
      <c r="DB122" s="21"/>
      <c r="DC122" s="21"/>
      <c r="DD122" s="21"/>
      <c r="DE122" s="21"/>
      <c r="DF122" s="21"/>
      <c r="DG122" s="21"/>
      <c r="DH122" s="21"/>
      <c r="DI122" s="21"/>
      <c r="DJ122" s="21"/>
      <c r="DK122" s="21"/>
      <c r="DL122" s="21"/>
      <c r="DM122" s="21"/>
      <c r="DN122" s="21"/>
      <c r="DO122" s="21"/>
      <c r="DP122" s="21"/>
      <c r="DQ122" s="21"/>
      <c r="DR122" s="21"/>
      <c r="DS122" s="21"/>
      <c r="DT122" s="21"/>
      <c r="DU122" s="21"/>
      <c r="DV122" s="21"/>
      <c r="DW122" s="21"/>
      <c r="DX122" s="21"/>
      <c r="DY122" s="21"/>
      <c r="DZ122" s="21"/>
      <c r="EA122" s="21"/>
      <c r="EB122" s="21"/>
      <c r="EC122" s="21"/>
      <c r="ED122" s="21"/>
      <c r="EE122" s="21"/>
      <c r="EF122" s="21"/>
      <c r="EG122" s="21"/>
      <c r="EH122" s="21"/>
      <c r="EI122" s="21"/>
      <c r="EJ122" s="21"/>
      <c r="EK122" s="21"/>
      <c r="EL122" s="21"/>
      <c r="EM122" s="21"/>
      <c r="EN122" s="21"/>
      <c r="EO122" s="21"/>
      <c r="EP122" s="21"/>
      <c r="EQ122" s="21"/>
      <c r="ER122" s="21"/>
      <c r="ES122" s="21"/>
      <c r="ET122" s="21"/>
      <c r="EU122" s="21"/>
      <c r="EV122" s="21"/>
      <c r="EW122" s="21"/>
      <c r="EX122" s="21"/>
      <c r="EY122" s="21"/>
    </row>
    <row r="123" spans="1:155" s="11" customFormat="1" x14ac:dyDescent="0.3">
      <c r="A123" s="21"/>
      <c r="B123" s="22" t="s">
        <v>990</v>
      </c>
      <c r="C123" s="21" t="s">
        <v>193</v>
      </c>
      <c r="D123" s="21" t="s">
        <v>221</v>
      </c>
      <c r="E123" s="32">
        <v>28</v>
      </c>
      <c r="F123" s="22" t="s">
        <v>9</v>
      </c>
      <c r="G123" s="21"/>
      <c r="H123" s="21"/>
      <c r="I123" s="21" t="s">
        <v>234</v>
      </c>
      <c r="J123" s="21" t="s">
        <v>9</v>
      </c>
      <c r="K123" s="21" t="s">
        <v>221</v>
      </c>
      <c r="L123" s="22" t="s">
        <v>987</v>
      </c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  <c r="BO123" s="21"/>
      <c r="BP123" s="21"/>
      <c r="BQ123" s="21"/>
      <c r="BR123" s="21"/>
      <c r="BS123" s="21"/>
      <c r="BT123" s="21"/>
      <c r="BU123" s="21"/>
      <c r="BV123" s="21"/>
      <c r="BW123" s="21"/>
      <c r="BX123" s="21"/>
      <c r="BY123" s="21"/>
      <c r="BZ123" s="21"/>
      <c r="CA123" s="21"/>
      <c r="CB123" s="21"/>
      <c r="CC123" s="21"/>
      <c r="CD123" s="21"/>
      <c r="CE123" s="21"/>
      <c r="CF123" s="21"/>
      <c r="CG123" s="21"/>
      <c r="CH123" s="21"/>
      <c r="CI123" s="21"/>
      <c r="CJ123" s="21"/>
      <c r="CK123" s="21"/>
      <c r="CL123" s="21"/>
      <c r="CM123" s="21"/>
      <c r="CN123" s="21"/>
      <c r="CO123" s="21"/>
      <c r="CP123" s="21"/>
      <c r="CQ123" s="21"/>
      <c r="CR123" s="21"/>
      <c r="CS123" s="21"/>
      <c r="CT123" s="21"/>
      <c r="CU123" s="21"/>
      <c r="CV123" s="21"/>
      <c r="CW123" s="21"/>
      <c r="CX123" s="21"/>
      <c r="CY123" s="21"/>
      <c r="CZ123" s="21"/>
      <c r="DA123" s="21"/>
      <c r="DB123" s="21"/>
      <c r="DC123" s="21"/>
      <c r="DD123" s="21"/>
      <c r="DE123" s="21"/>
      <c r="DF123" s="21"/>
      <c r="DG123" s="21"/>
      <c r="DH123" s="21"/>
      <c r="DI123" s="21"/>
      <c r="DJ123" s="21"/>
      <c r="DK123" s="21"/>
      <c r="DL123" s="21"/>
      <c r="DM123" s="21"/>
      <c r="DN123" s="21"/>
      <c r="DO123" s="21"/>
      <c r="DP123" s="21"/>
      <c r="DQ123" s="21"/>
      <c r="DR123" s="21"/>
      <c r="DS123" s="21"/>
      <c r="DT123" s="21"/>
      <c r="DU123" s="21"/>
      <c r="DV123" s="21"/>
      <c r="DW123" s="21"/>
      <c r="DX123" s="21"/>
      <c r="DY123" s="21"/>
      <c r="DZ123" s="21"/>
      <c r="EA123" s="21"/>
      <c r="EB123" s="21"/>
      <c r="EC123" s="21"/>
      <c r="ED123" s="21"/>
      <c r="EE123" s="21"/>
      <c r="EF123" s="21"/>
      <c r="EG123" s="21"/>
      <c r="EH123" s="21"/>
      <c r="EI123" s="21"/>
      <c r="EJ123" s="21"/>
      <c r="EK123" s="21"/>
      <c r="EL123" s="21"/>
      <c r="EM123" s="21"/>
      <c r="EN123" s="21"/>
      <c r="EO123" s="21"/>
      <c r="EP123" s="21"/>
      <c r="EQ123" s="21"/>
      <c r="ER123" s="21"/>
      <c r="ES123" s="21"/>
      <c r="ET123" s="21"/>
      <c r="EU123" s="21"/>
      <c r="EV123" s="21"/>
      <c r="EW123" s="21"/>
      <c r="EX123" s="21"/>
      <c r="EY123" s="21"/>
    </row>
    <row r="124" spans="1:155" s="11" customFormat="1" x14ac:dyDescent="0.3">
      <c r="A124" s="21"/>
      <c r="B124" s="22" t="s">
        <v>990</v>
      </c>
      <c r="C124" s="21" t="s">
        <v>193</v>
      </c>
      <c r="D124" s="21" t="s">
        <v>222</v>
      </c>
      <c r="E124" s="32">
        <v>29</v>
      </c>
      <c r="F124" s="22" t="s">
        <v>9</v>
      </c>
      <c r="G124" s="21"/>
      <c r="H124" s="21"/>
      <c r="I124" s="21" t="s">
        <v>234</v>
      </c>
      <c r="J124" s="21" t="s">
        <v>9</v>
      </c>
      <c r="K124" s="21" t="s">
        <v>222</v>
      </c>
      <c r="L124" s="22" t="s">
        <v>987</v>
      </c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  <c r="BQ124" s="21"/>
      <c r="BR124" s="21"/>
      <c r="BS124" s="21"/>
      <c r="BT124" s="21"/>
      <c r="BU124" s="21"/>
      <c r="BV124" s="21"/>
      <c r="BW124" s="21"/>
      <c r="BX124" s="21"/>
      <c r="BY124" s="21"/>
      <c r="BZ124" s="21"/>
      <c r="CA124" s="21"/>
      <c r="CB124" s="21"/>
      <c r="CC124" s="21"/>
      <c r="CD124" s="21"/>
      <c r="CE124" s="21"/>
      <c r="CF124" s="21"/>
      <c r="CG124" s="21"/>
      <c r="CH124" s="21"/>
      <c r="CI124" s="21"/>
      <c r="CJ124" s="21"/>
      <c r="CK124" s="21"/>
      <c r="CL124" s="21"/>
      <c r="CM124" s="21"/>
      <c r="CN124" s="21"/>
      <c r="CO124" s="21"/>
      <c r="CP124" s="21"/>
      <c r="CQ124" s="21"/>
      <c r="CR124" s="21"/>
      <c r="CS124" s="21"/>
      <c r="CT124" s="21"/>
      <c r="CU124" s="21"/>
      <c r="CV124" s="21"/>
      <c r="CW124" s="21"/>
      <c r="CX124" s="21"/>
      <c r="CY124" s="21"/>
      <c r="CZ124" s="21"/>
      <c r="DA124" s="21"/>
      <c r="DB124" s="21"/>
      <c r="DC124" s="21"/>
      <c r="DD124" s="21"/>
      <c r="DE124" s="21"/>
      <c r="DF124" s="21"/>
      <c r="DG124" s="21"/>
      <c r="DH124" s="21"/>
      <c r="DI124" s="21"/>
      <c r="DJ124" s="21"/>
      <c r="DK124" s="21"/>
      <c r="DL124" s="21"/>
      <c r="DM124" s="21"/>
      <c r="DN124" s="21"/>
      <c r="DO124" s="21"/>
      <c r="DP124" s="21"/>
      <c r="DQ124" s="21"/>
      <c r="DR124" s="21"/>
      <c r="DS124" s="21"/>
      <c r="DT124" s="21"/>
      <c r="DU124" s="21"/>
      <c r="DV124" s="21"/>
      <c r="DW124" s="21"/>
      <c r="DX124" s="21"/>
      <c r="DY124" s="21"/>
      <c r="DZ124" s="21"/>
      <c r="EA124" s="21"/>
      <c r="EB124" s="21"/>
      <c r="EC124" s="21"/>
      <c r="ED124" s="21"/>
      <c r="EE124" s="21"/>
      <c r="EF124" s="21"/>
      <c r="EG124" s="21"/>
      <c r="EH124" s="21"/>
      <c r="EI124" s="21"/>
      <c r="EJ124" s="21"/>
      <c r="EK124" s="21"/>
      <c r="EL124" s="21"/>
      <c r="EM124" s="21"/>
      <c r="EN124" s="21"/>
      <c r="EO124" s="21"/>
      <c r="EP124" s="21"/>
      <c r="EQ124" s="21"/>
      <c r="ER124" s="21"/>
      <c r="ES124" s="21"/>
      <c r="ET124" s="21"/>
      <c r="EU124" s="21"/>
      <c r="EV124" s="21"/>
      <c r="EW124" s="21"/>
      <c r="EX124" s="21"/>
      <c r="EY124" s="21"/>
    </row>
    <row r="125" spans="1:155" s="11" customFormat="1" x14ac:dyDescent="0.3">
      <c r="A125" s="21"/>
      <c r="B125" s="22" t="s">
        <v>990</v>
      </c>
      <c r="C125" s="21" t="s">
        <v>193</v>
      </c>
      <c r="D125" s="21" t="s">
        <v>223</v>
      </c>
      <c r="E125" s="32">
        <v>30</v>
      </c>
      <c r="F125" s="22" t="s">
        <v>9</v>
      </c>
      <c r="G125" s="21"/>
      <c r="H125" s="21"/>
      <c r="I125" s="21" t="s">
        <v>234</v>
      </c>
      <c r="J125" s="21" t="s">
        <v>9</v>
      </c>
      <c r="K125" s="21" t="s">
        <v>223</v>
      </c>
      <c r="L125" s="22" t="s">
        <v>987</v>
      </c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  <c r="BO125" s="21"/>
      <c r="BP125" s="21"/>
      <c r="BQ125" s="21"/>
      <c r="BR125" s="21"/>
      <c r="BS125" s="21"/>
      <c r="BT125" s="21"/>
      <c r="BU125" s="21"/>
      <c r="BV125" s="21"/>
      <c r="BW125" s="21"/>
      <c r="BX125" s="21"/>
      <c r="BY125" s="21"/>
      <c r="BZ125" s="21"/>
      <c r="CA125" s="21"/>
      <c r="CB125" s="21"/>
      <c r="CC125" s="21"/>
      <c r="CD125" s="21"/>
      <c r="CE125" s="21"/>
      <c r="CF125" s="21"/>
      <c r="CG125" s="21"/>
      <c r="CH125" s="21"/>
      <c r="CI125" s="21"/>
      <c r="CJ125" s="21"/>
      <c r="CK125" s="21"/>
      <c r="CL125" s="21"/>
      <c r="CM125" s="21"/>
      <c r="CN125" s="21"/>
      <c r="CO125" s="21"/>
      <c r="CP125" s="21"/>
      <c r="CQ125" s="21"/>
      <c r="CR125" s="21"/>
      <c r="CS125" s="21"/>
      <c r="CT125" s="21"/>
      <c r="CU125" s="21"/>
      <c r="CV125" s="21"/>
      <c r="CW125" s="21"/>
      <c r="CX125" s="21"/>
      <c r="CY125" s="21"/>
      <c r="CZ125" s="21"/>
      <c r="DA125" s="21"/>
      <c r="DB125" s="21"/>
      <c r="DC125" s="21"/>
      <c r="DD125" s="21"/>
      <c r="DE125" s="21"/>
      <c r="DF125" s="21"/>
      <c r="DG125" s="21"/>
      <c r="DH125" s="21"/>
      <c r="DI125" s="21"/>
      <c r="DJ125" s="21"/>
      <c r="DK125" s="21"/>
      <c r="DL125" s="21"/>
      <c r="DM125" s="21"/>
      <c r="DN125" s="21"/>
      <c r="DO125" s="21"/>
      <c r="DP125" s="21"/>
      <c r="DQ125" s="21"/>
      <c r="DR125" s="21"/>
      <c r="DS125" s="21"/>
      <c r="DT125" s="21"/>
      <c r="DU125" s="21"/>
      <c r="DV125" s="21"/>
      <c r="DW125" s="21"/>
      <c r="DX125" s="21"/>
      <c r="DY125" s="21"/>
      <c r="DZ125" s="21"/>
      <c r="EA125" s="21"/>
      <c r="EB125" s="21"/>
      <c r="EC125" s="21"/>
      <c r="ED125" s="21"/>
      <c r="EE125" s="21"/>
      <c r="EF125" s="21"/>
      <c r="EG125" s="21"/>
      <c r="EH125" s="21"/>
      <c r="EI125" s="21"/>
      <c r="EJ125" s="21"/>
      <c r="EK125" s="21"/>
      <c r="EL125" s="21"/>
      <c r="EM125" s="21"/>
      <c r="EN125" s="21"/>
      <c r="EO125" s="21"/>
      <c r="EP125" s="21"/>
      <c r="EQ125" s="21"/>
      <c r="ER125" s="21"/>
      <c r="ES125" s="21"/>
      <c r="ET125" s="21"/>
      <c r="EU125" s="21"/>
      <c r="EV125" s="21"/>
      <c r="EW125" s="21"/>
      <c r="EX125" s="21"/>
      <c r="EY125" s="21"/>
    </row>
    <row r="126" spans="1:155" s="11" customFormat="1" x14ac:dyDescent="0.3">
      <c r="A126" s="21"/>
      <c r="B126" s="22" t="s">
        <v>990</v>
      </c>
      <c r="C126" s="21" t="s">
        <v>193</v>
      </c>
      <c r="D126" s="21" t="s">
        <v>224</v>
      </c>
      <c r="E126" s="32">
        <v>31</v>
      </c>
      <c r="F126" s="22" t="s">
        <v>9</v>
      </c>
      <c r="G126" s="21"/>
      <c r="H126" s="21"/>
      <c r="I126" s="21" t="s">
        <v>234</v>
      </c>
      <c r="J126" s="21" t="s">
        <v>9</v>
      </c>
      <c r="K126" s="21" t="s">
        <v>224</v>
      </c>
      <c r="L126" s="22" t="s">
        <v>987</v>
      </c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1"/>
      <c r="AV126" s="21"/>
      <c r="AW126" s="21"/>
      <c r="AX126" s="21"/>
      <c r="AY126" s="21"/>
      <c r="AZ126" s="21"/>
      <c r="BA126" s="21"/>
      <c r="BB126" s="21"/>
      <c r="BC126" s="21"/>
      <c r="BD126" s="21"/>
      <c r="BE126" s="21"/>
      <c r="BF126" s="21"/>
      <c r="BG126" s="21"/>
      <c r="BH126" s="21"/>
      <c r="BI126" s="21"/>
      <c r="BJ126" s="21"/>
      <c r="BK126" s="21"/>
      <c r="BL126" s="21"/>
      <c r="BM126" s="21"/>
      <c r="BN126" s="21"/>
      <c r="BO126" s="21"/>
      <c r="BP126" s="21"/>
      <c r="BQ126" s="21"/>
      <c r="BR126" s="21"/>
      <c r="BS126" s="21"/>
      <c r="BT126" s="21"/>
      <c r="BU126" s="21"/>
      <c r="BV126" s="21"/>
      <c r="BW126" s="21"/>
      <c r="BX126" s="21"/>
      <c r="BY126" s="21"/>
      <c r="BZ126" s="21"/>
      <c r="CA126" s="21"/>
      <c r="CB126" s="21"/>
      <c r="CC126" s="21"/>
      <c r="CD126" s="21"/>
      <c r="CE126" s="21"/>
      <c r="CF126" s="21"/>
      <c r="CG126" s="21"/>
      <c r="CH126" s="21"/>
      <c r="CI126" s="21"/>
      <c r="CJ126" s="21"/>
      <c r="CK126" s="21"/>
      <c r="CL126" s="21"/>
      <c r="CM126" s="21"/>
      <c r="CN126" s="21"/>
      <c r="CO126" s="21"/>
      <c r="CP126" s="21"/>
      <c r="CQ126" s="21"/>
      <c r="CR126" s="21"/>
      <c r="CS126" s="21"/>
      <c r="CT126" s="21"/>
      <c r="CU126" s="21"/>
      <c r="CV126" s="21"/>
      <c r="CW126" s="21"/>
      <c r="CX126" s="21"/>
      <c r="CY126" s="21"/>
      <c r="CZ126" s="21"/>
      <c r="DA126" s="21"/>
      <c r="DB126" s="21"/>
      <c r="DC126" s="21"/>
      <c r="DD126" s="21"/>
      <c r="DE126" s="21"/>
      <c r="DF126" s="21"/>
      <c r="DG126" s="21"/>
      <c r="DH126" s="21"/>
      <c r="DI126" s="21"/>
      <c r="DJ126" s="21"/>
      <c r="DK126" s="21"/>
      <c r="DL126" s="21"/>
      <c r="DM126" s="21"/>
      <c r="DN126" s="21"/>
      <c r="DO126" s="21"/>
      <c r="DP126" s="21"/>
      <c r="DQ126" s="21"/>
      <c r="DR126" s="21"/>
      <c r="DS126" s="21"/>
      <c r="DT126" s="21"/>
      <c r="DU126" s="21"/>
      <c r="DV126" s="21"/>
      <c r="DW126" s="21"/>
      <c r="DX126" s="21"/>
      <c r="DY126" s="21"/>
      <c r="DZ126" s="21"/>
      <c r="EA126" s="21"/>
      <c r="EB126" s="21"/>
      <c r="EC126" s="21"/>
      <c r="ED126" s="21"/>
      <c r="EE126" s="21"/>
      <c r="EF126" s="21"/>
      <c r="EG126" s="21"/>
      <c r="EH126" s="21"/>
      <c r="EI126" s="21"/>
      <c r="EJ126" s="21"/>
      <c r="EK126" s="21"/>
      <c r="EL126" s="21"/>
      <c r="EM126" s="21"/>
      <c r="EN126" s="21"/>
      <c r="EO126" s="21"/>
      <c r="EP126" s="21"/>
      <c r="EQ126" s="21"/>
      <c r="ER126" s="21"/>
      <c r="ES126" s="21"/>
      <c r="ET126" s="21"/>
      <c r="EU126" s="21"/>
      <c r="EV126" s="21"/>
      <c r="EW126" s="21"/>
      <c r="EX126" s="21"/>
      <c r="EY126" s="21"/>
    </row>
    <row r="127" spans="1:155" s="11" customFormat="1" x14ac:dyDescent="0.3">
      <c r="A127" s="21"/>
      <c r="B127" s="22" t="s">
        <v>990</v>
      </c>
      <c r="C127" s="21" t="s">
        <v>193</v>
      </c>
      <c r="D127" s="21" t="s">
        <v>225</v>
      </c>
      <c r="E127" s="32">
        <v>32</v>
      </c>
      <c r="F127" s="22" t="s">
        <v>9</v>
      </c>
      <c r="G127" s="21"/>
      <c r="H127" s="21"/>
      <c r="I127" s="21" t="s">
        <v>234</v>
      </c>
      <c r="J127" s="21" t="s">
        <v>9</v>
      </c>
      <c r="K127" s="21" t="s">
        <v>225</v>
      </c>
      <c r="L127" s="22" t="s">
        <v>987</v>
      </c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  <c r="BQ127" s="21"/>
      <c r="BR127" s="21"/>
      <c r="BS127" s="21"/>
      <c r="BT127" s="21"/>
      <c r="BU127" s="21"/>
      <c r="BV127" s="21"/>
      <c r="BW127" s="21"/>
      <c r="BX127" s="21"/>
      <c r="BY127" s="21"/>
      <c r="BZ127" s="21"/>
      <c r="CA127" s="21"/>
      <c r="CB127" s="21"/>
      <c r="CC127" s="21"/>
      <c r="CD127" s="21"/>
      <c r="CE127" s="21"/>
      <c r="CF127" s="21"/>
      <c r="CG127" s="21"/>
      <c r="CH127" s="21"/>
      <c r="CI127" s="21"/>
      <c r="CJ127" s="21"/>
      <c r="CK127" s="21"/>
      <c r="CL127" s="21"/>
      <c r="CM127" s="21"/>
      <c r="CN127" s="21"/>
      <c r="CO127" s="21"/>
      <c r="CP127" s="21"/>
      <c r="CQ127" s="21"/>
      <c r="CR127" s="21"/>
      <c r="CS127" s="21"/>
      <c r="CT127" s="21"/>
      <c r="CU127" s="21"/>
      <c r="CV127" s="21"/>
      <c r="CW127" s="21"/>
      <c r="CX127" s="21"/>
      <c r="CY127" s="21"/>
      <c r="CZ127" s="21"/>
      <c r="DA127" s="21"/>
      <c r="DB127" s="21"/>
      <c r="DC127" s="21"/>
      <c r="DD127" s="21"/>
      <c r="DE127" s="21"/>
      <c r="DF127" s="21"/>
      <c r="DG127" s="21"/>
      <c r="DH127" s="21"/>
      <c r="DI127" s="21"/>
      <c r="DJ127" s="21"/>
      <c r="DK127" s="21"/>
      <c r="DL127" s="21"/>
      <c r="DM127" s="21"/>
      <c r="DN127" s="21"/>
      <c r="DO127" s="21"/>
      <c r="DP127" s="21"/>
      <c r="DQ127" s="21"/>
      <c r="DR127" s="21"/>
      <c r="DS127" s="21"/>
      <c r="DT127" s="21"/>
      <c r="DU127" s="21"/>
      <c r="DV127" s="21"/>
      <c r="DW127" s="21"/>
      <c r="DX127" s="21"/>
      <c r="DY127" s="21"/>
      <c r="DZ127" s="21"/>
      <c r="EA127" s="21"/>
      <c r="EB127" s="21"/>
      <c r="EC127" s="21"/>
      <c r="ED127" s="21"/>
      <c r="EE127" s="21"/>
      <c r="EF127" s="21"/>
      <c r="EG127" s="21"/>
      <c r="EH127" s="21"/>
      <c r="EI127" s="21"/>
      <c r="EJ127" s="21"/>
      <c r="EK127" s="21"/>
      <c r="EL127" s="21"/>
      <c r="EM127" s="21"/>
      <c r="EN127" s="21"/>
      <c r="EO127" s="21"/>
      <c r="EP127" s="21"/>
      <c r="EQ127" s="21"/>
      <c r="ER127" s="21"/>
      <c r="ES127" s="21"/>
      <c r="ET127" s="21"/>
      <c r="EU127" s="21"/>
      <c r="EV127" s="21"/>
      <c r="EW127" s="21"/>
      <c r="EX127" s="21"/>
      <c r="EY127" s="21"/>
    </row>
    <row r="128" spans="1:155" s="11" customFormat="1" x14ac:dyDescent="0.3">
      <c r="A128" s="21"/>
      <c r="B128" s="22" t="s">
        <v>990</v>
      </c>
      <c r="C128" s="21" t="s">
        <v>193</v>
      </c>
      <c r="D128" s="21" t="s">
        <v>226</v>
      </c>
      <c r="E128" s="32">
        <v>33</v>
      </c>
      <c r="F128" s="22" t="s">
        <v>9</v>
      </c>
      <c r="G128" s="21"/>
      <c r="H128" s="21"/>
      <c r="I128" s="21" t="s">
        <v>234</v>
      </c>
      <c r="J128" s="21" t="s">
        <v>9</v>
      </c>
      <c r="K128" s="21" t="s">
        <v>226</v>
      </c>
      <c r="L128" s="22" t="s">
        <v>987</v>
      </c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  <c r="BQ128" s="21"/>
      <c r="BR128" s="21"/>
      <c r="BS128" s="21"/>
      <c r="BT128" s="21"/>
      <c r="BU128" s="21"/>
      <c r="BV128" s="21"/>
      <c r="BW128" s="21"/>
      <c r="BX128" s="21"/>
      <c r="BY128" s="21"/>
      <c r="BZ128" s="21"/>
      <c r="CA128" s="21"/>
      <c r="CB128" s="21"/>
      <c r="CC128" s="21"/>
      <c r="CD128" s="21"/>
      <c r="CE128" s="21"/>
      <c r="CF128" s="21"/>
      <c r="CG128" s="21"/>
      <c r="CH128" s="21"/>
      <c r="CI128" s="21"/>
      <c r="CJ128" s="21"/>
      <c r="CK128" s="21"/>
      <c r="CL128" s="21"/>
      <c r="CM128" s="21"/>
      <c r="CN128" s="21"/>
      <c r="CO128" s="21"/>
      <c r="CP128" s="21"/>
      <c r="CQ128" s="21"/>
      <c r="CR128" s="21"/>
      <c r="CS128" s="21"/>
      <c r="CT128" s="21"/>
      <c r="CU128" s="21"/>
      <c r="CV128" s="21"/>
      <c r="CW128" s="21"/>
      <c r="CX128" s="21"/>
      <c r="CY128" s="21"/>
      <c r="CZ128" s="21"/>
      <c r="DA128" s="21"/>
      <c r="DB128" s="21"/>
      <c r="DC128" s="21"/>
      <c r="DD128" s="21"/>
      <c r="DE128" s="21"/>
      <c r="DF128" s="21"/>
      <c r="DG128" s="21"/>
      <c r="DH128" s="21"/>
      <c r="DI128" s="21"/>
      <c r="DJ128" s="21"/>
      <c r="DK128" s="21"/>
      <c r="DL128" s="21"/>
      <c r="DM128" s="21"/>
      <c r="DN128" s="21"/>
      <c r="DO128" s="21"/>
      <c r="DP128" s="21"/>
      <c r="DQ128" s="21"/>
      <c r="DR128" s="21"/>
      <c r="DS128" s="21"/>
      <c r="DT128" s="21"/>
      <c r="DU128" s="21"/>
      <c r="DV128" s="21"/>
      <c r="DW128" s="21"/>
      <c r="DX128" s="21"/>
      <c r="DY128" s="21"/>
      <c r="DZ128" s="21"/>
      <c r="EA128" s="21"/>
      <c r="EB128" s="21"/>
      <c r="EC128" s="21"/>
      <c r="ED128" s="21"/>
      <c r="EE128" s="21"/>
      <c r="EF128" s="21"/>
      <c r="EG128" s="21"/>
      <c r="EH128" s="21"/>
      <c r="EI128" s="21"/>
      <c r="EJ128" s="21"/>
      <c r="EK128" s="21"/>
      <c r="EL128" s="21"/>
      <c r="EM128" s="21"/>
      <c r="EN128" s="21"/>
      <c r="EO128" s="21"/>
      <c r="EP128" s="21"/>
      <c r="EQ128" s="21"/>
      <c r="ER128" s="21"/>
      <c r="ES128" s="21"/>
      <c r="ET128" s="21"/>
      <c r="EU128" s="21"/>
      <c r="EV128" s="21"/>
      <c r="EW128" s="21"/>
      <c r="EX128" s="21"/>
      <c r="EY128" s="21"/>
    </row>
    <row r="129" spans="1:155" s="11" customFormat="1" x14ac:dyDescent="0.3">
      <c r="A129" s="21"/>
      <c r="B129" s="22" t="s">
        <v>990</v>
      </c>
      <c r="C129" s="21" t="s">
        <v>193</v>
      </c>
      <c r="D129" s="21" t="s">
        <v>227</v>
      </c>
      <c r="E129" s="32">
        <v>34</v>
      </c>
      <c r="F129" s="22" t="s">
        <v>9</v>
      </c>
      <c r="G129" s="21"/>
      <c r="H129" s="21"/>
      <c r="I129" s="21" t="s">
        <v>234</v>
      </c>
      <c r="J129" s="21" t="s">
        <v>9</v>
      </c>
      <c r="K129" s="21" t="s">
        <v>227</v>
      </c>
      <c r="L129" s="22" t="s">
        <v>987</v>
      </c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  <c r="BK129" s="21"/>
      <c r="BL129" s="21"/>
      <c r="BM129" s="21"/>
      <c r="BN129" s="21"/>
      <c r="BO129" s="21"/>
      <c r="BP129" s="21"/>
      <c r="BQ129" s="21"/>
      <c r="BR129" s="21"/>
      <c r="BS129" s="21"/>
      <c r="BT129" s="21"/>
      <c r="BU129" s="21"/>
      <c r="BV129" s="21"/>
      <c r="BW129" s="21"/>
      <c r="BX129" s="21"/>
      <c r="BY129" s="21"/>
      <c r="BZ129" s="21"/>
      <c r="CA129" s="21"/>
      <c r="CB129" s="21"/>
      <c r="CC129" s="21"/>
      <c r="CD129" s="21"/>
      <c r="CE129" s="21"/>
      <c r="CF129" s="21"/>
      <c r="CG129" s="21"/>
      <c r="CH129" s="21"/>
      <c r="CI129" s="21"/>
      <c r="CJ129" s="21"/>
      <c r="CK129" s="21"/>
      <c r="CL129" s="21"/>
      <c r="CM129" s="21"/>
      <c r="CN129" s="21"/>
      <c r="CO129" s="21"/>
      <c r="CP129" s="21"/>
      <c r="CQ129" s="21"/>
      <c r="CR129" s="21"/>
      <c r="CS129" s="21"/>
      <c r="CT129" s="21"/>
      <c r="CU129" s="21"/>
      <c r="CV129" s="21"/>
      <c r="CW129" s="21"/>
      <c r="CX129" s="21"/>
      <c r="CY129" s="21"/>
      <c r="CZ129" s="21"/>
      <c r="DA129" s="21"/>
      <c r="DB129" s="21"/>
      <c r="DC129" s="21"/>
      <c r="DD129" s="21"/>
      <c r="DE129" s="21"/>
      <c r="DF129" s="21"/>
      <c r="DG129" s="21"/>
      <c r="DH129" s="21"/>
      <c r="DI129" s="21"/>
      <c r="DJ129" s="21"/>
      <c r="DK129" s="21"/>
      <c r="DL129" s="21"/>
      <c r="DM129" s="21"/>
      <c r="DN129" s="21"/>
      <c r="DO129" s="21"/>
      <c r="DP129" s="21"/>
      <c r="DQ129" s="21"/>
      <c r="DR129" s="21"/>
      <c r="DS129" s="21"/>
      <c r="DT129" s="21"/>
      <c r="DU129" s="21"/>
      <c r="DV129" s="21"/>
      <c r="DW129" s="21"/>
      <c r="DX129" s="21"/>
      <c r="DY129" s="21"/>
      <c r="DZ129" s="21"/>
      <c r="EA129" s="21"/>
      <c r="EB129" s="21"/>
      <c r="EC129" s="21"/>
      <c r="ED129" s="21"/>
      <c r="EE129" s="21"/>
      <c r="EF129" s="21"/>
      <c r="EG129" s="21"/>
      <c r="EH129" s="21"/>
      <c r="EI129" s="21"/>
      <c r="EJ129" s="21"/>
      <c r="EK129" s="21"/>
      <c r="EL129" s="21"/>
      <c r="EM129" s="21"/>
      <c r="EN129" s="21"/>
      <c r="EO129" s="21"/>
      <c r="EP129" s="21"/>
      <c r="EQ129" s="21"/>
      <c r="ER129" s="21"/>
      <c r="ES129" s="21"/>
      <c r="ET129" s="21"/>
      <c r="EU129" s="21"/>
      <c r="EV129" s="21"/>
      <c r="EW129" s="21"/>
      <c r="EX129" s="21"/>
      <c r="EY129" s="21"/>
    </row>
    <row r="130" spans="1:155" s="11" customFormat="1" x14ac:dyDescent="0.3">
      <c r="A130" s="21"/>
      <c r="B130" s="22" t="s">
        <v>990</v>
      </c>
      <c r="C130" s="21" t="s">
        <v>193</v>
      </c>
      <c r="D130" s="21" t="s">
        <v>228</v>
      </c>
      <c r="E130" s="32">
        <v>35</v>
      </c>
      <c r="F130" s="22" t="s">
        <v>9</v>
      </c>
      <c r="G130" s="21"/>
      <c r="H130" s="21"/>
      <c r="I130" s="21" t="s">
        <v>234</v>
      </c>
      <c r="J130" s="21" t="s">
        <v>9</v>
      </c>
      <c r="K130" s="21" t="s">
        <v>228</v>
      </c>
      <c r="L130" s="22" t="s">
        <v>987</v>
      </c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  <c r="AZ130" s="21"/>
      <c r="BA130" s="21"/>
      <c r="BB130" s="21"/>
      <c r="BC130" s="21"/>
      <c r="BD130" s="21"/>
      <c r="BE130" s="21"/>
      <c r="BF130" s="21"/>
      <c r="BG130" s="21"/>
      <c r="BH130" s="21"/>
      <c r="BI130" s="21"/>
      <c r="BJ130" s="21"/>
      <c r="BK130" s="21"/>
      <c r="BL130" s="21"/>
      <c r="BM130" s="21"/>
      <c r="BN130" s="21"/>
      <c r="BO130" s="21"/>
      <c r="BP130" s="21"/>
      <c r="BQ130" s="21"/>
      <c r="BR130" s="21"/>
      <c r="BS130" s="21"/>
      <c r="BT130" s="21"/>
      <c r="BU130" s="21"/>
      <c r="BV130" s="21"/>
      <c r="BW130" s="21"/>
      <c r="BX130" s="21"/>
      <c r="BY130" s="21"/>
      <c r="BZ130" s="21"/>
      <c r="CA130" s="21"/>
      <c r="CB130" s="21"/>
      <c r="CC130" s="21"/>
      <c r="CD130" s="21"/>
      <c r="CE130" s="21"/>
      <c r="CF130" s="21"/>
      <c r="CG130" s="21"/>
      <c r="CH130" s="21"/>
      <c r="CI130" s="21"/>
      <c r="CJ130" s="21"/>
      <c r="CK130" s="21"/>
      <c r="CL130" s="21"/>
      <c r="CM130" s="21"/>
      <c r="CN130" s="21"/>
      <c r="CO130" s="21"/>
      <c r="CP130" s="21"/>
      <c r="CQ130" s="21"/>
      <c r="CR130" s="21"/>
      <c r="CS130" s="21"/>
      <c r="CT130" s="21"/>
      <c r="CU130" s="21"/>
      <c r="CV130" s="21"/>
      <c r="CW130" s="21"/>
      <c r="CX130" s="21"/>
      <c r="CY130" s="21"/>
      <c r="CZ130" s="21"/>
      <c r="DA130" s="21"/>
      <c r="DB130" s="21"/>
      <c r="DC130" s="21"/>
      <c r="DD130" s="21"/>
      <c r="DE130" s="21"/>
      <c r="DF130" s="21"/>
      <c r="DG130" s="21"/>
      <c r="DH130" s="21"/>
      <c r="DI130" s="21"/>
      <c r="DJ130" s="21"/>
      <c r="DK130" s="21"/>
      <c r="DL130" s="21"/>
      <c r="DM130" s="21"/>
      <c r="DN130" s="21"/>
      <c r="DO130" s="21"/>
      <c r="DP130" s="21"/>
      <c r="DQ130" s="21"/>
      <c r="DR130" s="21"/>
      <c r="DS130" s="21"/>
      <c r="DT130" s="21"/>
      <c r="DU130" s="21"/>
      <c r="DV130" s="21"/>
      <c r="DW130" s="21"/>
      <c r="DX130" s="21"/>
      <c r="DY130" s="21"/>
      <c r="DZ130" s="21"/>
      <c r="EA130" s="21"/>
      <c r="EB130" s="21"/>
      <c r="EC130" s="21"/>
      <c r="ED130" s="21"/>
      <c r="EE130" s="21"/>
      <c r="EF130" s="21"/>
      <c r="EG130" s="21"/>
      <c r="EH130" s="21"/>
      <c r="EI130" s="21"/>
      <c r="EJ130" s="21"/>
      <c r="EK130" s="21"/>
      <c r="EL130" s="21"/>
      <c r="EM130" s="21"/>
      <c r="EN130" s="21"/>
      <c r="EO130" s="21"/>
      <c r="EP130" s="21"/>
      <c r="EQ130" s="21"/>
      <c r="ER130" s="21"/>
      <c r="ES130" s="21"/>
      <c r="ET130" s="21"/>
      <c r="EU130" s="21"/>
      <c r="EV130" s="21"/>
      <c r="EW130" s="21"/>
      <c r="EX130" s="21"/>
      <c r="EY130" s="21"/>
    </row>
    <row r="131" spans="1:155" s="11" customFormat="1" x14ac:dyDescent="0.3">
      <c r="A131" s="21"/>
      <c r="B131" s="22" t="s">
        <v>990</v>
      </c>
      <c r="C131" s="21" t="s">
        <v>193</v>
      </c>
      <c r="D131" s="21" t="s">
        <v>229</v>
      </c>
      <c r="E131" s="32">
        <v>36</v>
      </c>
      <c r="F131" s="22" t="s">
        <v>9</v>
      </c>
      <c r="G131" s="21"/>
      <c r="H131" s="21"/>
      <c r="I131" s="21" t="s">
        <v>234</v>
      </c>
      <c r="J131" s="21" t="s">
        <v>9</v>
      </c>
      <c r="K131" s="21" t="s">
        <v>229</v>
      </c>
      <c r="L131" s="22" t="s">
        <v>987</v>
      </c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  <c r="BS131" s="21"/>
      <c r="BT131" s="21"/>
      <c r="BU131" s="21"/>
      <c r="BV131" s="21"/>
      <c r="BW131" s="21"/>
      <c r="BX131" s="21"/>
      <c r="BY131" s="21"/>
      <c r="BZ131" s="21"/>
      <c r="CA131" s="21"/>
      <c r="CB131" s="21"/>
      <c r="CC131" s="21"/>
      <c r="CD131" s="21"/>
      <c r="CE131" s="21"/>
      <c r="CF131" s="21"/>
      <c r="CG131" s="21"/>
      <c r="CH131" s="21"/>
      <c r="CI131" s="21"/>
      <c r="CJ131" s="21"/>
      <c r="CK131" s="21"/>
      <c r="CL131" s="21"/>
      <c r="CM131" s="21"/>
      <c r="CN131" s="21"/>
      <c r="CO131" s="21"/>
      <c r="CP131" s="21"/>
      <c r="CQ131" s="21"/>
      <c r="CR131" s="21"/>
      <c r="CS131" s="21"/>
      <c r="CT131" s="21"/>
      <c r="CU131" s="21"/>
      <c r="CV131" s="21"/>
      <c r="CW131" s="21"/>
      <c r="CX131" s="21"/>
      <c r="CY131" s="21"/>
      <c r="CZ131" s="21"/>
      <c r="DA131" s="21"/>
      <c r="DB131" s="21"/>
      <c r="DC131" s="21"/>
      <c r="DD131" s="21"/>
      <c r="DE131" s="21"/>
      <c r="DF131" s="21"/>
      <c r="DG131" s="21"/>
      <c r="DH131" s="21"/>
      <c r="DI131" s="21"/>
      <c r="DJ131" s="21"/>
      <c r="DK131" s="21"/>
      <c r="DL131" s="21"/>
      <c r="DM131" s="21"/>
      <c r="DN131" s="21"/>
      <c r="DO131" s="21"/>
      <c r="DP131" s="21"/>
      <c r="DQ131" s="21"/>
      <c r="DR131" s="21"/>
      <c r="DS131" s="21"/>
      <c r="DT131" s="21"/>
      <c r="DU131" s="21"/>
      <c r="DV131" s="21"/>
      <c r="DW131" s="21"/>
      <c r="DX131" s="21"/>
      <c r="DY131" s="21"/>
      <c r="DZ131" s="21"/>
      <c r="EA131" s="21"/>
      <c r="EB131" s="21"/>
      <c r="EC131" s="21"/>
      <c r="ED131" s="21"/>
      <c r="EE131" s="21"/>
      <c r="EF131" s="21"/>
      <c r="EG131" s="21"/>
      <c r="EH131" s="21"/>
      <c r="EI131" s="21"/>
      <c r="EJ131" s="21"/>
      <c r="EK131" s="21"/>
      <c r="EL131" s="21"/>
      <c r="EM131" s="21"/>
      <c r="EN131" s="21"/>
      <c r="EO131" s="21"/>
      <c r="EP131" s="21"/>
      <c r="EQ131" s="21"/>
      <c r="ER131" s="21"/>
      <c r="ES131" s="21"/>
      <c r="ET131" s="21"/>
      <c r="EU131" s="21"/>
      <c r="EV131" s="21"/>
      <c r="EW131" s="21"/>
      <c r="EX131" s="21"/>
      <c r="EY131" s="21"/>
    </row>
    <row r="132" spans="1:155" s="11" customFormat="1" x14ac:dyDescent="0.3">
      <c r="A132" s="21"/>
      <c r="B132" s="22" t="s">
        <v>990</v>
      </c>
      <c r="C132" s="21" t="s">
        <v>193</v>
      </c>
      <c r="D132" s="21" t="s">
        <v>230</v>
      </c>
      <c r="E132" s="32">
        <v>37</v>
      </c>
      <c r="F132" s="22" t="s">
        <v>9</v>
      </c>
      <c r="G132" s="21"/>
      <c r="H132" s="21"/>
      <c r="I132" s="21" t="s">
        <v>234</v>
      </c>
      <c r="J132" s="21" t="s">
        <v>9</v>
      </c>
      <c r="K132" s="21" t="s">
        <v>230</v>
      </c>
      <c r="L132" s="22" t="s">
        <v>987</v>
      </c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  <c r="BO132" s="21"/>
      <c r="BP132" s="21"/>
      <c r="BQ132" s="21"/>
      <c r="BR132" s="21"/>
      <c r="BS132" s="21"/>
      <c r="BT132" s="21"/>
      <c r="BU132" s="21"/>
      <c r="BV132" s="21"/>
      <c r="BW132" s="21"/>
      <c r="BX132" s="21"/>
      <c r="BY132" s="21"/>
      <c r="BZ132" s="21"/>
      <c r="CA132" s="21"/>
      <c r="CB132" s="21"/>
      <c r="CC132" s="21"/>
      <c r="CD132" s="21"/>
      <c r="CE132" s="21"/>
      <c r="CF132" s="21"/>
      <c r="CG132" s="21"/>
      <c r="CH132" s="21"/>
      <c r="CI132" s="21"/>
      <c r="CJ132" s="21"/>
      <c r="CK132" s="21"/>
      <c r="CL132" s="21"/>
      <c r="CM132" s="21"/>
      <c r="CN132" s="21"/>
      <c r="CO132" s="21"/>
      <c r="CP132" s="21"/>
      <c r="CQ132" s="21"/>
      <c r="CR132" s="21"/>
      <c r="CS132" s="21"/>
      <c r="CT132" s="21"/>
      <c r="CU132" s="21"/>
      <c r="CV132" s="21"/>
      <c r="CW132" s="21"/>
      <c r="CX132" s="21"/>
      <c r="CY132" s="21"/>
      <c r="CZ132" s="21"/>
      <c r="DA132" s="21"/>
      <c r="DB132" s="21"/>
      <c r="DC132" s="21"/>
      <c r="DD132" s="21"/>
      <c r="DE132" s="21"/>
      <c r="DF132" s="21"/>
      <c r="DG132" s="21"/>
      <c r="DH132" s="21"/>
      <c r="DI132" s="21"/>
      <c r="DJ132" s="21"/>
      <c r="DK132" s="21"/>
      <c r="DL132" s="21"/>
      <c r="DM132" s="21"/>
      <c r="DN132" s="21"/>
      <c r="DO132" s="21"/>
      <c r="DP132" s="21"/>
      <c r="DQ132" s="21"/>
      <c r="DR132" s="21"/>
      <c r="DS132" s="21"/>
      <c r="DT132" s="21"/>
      <c r="DU132" s="21"/>
      <c r="DV132" s="21"/>
      <c r="DW132" s="21"/>
      <c r="DX132" s="21"/>
      <c r="DY132" s="21"/>
      <c r="DZ132" s="21"/>
      <c r="EA132" s="21"/>
      <c r="EB132" s="21"/>
      <c r="EC132" s="21"/>
      <c r="ED132" s="21"/>
      <c r="EE132" s="21"/>
      <c r="EF132" s="21"/>
      <c r="EG132" s="21"/>
      <c r="EH132" s="21"/>
      <c r="EI132" s="21"/>
      <c r="EJ132" s="21"/>
      <c r="EK132" s="21"/>
      <c r="EL132" s="21"/>
      <c r="EM132" s="21"/>
      <c r="EN132" s="21"/>
      <c r="EO132" s="21"/>
      <c r="EP132" s="21"/>
      <c r="EQ132" s="21"/>
      <c r="ER132" s="21"/>
      <c r="ES132" s="21"/>
      <c r="ET132" s="21"/>
      <c r="EU132" s="21"/>
      <c r="EV132" s="21"/>
      <c r="EW132" s="21"/>
      <c r="EX132" s="21"/>
      <c r="EY132" s="21"/>
    </row>
    <row r="133" spans="1:155" s="11" customFormat="1" x14ac:dyDescent="0.3">
      <c r="A133" s="21"/>
      <c r="B133" s="22" t="s">
        <v>990</v>
      </c>
      <c r="C133" s="21" t="s">
        <v>193</v>
      </c>
      <c r="D133" s="21" t="s">
        <v>231</v>
      </c>
      <c r="E133" s="32">
        <v>38</v>
      </c>
      <c r="F133" s="22" t="s">
        <v>9</v>
      </c>
      <c r="G133" s="21"/>
      <c r="H133" s="21"/>
      <c r="I133" s="21" t="s">
        <v>234</v>
      </c>
      <c r="J133" s="21" t="s">
        <v>9</v>
      </c>
      <c r="K133" s="21" t="s">
        <v>231</v>
      </c>
      <c r="L133" s="22" t="s">
        <v>987</v>
      </c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  <c r="BK133" s="21"/>
      <c r="BL133" s="21"/>
      <c r="BM133" s="21"/>
      <c r="BN133" s="21"/>
      <c r="BO133" s="21"/>
      <c r="BP133" s="21"/>
      <c r="BQ133" s="21"/>
      <c r="BR133" s="21"/>
      <c r="BS133" s="21"/>
      <c r="BT133" s="21"/>
      <c r="BU133" s="21"/>
      <c r="BV133" s="21"/>
      <c r="BW133" s="21"/>
      <c r="BX133" s="21"/>
      <c r="BY133" s="21"/>
      <c r="BZ133" s="21"/>
      <c r="CA133" s="21"/>
      <c r="CB133" s="21"/>
      <c r="CC133" s="21"/>
      <c r="CD133" s="21"/>
      <c r="CE133" s="21"/>
      <c r="CF133" s="21"/>
      <c r="CG133" s="21"/>
      <c r="CH133" s="21"/>
      <c r="CI133" s="21"/>
      <c r="CJ133" s="21"/>
      <c r="CK133" s="21"/>
      <c r="CL133" s="21"/>
      <c r="CM133" s="21"/>
      <c r="CN133" s="21"/>
      <c r="CO133" s="21"/>
      <c r="CP133" s="21"/>
      <c r="CQ133" s="21"/>
      <c r="CR133" s="21"/>
      <c r="CS133" s="21"/>
      <c r="CT133" s="21"/>
      <c r="CU133" s="21"/>
      <c r="CV133" s="21"/>
      <c r="CW133" s="21"/>
      <c r="CX133" s="21"/>
      <c r="CY133" s="21"/>
      <c r="CZ133" s="21"/>
      <c r="DA133" s="21"/>
      <c r="DB133" s="21"/>
      <c r="DC133" s="21"/>
      <c r="DD133" s="21"/>
      <c r="DE133" s="21"/>
      <c r="DF133" s="21"/>
      <c r="DG133" s="21"/>
      <c r="DH133" s="21"/>
      <c r="DI133" s="21"/>
      <c r="DJ133" s="21"/>
      <c r="DK133" s="21"/>
      <c r="DL133" s="21"/>
      <c r="DM133" s="21"/>
      <c r="DN133" s="21"/>
      <c r="DO133" s="21"/>
      <c r="DP133" s="21"/>
      <c r="DQ133" s="21"/>
      <c r="DR133" s="21"/>
      <c r="DS133" s="21"/>
      <c r="DT133" s="21"/>
      <c r="DU133" s="21"/>
      <c r="DV133" s="21"/>
      <c r="DW133" s="21"/>
      <c r="DX133" s="21"/>
      <c r="DY133" s="21"/>
      <c r="DZ133" s="21"/>
      <c r="EA133" s="21"/>
      <c r="EB133" s="21"/>
      <c r="EC133" s="21"/>
      <c r="ED133" s="21"/>
      <c r="EE133" s="21"/>
      <c r="EF133" s="21"/>
      <c r="EG133" s="21"/>
      <c r="EH133" s="21"/>
      <c r="EI133" s="21"/>
      <c r="EJ133" s="21"/>
      <c r="EK133" s="21"/>
      <c r="EL133" s="21"/>
      <c r="EM133" s="21"/>
      <c r="EN133" s="21"/>
      <c r="EO133" s="21"/>
      <c r="EP133" s="21"/>
      <c r="EQ133" s="21"/>
      <c r="ER133" s="21"/>
      <c r="ES133" s="21"/>
      <c r="ET133" s="21"/>
      <c r="EU133" s="21"/>
      <c r="EV133" s="21"/>
      <c r="EW133" s="21"/>
      <c r="EX133" s="21"/>
      <c r="EY133" s="21"/>
    </row>
    <row r="134" spans="1:155" s="11" customFormat="1" x14ac:dyDescent="0.3">
      <c r="A134" s="21"/>
      <c r="B134" s="22" t="s">
        <v>990</v>
      </c>
      <c r="C134" s="21" t="s">
        <v>193</v>
      </c>
      <c r="D134" s="21" t="s">
        <v>232</v>
      </c>
      <c r="E134" s="32">
        <v>39</v>
      </c>
      <c r="F134" s="22" t="s">
        <v>9</v>
      </c>
      <c r="G134" s="21"/>
      <c r="H134" s="21"/>
      <c r="I134" s="21" t="s">
        <v>234</v>
      </c>
      <c r="J134" s="21" t="s">
        <v>9</v>
      </c>
      <c r="K134" s="21" t="s">
        <v>232</v>
      </c>
      <c r="L134" s="22" t="s">
        <v>987</v>
      </c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  <c r="AU134" s="21"/>
      <c r="AV134" s="21"/>
      <c r="AW134" s="21"/>
      <c r="AX134" s="21"/>
      <c r="AY134" s="21"/>
      <c r="AZ134" s="21"/>
      <c r="BA134" s="21"/>
      <c r="BB134" s="21"/>
      <c r="BC134" s="21"/>
      <c r="BD134" s="21"/>
      <c r="BE134" s="21"/>
      <c r="BF134" s="21"/>
      <c r="BG134" s="21"/>
      <c r="BH134" s="21"/>
      <c r="BI134" s="21"/>
      <c r="BJ134" s="21"/>
      <c r="BK134" s="21"/>
      <c r="BL134" s="21"/>
      <c r="BM134" s="21"/>
      <c r="BN134" s="21"/>
      <c r="BO134" s="21"/>
      <c r="BP134" s="21"/>
      <c r="BQ134" s="21"/>
      <c r="BR134" s="21"/>
      <c r="BS134" s="21"/>
      <c r="BT134" s="21"/>
      <c r="BU134" s="21"/>
      <c r="BV134" s="21"/>
      <c r="BW134" s="21"/>
      <c r="BX134" s="21"/>
      <c r="BY134" s="21"/>
      <c r="BZ134" s="21"/>
      <c r="CA134" s="21"/>
      <c r="CB134" s="21"/>
      <c r="CC134" s="21"/>
      <c r="CD134" s="21"/>
      <c r="CE134" s="21"/>
      <c r="CF134" s="21"/>
      <c r="CG134" s="21"/>
      <c r="CH134" s="21"/>
      <c r="CI134" s="21"/>
      <c r="CJ134" s="21"/>
      <c r="CK134" s="21"/>
      <c r="CL134" s="21"/>
      <c r="CM134" s="21"/>
      <c r="CN134" s="21"/>
      <c r="CO134" s="21"/>
      <c r="CP134" s="21"/>
      <c r="CQ134" s="21"/>
      <c r="CR134" s="21"/>
      <c r="CS134" s="21"/>
      <c r="CT134" s="21"/>
      <c r="CU134" s="21"/>
      <c r="CV134" s="21"/>
      <c r="CW134" s="21"/>
      <c r="CX134" s="21"/>
      <c r="CY134" s="21"/>
      <c r="CZ134" s="21"/>
      <c r="DA134" s="21"/>
      <c r="DB134" s="21"/>
      <c r="DC134" s="21"/>
      <c r="DD134" s="21"/>
      <c r="DE134" s="21"/>
      <c r="DF134" s="21"/>
      <c r="DG134" s="21"/>
      <c r="DH134" s="21"/>
      <c r="DI134" s="21"/>
      <c r="DJ134" s="21"/>
      <c r="DK134" s="21"/>
      <c r="DL134" s="21"/>
      <c r="DM134" s="21"/>
      <c r="DN134" s="21"/>
      <c r="DO134" s="21"/>
      <c r="DP134" s="21"/>
      <c r="DQ134" s="21"/>
      <c r="DR134" s="21"/>
      <c r="DS134" s="21"/>
      <c r="DT134" s="21"/>
      <c r="DU134" s="21"/>
      <c r="DV134" s="21"/>
      <c r="DW134" s="21"/>
      <c r="DX134" s="21"/>
      <c r="DY134" s="21"/>
      <c r="DZ134" s="21"/>
      <c r="EA134" s="21"/>
      <c r="EB134" s="21"/>
      <c r="EC134" s="21"/>
      <c r="ED134" s="21"/>
      <c r="EE134" s="21"/>
      <c r="EF134" s="21"/>
      <c r="EG134" s="21"/>
      <c r="EH134" s="21"/>
      <c r="EI134" s="21"/>
      <c r="EJ134" s="21"/>
      <c r="EK134" s="21"/>
      <c r="EL134" s="21"/>
      <c r="EM134" s="21"/>
      <c r="EN134" s="21"/>
      <c r="EO134" s="21"/>
      <c r="EP134" s="21"/>
      <c r="EQ134" s="21"/>
      <c r="ER134" s="21"/>
      <c r="ES134" s="21"/>
      <c r="ET134" s="21"/>
      <c r="EU134" s="21"/>
      <c r="EV134" s="21"/>
      <c r="EW134" s="21"/>
      <c r="EX134" s="21"/>
      <c r="EY134" s="21"/>
    </row>
    <row r="135" spans="1:155" s="11" customFormat="1" x14ac:dyDescent="0.3">
      <c r="A135" s="21"/>
      <c r="B135" s="22" t="s">
        <v>990</v>
      </c>
      <c r="C135" s="21" t="s">
        <v>193</v>
      </c>
      <c r="D135" s="21" t="s">
        <v>233</v>
      </c>
      <c r="E135" s="32">
        <v>40</v>
      </c>
      <c r="F135" s="22" t="s">
        <v>9</v>
      </c>
      <c r="G135" s="21"/>
      <c r="H135" s="21"/>
      <c r="I135" s="21" t="s">
        <v>234</v>
      </c>
      <c r="J135" s="21" t="s">
        <v>9</v>
      </c>
      <c r="K135" s="21" t="s">
        <v>233</v>
      </c>
      <c r="L135" s="22" t="s">
        <v>987</v>
      </c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  <c r="BO135" s="21"/>
      <c r="BP135" s="21"/>
      <c r="BQ135" s="21"/>
      <c r="BR135" s="21"/>
      <c r="BS135" s="21"/>
      <c r="BT135" s="21"/>
      <c r="BU135" s="21"/>
      <c r="BV135" s="21"/>
      <c r="BW135" s="21"/>
      <c r="BX135" s="21"/>
      <c r="BY135" s="21"/>
      <c r="BZ135" s="21"/>
      <c r="CA135" s="21"/>
      <c r="CB135" s="21"/>
      <c r="CC135" s="21"/>
      <c r="CD135" s="21"/>
      <c r="CE135" s="21"/>
      <c r="CF135" s="21"/>
      <c r="CG135" s="21"/>
      <c r="CH135" s="21"/>
      <c r="CI135" s="21"/>
      <c r="CJ135" s="21"/>
      <c r="CK135" s="21"/>
      <c r="CL135" s="21"/>
      <c r="CM135" s="21"/>
      <c r="CN135" s="21"/>
      <c r="CO135" s="21"/>
      <c r="CP135" s="21"/>
      <c r="CQ135" s="21"/>
      <c r="CR135" s="21"/>
      <c r="CS135" s="21"/>
      <c r="CT135" s="21"/>
      <c r="CU135" s="21"/>
      <c r="CV135" s="21"/>
      <c r="CW135" s="21"/>
      <c r="CX135" s="21"/>
      <c r="CY135" s="21"/>
      <c r="CZ135" s="21"/>
      <c r="DA135" s="21"/>
      <c r="DB135" s="21"/>
      <c r="DC135" s="21"/>
      <c r="DD135" s="21"/>
      <c r="DE135" s="21"/>
      <c r="DF135" s="21"/>
      <c r="DG135" s="21"/>
      <c r="DH135" s="21"/>
      <c r="DI135" s="21"/>
      <c r="DJ135" s="21"/>
      <c r="DK135" s="21"/>
      <c r="DL135" s="21"/>
      <c r="DM135" s="21"/>
      <c r="DN135" s="21"/>
      <c r="DO135" s="21"/>
      <c r="DP135" s="21"/>
      <c r="DQ135" s="21"/>
      <c r="DR135" s="21"/>
      <c r="DS135" s="21"/>
      <c r="DT135" s="21"/>
      <c r="DU135" s="21"/>
      <c r="DV135" s="21"/>
      <c r="DW135" s="21"/>
      <c r="DX135" s="21"/>
      <c r="DY135" s="21"/>
      <c r="DZ135" s="21"/>
      <c r="EA135" s="21"/>
      <c r="EB135" s="21"/>
      <c r="EC135" s="21"/>
      <c r="ED135" s="21"/>
      <c r="EE135" s="21"/>
      <c r="EF135" s="21"/>
      <c r="EG135" s="21"/>
      <c r="EH135" s="21"/>
      <c r="EI135" s="21"/>
      <c r="EJ135" s="21"/>
      <c r="EK135" s="21"/>
      <c r="EL135" s="21"/>
      <c r="EM135" s="21"/>
      <c r="EN135" s="21"/>
      <c r="EO135" s="21"/>
      <c r="EP135" s="21"/>
      <c r="EQ135" s="21"/>
      <c r="ER135" s="21"/>
      <c r="ES135" s="21"/>
      <c r="ET135" s="21"/>
      <c r="EU135" s="21"/>
      <c r="EV135" s="21"/>
      <c r="EW135" s="21"/>
      <c r="EX135" s="21"/>
      <c r="EY135" s="21"/>
    </row>
    <row r="136" spans="1:155" x14ac:dyDescent="0.3">
      <c r="E136" s="6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  <c r="BO136" s="21"/>
      <c r="BP136" s="21"/>
      <c r="BQ136" s="21"/>
      <c r="BR136" s="21"/>
      <c r="BS136" s="21"/>
      <c r="BT136" s="21"/>
      <c r="BU136" s="21"/>
      <c r="BV136" s="21"/>
      <c r="BW136" s="21"/>
      <c r="BX136" s="21"/>
      <c r="BY136" s="21"/>
      <c r="BZ136" s="21"/>
      <c r="CA136" s="21"/>
      <c r="CB136" s="21"/>
      <c r="CC136" s="21"/>
      <c r="CD136" s="21"/>
      <c r="CE136" s="21"/>
      <c r="CF136" s="21"/>
      <c r="CG136" s="21"/>
      <c r="CH136" s="21"/>
      <c r="CI136" s="21"/>
      <c r="CJ136" s="21"/>
      <c r="CK136" s="21"/>
      <c r="CL136" s="21"/>
      <c r="CM136" s="21"/>
      <c r="CN136" s="21"/>
      <c r="CO136" s="21"/>
      <c r="CP136" s="21"/>
      <c r="CQ136" s="21"/>
      <c r="CR136" s="21"/>
      <c r="CS136" s="21"/>
      <c r="CT136" s="21"/>
      <c r="CU136" s="21"/>
      <c r="CV136" s="21"/>
      <c r="CW136" s="21"/>
      <c r="CX136" s="21"/>
      <c r="CY136" s="21"/>
      <c r="CZ136" s="21"/>
      <c r="DA136" s="21"/>
      <c r="DB136" s="21"/>
      <c r="DC136" s="21"/>
      <c r="DD136" s="21"/>
      <c r="DE136" s="21"/>
      <c r="DF136" s="21"/>
      <c r="DG136" s="21"/>
      <c r="DH136" s="21"/>
      <c r="DI136" s="21"/>
      <c r="DJ136" s="21"/>
      <c r="DK136" s="21"/>
      <c r="DL136" s="21"/>
      <c r="DM136" s="21"/>
      <c r="DN136" s="21"/>
      <c r="DO136" s="21"/>
      <c r="DP136" s="21"/>
      <c r="DQ136" s="21"/>
      <c r="DR136" s="21"/>
      <c r="DS136" s="21"/>
      <c r="DT136" s="21"/>
      <c r="DU136" s="21"/>
      <c r="DV136" s="21"/>
      <c r="DW136" s="21"/>
      <c r="DX136" s="21"/>
      <c r="DY136" s="21"/>
      <c r="DZ136" s="21"/>
      <c r="EA136" s="21"/>
      <c r="EB136" s="21"/>
      <c r="EC136" s="21"/>
      <c r="ED136" s="21"/>
      <c r="EE136" s="21"/>
      <c r="EF136" s="21"/>
      <c r="EG136" s="21"/>
      <c r="EH136" s="21"/>
      <c r="EI136" s="21"/>
      <c r="EJ136" s="21"/>
      <c r="EK136" s="21"/>
      <c r="EL136" s="21"/>
      <c r="EM136" s="21"/>
      <c r="EN136" s="21"/>
      <c r="EO136" s="21"/>
      <c r="EP136" s="21"/>
      <c r="EQ136" s="21"/>
      <c r="ER136" s="21"/>
      <c r="ES136" s="21"/>
      <c r="ET136" s="21"/>
      <c r="EU136" s="21"/>
      <c r="EV136" s="21"/>
      <c r="EW136" s="21"/>
      <c r="EX136" s="21"/>
      <c r="EY136" s="21"/>
    </row>
    <row r="137" spans="1:155" x14ac:dyDescent="0.3">
      <c r="E137" s="6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  <c r="BK137" s="21"/>
      <c r="BL137" s="21"/>
      <c r="BM137" s="21"/>
      <c r="BN137" s="21"/>
      <c r="BO137" s="21"/>
      <c r="BP137" s="21"/>
      <c r="BQ137" s="21"/>
      <c r="BR137" s="21"/>
      <c r="BS137" s="21"/>
      <c r="BT137" s="21"/>
      <c r="BU137" s="21"/>
      <c r="BV137" s="21"/>
      <c r="BW137" s="21"/>
      <c r="BX137" s="21"/>
      <c r="BY137" s="21"/>
      <c r="BZ137" s="21"/>
      <c r="CA137" s="21"/>
      <c r="CB137" s="21"/>
      <c r="CC137" s="21"/>
      <c r="CD137" s="21"/>
      <c r="CE137" s="21"/>
      <c r="CF137" s="21"/>
      <c r="CG137" s="21"/>
      <c r="CH137" s="21"/>
      <c r="CI137" s="21"/>
      <c r="CJ137" s="21"/>
      <c r="CK137" s="21"/>
      <c r="CL137" s="21"/>
      <c r="CM137" s="21"/>
      <c r="CN137" s="21"/>
      <c r="CO137" s="21"/>
      <c r="CP137" s="21"/>
      <c r="CQ137" s="21"/>
      <c r="CR137" s="21"/>
      <c r="CS137" s="21"/>
      <c r="CT137" s="21"/>
      <c r="CU137" s="21"/>
      <c r="CV137" s="21"/>
      <c r="CW137" s="21"/>
      <c r="CX137" s="21"/>
      <c r="CY137" s="21"/>
      <c r="CZ137" s="21"/>
      <c r="DA137" s="21"/>
      <c r="DB137" s="21"/>
      <c r="DC137" s="21"/>
      <c r="DD137" s="21"/>
      <c r="DE137" s="21"/>
      <c r="DF137" s="21"/>
      <c r="DG137" s="21"/>
      <c r="DH137" s="21"/>
      <c r="DI137" s="21"/>
      <c r="DJ137" s="21"/>
      <c r="DK137" s="21"/>
      <c r="DL137" s="21"/>
      <c r="DM137" s="21"/>
      <c r="DN137" s="21"/>
      <c r="DO137" s="21"/>
      <c r="DP137" s="21"/>
      <c r="DQ137" s="21"/>
      <c r="DR137" s="21"/>
      <c r="DS137" s="21"/>
      <c r="DT137" s="21"/>
      <c r="DU137" s="21"/>
      <c r="DV137" s="21"/>
      <c r="DW137" s="21"/>
      <c r="DX137" s="21"/>
      <c r="DY137" s="21"/>
      <c r="DZ137" s="21"/>
      <c r="EA137" s="21"/>
      <c r="EB137" s="21"/>
      <c r="EC137" s="21"/>
      <c r="ED137" s="21"/>
      <c r="EE137" s="21"/>
      <c r="EF137" s="21"/>
      <c r="EG137" s="21"/>
      <c r="EH137" s="21"/>
      <c r="EI137" s="21"/>
      <c r="EJ137" s="21"/>
      <c r="EK137" s="21"/>
      <c r="EL137" s="21"/>
      <c r="EM137" s="21"/>
      <c r="EN137" s="21"/>
      <c r="EO137" s="21"/>
      <c r="EP137" s="21"/>
      <c r="EQ137" s="21"/>
      <c r="ER137" s="21"/>
      <c r="ES137" s="21"/>
      <c r="ET137" s="21"/>
      <c r="EU137" s="21"/>
      <c r="EV137" s="21"/>
      <c r="EW137" s="21"/>
      <c r="EX137" s="21"/>
      <c r="EY137" s="21"/>
    </row>
    <row r="138" spans="1:155" x14ac:dyDescent="0.3">
      <c r="E138" s="6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1"/>
      <c r="BI138" s="21"/>
      <c r="BJ138" s="21"/>
      <c r="BK138" s="21"/>
      <c r="BL138" s="21"/>
      <c r="BM138" s="21"/>
      <c r="BN138" s="21"/>
      <c r="BO138" s="21"/>
      <c r="BP138" s="21"/>
      <c r="BQ138" s="21"/>
      <c r="BR138" s="21"/>
      <c r="BS138" s="21"/>
      <c r="BT138" s="21"/>
      <c r="BU138" s="21"/>
      <c r="BV138" s="21"/>
      <c r="BW138" s="21"/>
      <c r="BX138" s="21"/>
      <c r="BY138" s="21"/>
      <c r="BZ138" s="21"/>
      <c r="CA138" s="21"/>
      <c r="CB138" s="21"/>
      <c r="CC138" s="21"/>
      <c r="CD138" s="21"/>
      <c r="CE138" s="21"/>
      <c r="CF138" s="21"/>
      <c r="CG138" s="21"/>
      <c r="CH138" s="21"/>
      <c r="CI138" s="21"/>
      <c r="CJ138" s="21"/>
      <c r="CK138" s="21"/>
      <c r="CL138" s="21"/>
      <c r="CM138" s="21"/>
      <c r="CN138" s="21"/>
      <c r="CO138" s="21"/>
      <c r="CP138" s="21"/>
      <c r="CQ138" s="21"/>
      <c r="CR138" s="21"/>
      <c r="CS138" s="21"/>
      <c r="CT138" s="21"/>
      <c r="CU138" s="21"/>
      <c r="CV138" s="21"/>
      <c r="CW138" s="21"/>
      <c r="CX138" s="21"/>
      <c r="CY138" s="21"/>
      <c r="CZ138" s="21"/>
      <c r="DA138" s="21"/>
      <c r="DB138" s="21"/>
      <c r="DC138" s="21"/>
      <c r="DD138" s="21"/>
      <c r="DE138" s="21"/>
      <c r="DF138" s="21"/>
      <c r="DG138" s="21"/>
      <c r="DH138" s="21"/>
      <c r="DI138" s="21"/>
      <c r="DJ138" s="21"/>
      <c r="DK138" s="21"/>
      <c r="DL138" s="21"/>
      <c r="DM138" s="21"/>
      <c r="DN138" s="21"/>
      <c r="DO138" s="21"/>
      <c r="DP138" s="21"/>
      <c r="DQ138" s="21"/>
      <c r="DR138" s="21"/>
      <c r="DS138" s="21"/>
      <c r="DT138" s="21"/>
      <c r="DU138" s="21"/>
      <c r="DV138" s="21"/>
      <c r="DW138" s="21"/>
      <c r="DX138" s="21"/>
      <c r="DY138" s="21"/>
      <c r="DZ138" s="21"/>
      <c r="EA138" s="21"/>
      <c r="EB138" s="21"/>
      <c r="EC138" s="21"/>
      <c r="ED138" s="21"/>
      <c r="EE138" s="21"/>
      <c r="EF138" s="21"/>
      <c r="EG138" s="21"/>
      <c r="EH138" s="21"/>
      <c r="EI138" s="21"/>
      <c r="EJ138" s="21"/>
      <c r="EK138" s="21"/>
      <c r="EL138" s="21"/>
      <c r="EM138" s="21"/>
      <c r="EN138" s="21"/>
      <c r="EO138" s="21"/>
      <c r="EP138" s="21"/>
      <c r="EQ138" s="21"/>
      <c r="ER138" s="21"/>
      <c r="ES138" s="21"/>
      <c r="ET138" s="21"/>
      <c r="EU138" s="21"/>
      <c r="EV138" s="21"/>
      <c r="EW138" s="21"/>
      <c r="EX138" s="21"/>
      <c r="EY138" s="21"/>
    </row>
    <row r="139" spans="1:155" x14ac:dyDescent="0.3">
      <c r="E139" s="6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  <c r="BK139" s="21"/>
      <c r="BL139" s="21"/>
      <c r="BM139" s="21"/>
      <c r="BN139" s="21"/>
      <c r="BO139" s="21"/>
      <c r="BP139" s="21"/>
      <c r="BQ139" s="21"/>
      <c r="BR139" s="21"/>
      <c r="BS139" s="21"/>
      <c r="BT139" s="21"/>
      <c r="BU139" s="21"/>
      <c r="BV139" s="21"/>
      <c r="BW139" s="21"/>
      <c r="BX139" s="21"/>
      <c r="BY139" s="21"/>
      <c r="BZ139" s="21"/>
      <c r="CA139" s="21"/>
      <c r="CB139" s="21"/>
      <c r="CC139" s="21"/>
      <c r="CD139" s="21"/>
      <c r="CE139" s="21"/>
      <c r="CF139" s="21"/>
      <c r="CG139" s="21"/>
      <c r="CH139" s="21"/>
      <c r="CI139" s="21"/>
      <c r="CJ139" s="21"/>
      <c r="CK139" s="21"/>
      <c r="CL139" s="21"/>
      <c r="CM139" s="21"/>
      <c r="CN139" s="21"/>
      <c r="CO139" s="21"/>
      <c r="CP139" s="21"/>
      <c r="CQ139" s="21"/>
      <c r="CR139" s="21"/>
      <c r="CS139" s="21"/>
      <c r="CT139" s="21"/>
      <c r="CU139" s="21"/>
      <c r="CV139" s="21"/>
      <c r="CW139" s="21"/>
      <c r="CX139" s="21"/>
      <c r="CY139" s="21"/>
      <c r="CZ139" s="21"/>
      <c r="DA139" s="21"/>
      <c r="DB139" s="21"/>
      <c r="DC139" s="21"/>
      <c r="DD139" s="21"/>
      <c r="DE139" s="21"/>
      <c r="DF139" s="21"/>
      <c r="DG139" s="21"/>
      <c r="DH139" s="21"/>
      <c r="DI139" s="21"/>
      <c r="DJ139" s="21"/>
      <c r="DK139" s="21"/>
      <c r="DL139" s="21"/>
      <c r="DM139" s="21"/>
      <c r="DN139" s="21"/>
      <c r="DO139" s="21"/>
      <c r="DP139" s="21"/>
      <c r="DQ139" s="21"/>
      <c r="DR139" s="21"/>
      <c r="DS139" s="21"/>
      <c r="DT139" s="21"/>
      <c r="DU139" s="21"/>
      <c r="DV139" s="21"/>
      <c r="DW139" s="21"/>
      <c r="DX139" s="21"/>
      <c r="DY139" s="21"/>
      <c r="DZ139" s="21"/>
      <c r="EA139" s="21"/>
      <c r="EB139" s="21"/>
      <c r="EC139" s="21"/>
      <c r="ED139" s="21"/>
      <c r="EE139" s="21"/>
      <c r="EF139" s="21"/>
      <c r="EG139" s="21"/>
      <c r="EH139" s="21"/>
      <c r="EI139" s="21"/>
      <c r="EJ139" s="21"/>
      <c r="EK139" s="21"/>
      <c r="EL139" s="21"/>
      <c r="EM139" s="21"/>
      <c r="EN139" s="21"/>
      <c r="EO139" s="21"/>
      <c r="EP139" s="21"/>
      <c r="EQ139" s="21"/>
      <c r="ER139" s="21"/>
      <c r="ES139" s="21"/>
      <c r="ET139" s="21"/>
      <c r="EU139" s="21"/>
      <c r="EV139" s="21"/>
      <c r="EW139" s="21"/>
      <c r="EX139" s="21"/>
      <c r="EY139" s="21"/>
    </row>
    <row r="140" spans="1:155" x14ac:dyDescent="0.3">
      <c r="E140" s="6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  <c r="BO140" s="21"/>
      <c r="BP140" s="21"/>
      <c r="BQ140" s="21"/>
      <c r="BR140" s="21"/>
      <c r="BS140" s="21"/>
      <c r="BT140" s="21"/>
      <c r="BU140" s="21"/>
      <c r="BV140" s="21"/>
      <c r="BW140" s="21"/>
      <c r="BX140" s="21"/>
      <c r="BY140" s="21"/>
      <c r="BZ140" s="21"/>
      <c r="CA140" s="21"/>
      <c r="CB140" s="21"/>
      <c r="CC140" s="21"/>
      <c r="CD140" s="21"/>
      <c r="CE140" s="21"/>
      <c r="CF140" s="21"/>
      <c r="CG140" s="21"/>
      <c r="CH140" s="21"/>
      <c r="CI140" s="21"/>
      <c r="CJ140" s="21"/>
      <c r="CK140" s="21"/>
      <c r="CL140" s="21"/>
      <c r="CM140" s="21"/>
      <c r="CN140" s="21"/>
      <c r="CO140" s="21"/>
      <c r="CP140" s="21"/>
      <c r="CQ140" s="21"/>
      <c r="CR140" s="21"/>
      <c r="CS140" s="21"/>
      <c r="CT140" s="21"/>
      <c r="CU140" s="21"/>
      <c r="CV140" s="21"/>
      <c r="CW140" s="21"/>
      <c r="CX140" s="21"/>
      <c r="CY140" s="21"/>
      <c r="CZ140" s="21"/>
      <c r="DA140" s="21"/>
      <c r="DB140" s="21"/>
      <c r="DC140" s="21"/>
      <c r="DD140" s="21"/>
      <c r="DE140" s="21"/>
      <c r="DF140" s="21"/>
      <c r="DG140" s="21"/>
      <c r="DH140" s="21"/>
      <c r="DI140" s="21"/>
      <c r="DJ140" s="21"/>
      <c r="DK140" s="21"/>
      <c r="DL140" s="21"/>
      <c r="DM140" s="21"/>
      <c r="DN140" s="21"/>
      <c r="DO140" s="21"/>
      <c r="DP140" s="21"/>
      <c r="DQ140" s="21"/>
      <c r="DR140" s="21"/>
      <c r="DS140" s="21"/>
      <c r="DT140" s="21"/>
      <c r="DU140" s="21"/>
      <c r="DV140" s="21"/>
      <c r="DW140" s="21"/>
      <c r="DX140" s="21"/>
      <c r="DY140" s="21"/>
      <c r="DZ140" s="21"/>
      <c r="EA140" s="21"/>
      <c r="EB140" s="21"/>
      <c r="EC140" s="21"/>
      <c r="ED140" s="21"/>
      <c r="EE140" s="21"/>
      <c r="EF140" s="21"/>
      <c r="EG140" s="21"/>
      <c r="EH140" s="21"/>
      <c r="EI140" s="21"/>
      <c r="EJ140" s="21"/>
      <c r="EK140" s="21"/>
      <c r="EL140" s="21"/>
      <c r="EM140" s="21"/>
      <c r="EN140" s="21"/>
      <c r="EO140" s="21"/>
      <c r="EP140" s="21"/>
      <c r="EQ140" s="21"/>
      <c r="ER140" s="21"/>
      <c r="ES140" s="21"/>
      <c r="ET140" s="21"/>
      <c r="EU140" s="21"/>
      <c r="EV140" s="21"/>
      <c r="EW140" s="21"/>
      <c r="EX140" s="21"/>
      <c r="EY140" s="21"/>
    </row>
    <row r="141" spans="1:155" x14ac:dyDescent="0.3"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  <c r="BO141" s="21"/>
      <c r="BP141" s="21"/>
      <c r="BQ141" s="21"/>
      <c r="BR141" s="21"/>
      <c r="BS141" s="21"/>
      <c r="BT141" s="21"/>
      <c r="BU141" s="21"/>
      <c r="BV141" s="21"/>
      <c r="BW141" s="21"/>
      <c r="BX141" s="21"/>
      <c r="BY141" s="21"/>
      <c r="BZ141" s="21"/>
      <c r="CA141" s="21"/>
      <c r="CB141" s="21"/>
      <c r="CC141" s="21"/>
      <c r="CD141" s="21"/>
      <c r="CE141" s="21"/>
      <c r="CF141" s="21"/>
      <c r="CG141" s="21"/>
      <c r="CH141" s="21"/>
      <c r="CI141" s="21"/>
      <c r="CJ141" s="21"/>
      <c r="CK141" s="21"/>
      <c r="CL141" s="21"/>
      <c r="CM141" s="21"/>
      <c r="CN141" s="21"/>
      <c r="CO141" s="21"/>
      <c r="CP141" s="21"/>
      <c r="CQ141" s="21"/>
      <c r="CR141" s="21"/>
      <c r="CS141" s="21"/>
      <c r="CT141" s="21"/>
      <c r="CU141" s="21"/>
      <c r="CV141" s="21"/>
      <c r="CW141" s="21"/>
      <c r="CX141" s="21"/>
      <c r="CY141" s="21"/>
      <c r="CZ141" s="21"/>
      <c r="DA141" s="21"/>
      <c r="DB141" s="21"/>
      <c r="DC141" s="21"/>
      <c r="DD141" s="21"/>
      <c r="DE141" s="21"/>
      <c r="DF141" s="21"/>
      <c r="DG141" s="21"/>
      <c r="DH141" s="21"/>
      <c r="DI141" s="21"/>
      <c r="DJ141" s="21"/>
      <c r="DK141" s="21"/>
      <c r="DL141" s="21"/>
      <c r="DM141" s="21"/>
      <c r="DN141" s="21"/>
      <c r="DO141" s="21"/>
      <c r="DP141" s="21"/>
      <c r="DQ141" s="21"/>
      <c r="DR141" s="21"/>
      <c r="DS141" s="21"/>
      <c r="DT141" s="21"/>
      <c r="DU141" s="21"/>
      <c r="DV141" s="21"/>
      <c r="DW141" s="21"/>
      <c r="DX141" s="21"/>
      <c r="DY141" s="21"/>
      <c r="DZ141" s="21"/>
      <c r="EA141" s="21"/>
      <c r="EB141" s="21"/>
      <c r="EC141" s="21"/>
      <c r="ED141" s="21"/>
      <c r="EE141" s="21"/>
      <c r="EF141" s="21"/>
      <c r="EG141" s="21"/>
      <c r="EH141" s="21"/>
      <c r="EI141" s="21"/>
      <c r="EJ141" s="21"/>
      <c r="EK141" s="21"/>
      <c r="EL141" s="21"/>
      <c r="EM141" s="21"/>
      <c r="EN141" s="21"/>
      <c r="EO141" s="21"/>
      <c r="EP141" s="21"/>
      <c r="EQ141" s="21"/>
      <c r="ER141" s="21"/>
      <c r="ES141" s="21"/>
      <c r="ET141" s="21"/>
      <c r="EU141" s="21"/>
      <c r="EV141" s="21"/>
      <c r="EW141" s="21"/>
      <c r="EX141" s="21"/>
      <c r="EY141" s="21"/>
    </row>
    <row r="142" spans="1:155" x14ac:dyDescent="0.3"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  <c r="AY142" s="21"/>
      <c r="AZ142" s="21"/>
      <c r="BA142" s="21"/>
      <c r="BB142" s="21"/>
      <c r="BC142" s="21"/>
      <c r="BD142" s="21"/>
      <c r="BE142" s="21"/>
      <c r="BF142" s="21"/>
      <c r="BG142" s="21"/>
      <c r="BH142" s="21"/>
      <c r="BI142" s="21"/>
      <c r="BJ142" s="21"/>
      <c r="BK142" s="21"/>
      <c r="BL142" s="21"/>
      <c r="BM142" s="21"/>
      <c r="BN142" s="21"/>
      <c r="BO142" s="21"/>
      <c r="BP142" s="21"/>
      <c r="BQ142" s="21"/>
      <c r="BR142" s="21"/>
      <c r="BS142" s="21"/>
      <c r="BT142" s="21"/>
      <c r="BU142" s="21"/>
      <c r="BV142" s="21"/>
      <c r="BW142" s="21"/>
      <c r="BX142" s="21"/>
      <c r="BY142" s="21"/>
      <c r="BZ142" s="21"/>
      <c r="CA142" s="21"/>
      <c r="CB142" s="21"/>
      <c r="CC142" s="21"/>
      <c r="CD142" s="21"/>
      <c r="CE142" s="21"/>
      <c r="CF142" s="21"/>
      <c r="CG142" s="21"/>
      <c r="CH142" s="21"/>
      <c r="CI142" s="21"/>
      <c r="CJ142" s="21"/>
      <c r="CK142" s="21"/>
      <c r="CL142" s="21"/>
      <c r="CM142" s="21"/>
      <c r="CN142" s="21"/>
      <c r="CO142" s="21"/>
      <c r="CP142" s="21"/>
      <c r="CQ142" s="21"/>
      <c r="CR142" s="21"/>
      <c r="CS142" s="21"/>
      <c r="CT142" s="21"/>
      <c r="CU142" s="21"/>
      <c r="CV142" s="21"/>
      <c r="CW142" s="21"/>
      <c r="CX142" s="21"/>
      <c r="CY142" s="21"/>
      <c r="CZ142" s="21"/>
      <c r="DA142" s="21"/>
      <c r="DB142" s="21"/>
      <c r="DC142" s="21"/>
      <c r="DD142" s="21"/>
      <c r="DE142" s="21"/>
      <c r="DF142" s="21"/>
      <c r="DG142" s="21"/>
      <c r="DH142" s="21"/>
      <c r="DI142" s="21"/>
      <c r="DJ142" s="21"/>
      <c r="DK142" s="21"/>
      <c r="DL142" s="21"/>
      <c r="DM142" s="21"/>
      <c r="DN142" s="21"/>
      <c r="DO142" s="21"/>
      <c r="DP142" s="21"/>
      <c r="DQ142" s="21"/>
      <c r="DR142" s="21"/>
      <c r="DS142" s="21"/>
      <c r="DT142" s="21"/>
      <c r="DU142" s="21"/>
      <c r="DV142" s="21"/>
      <c r="DW142" s="21"/>
      <c r="DX142" s="21"/>
      <c r="DY142" s="21"/>
      <c r="DZ142" s="21"/>
      <c r="EA142" s="21"/>
      <c r="EB142" s="21"/>
      <c r="EC142" s="21"/>
      <c r="ED142" s="21"/>
      <c r="EE142" s="21"/>
      <c r="EF142" s="21"/>
      <c r="EG142" s="21"/>
      <c r="EH142" s="21"/>
      <c r="EI142" s="21"/>
      <c r="EJ142" s="21"/>
      <c r="EK142" s="21"/>
      <c r="EL142" s="21"/>
      <c r="EM142" s="21"/>
      <c r="EN142" s="21"/>
      <c r="EO142" s="21"/>
      <c r="EP142" s="21"/>
      <c r="EQ142" s="21"/>
      <c r="ER142" s="21"/>
      <c r="ES142" s="21"/>
      <c r="ET142" s="21"/>
      <c r="EU142" s="21"/>
      <c r="EV142" s="21"/>
      <c r="EW142" s="21"/>
      <c r="EX142" s="21"/>
      <c r="EY142" s="21"/>
    </row>
    <row r="143" spans="1:155" x14ac:dyDescent="0.3"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  <c r="BK143" s="21"/>
      <c r="BL143" s="21"/>
      <c r="BM143" s="21"/>
      <c r="BN143" s="21"/>
      <c r="BO143" s="21"/>
      <c r="BP143" s="21"/>
      <c r="BQ143" s="21"/>
      <c r="BR143" s="21"/>
      <c r="BS143" s="21"/>
      <c r="BT143" s="21"/>
      <c r="BU143" s="21"/>
      <c r="BV143" s="21"/>
      <c r="BW143" s="21"/>
      <c r="BX143" s="21"/>
      <c r="BY143" s="21"/>
      <c r="BZ143" s="21"/>
      <c r="CA143" s="21"/>
      <c r="CB143" s="21"/>
      <c r="CC143" s="21"/>
      <c r="CD143" s="21"/>
      <c r="CE143" s="21"/>
      <c r="CF143" s="21"/>
      <c r="CG143" s="21"/>
      <c r="CH143" s="21"/>
      <c r="CI143" s="21"/>
      <c r="CJ143" s="21"/>
      <c r="CK143" s="21"/>
      <c r="CL143" s="21"/>
      <c r="CM143" s="21"/>
      <c r="CN143" s="21"/>
      <c r="CO143" s="21"/>
      <c r="CP143" s="21"/>
      <c r="CQ143" s="21"/>
      <c r="CR143" s="21"/>
      <c r="CS143" s="21"/>
      <c r="CT143" s="21"/>
      <c r="CU143" s="21"/>
      <c r="CV143" s="21"/>
      <c r="CW143" s="21"/>
      <c r="CX143" s="21"/>
      <c r="CY143" s="21"/>
      <c r="CZ143" s="21"/>
      <c r="DA143" s="21"/>
      <c r="DB143" s="21"/>
      <c r="DC143" s="21"/>
      <c r="DD143" s="21"/>
      <c r="DE143" s="21"/>
      <c r="DF143" s="21"/>
      <c r="DG143" s="21"/>
      <c r="DH143" s="21"/>
      <c r="DI143" s="21"/>
      <c r="DJ143" s="21"/>
      <c r="DK143" s="21"/>
      <c r="DL143" s="21"/>
      <c r="DM143" s="21"/>
      <c r="DN143" s="21"/>
      <c r="DO143" s="21"/>
      <c r="DP143" s="21"/>
      <c r="DQ143" s="21"/>
      <c r="DR143" s="21"/>
      <c r="DS143" s="21"/>
      <c r="DT143" s="21"/>
      <c r="DU143" s="21"/>
      <c r="DV143" s="21"/>
      <c r="DW143" s="21"/>
      <c r="DX143" s="21"/>
      <c r="DY143" s="21"/>
      <c r="DZ143" s="21"/>
      <c r="EA143" s="21"/>
      <c r="EB143" s="21"/>
      <c r="EC143" s="21"/>
      <c r="ED143" s="21"/>
      <c r="EE143" s="21"/>
      <c r="EF143" s="21"/>
      <c r="EG143" s="21"/>
      <c r="EH143" s="21"/>
      <c r="EI143" s="21"/>
      <c r="EJ143" s="21"/>
      <c r="EK143" s="21"/>
      <c r="EL143" s="21"/>
      <c r="EM143" s="21"/>
      <c r="EN143" s="21"/>
      <c r="EO143" s="21"/>
      <c r="EP143" s="21"/>
      <c r="EQ143" s="21"/>
      <c r="ER143" s="21"/>
      <c r="ES143" s="21"/>
      <c r="ET143" s="21"/>
      <c r="EU143" s="21"/>
      <c r="EV143" s="21"/>
      <c r="EW143" s="21"/>
      <c r="EX143" s="21"/>
      <c r="EY143" s="21"/>
    </row>
    <row r="144" spans="1:155" x14ac:dyDescent="0.3"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  <c r="BN144" s="21"/>
      <c r="BO144" s="21"/>
      <c r="BP144" s="21"/>
      <c r="BQ144" s="21"/>
      <c r="BR144" s="21"/>
      <c r="BS144" s="21"/>
      <c r="BT144" s="21"/>
      <c r="BU144" s="21"/>
      <c r="BV144" s="21"/>
      <c r="BW144" s="21"/>
      <c r="BX144" s="21"/>
      <c r="BY144" s="21"/>
      <c r="BZ144" s="21"/>
      <c r="CA144" s="21"/>
      <c r="CB144" s="21"/>
      <c r="CC144" s="21"/>
      <c r="CD144" s="21"/>
      <c r="CE144" s="21"/>
      <c r="CF144" s="21"/>
      <c r="CG144" s="21"/>
      <c r="CH144" s="21"/>
      <c r="CI144" s="21"/>
      <c r="CJ144" s="21"/>
      <c r="CK144" s="21"/>
      <c r="CL144" s="21"/>
      <c r="CM144" s="21"/>
      <c r="CN144" s="21"/>
      <c r="CO144" s="21"/>
      <c r="CP144" s="21"/>
      <c r="CQ144" s="21"/>
      <c r="CR144" s="21"/>
      <c r="CS144" s="21"/>
      <c r="CT144" s="21"/>
      <c r="CU144" s="21"/>
      <c r="CV144" s="21"/>
      <c r="CW144" s="21"/>
      <c r="CX144" s="21"/>
      <c r="CY144" s="21"/>
      <c r="CZ144" s="21"/>
      <c r="DA144" s="21"/>
      <c r="DB144" s="21"/>
      <c r="DC144" s="21"/>
      <c r="DD144" s="21"/>
      <c r="DE144" s="21"/>
      <c r="DF144" s="21"/>
      <c r="DG144" s="21"/>
      <c r="DH144" s="21"/>
      <c r="DI144" s="21"/>
      <c r="DJ144" s="21"/>
      <c r="DK144" s="21"/>
      <c r="DL144" s="21"/>
      <c r="DM144" s="21"/>
      <c r="DN144" s="21"/>
      <c r="DO144" s="21"/>
      <c r="DP144" s="21"/>
      <c r="DQ144" s="21"/>
      <c r="DR144" s="21"/>
      <c r="DS144" s="21"/>
      <c r="DT144" s="21"/>
      <c r="DU144" s="21"/>
      <c r="DV144" s="21"/>
      <c r="DW144" s="21"/>
      <c r="DX144" s="21"/>
      <c r="DY144" s="21"/>
      <c r="DZ144" s="21"/>
      <c r="EA144" s="21"/>
      <c r="EB144" s="21"/>
      <c r="EC144" s="21"/>
      <c r="ED144" s="21"/>
      <c r="EE144" s="21"/>
      <c r="EF144" s="21"/>
      <c r="EG144" s="21"/>
      <c r="EH144" s="21"/>
      <c r="EI144" s="21"/>
      <c r="EJ144" s="21"/>
      <c r="EK144" s="21"/>
      <c r="EL144" s="21"/>
      <c r="EM144" s="21"/>
      <c r="EN144" s="21"/>
      <c r="EO144" s="21"/>
      <c r="EP144" s="21"/>
      <c r="EQ144" s="21"/>
      <c r="ER144" s="21"/>
      <c r="ES144" s="21"/>
      <c r="ET144" s="21"/>
      <c r="EU144" s="21"/>
      <c r="EV144" s="21"/>
      <c r="EW144" s="21"/>
      <c r="EX144" s="21"/>
      <c r="EY144" s="21"/>
    </row>
    <row r="145" spans="33:155" x14ac:dyDescent="0.3"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  <c r="BK145" s="21"/>
      <c r="BL145" s="21"/>
      <c r="BM145" s="21"/>
      <c r="BN145" s="21"/>
      <c r="BO145" s="21"/>
      <c r="BP145" s="21"/>
      <c r="BQ145" s="21"/>
      <c r="BR145" s="21"/>
      <c r="BS145" s="21"/>
      <c r="BT145" s="21"/>
      <c r="BU145" s="21"/>
      <c r="BV145" s="21"/>
      <c r="BW145" s="21"/>
      <c r="BX145" s="21"/>
      <c r="BY145" s="21"/>
      <c r="BZ145" s="21"/>
      <c r="CA145" s="21"/>
      <c r="CB145" s="21"/>
      <c r="CC145" s="21"/>
      <c r="CD145" s="21"/>
      <c r="CE145" s="21"/>
      <c r="CF145" s="21"/>
      <c r="CG145" s="21"/>
      <c r="CH145" s="21"/>
      <c r="CI145" s="21"/>
      <c r="CJ145" s="21"/>
      <c r="CK145" s="21"/>
      <c r="CL145" s="21"/>
      <c r="CM145" s="21"/>
      <c r="CN145" s="21"/>
      <c r="CO145" s="21"/>
      <c r="CP145" s="21"/>
      <c r="CQ145" s="21"/>
      <c r="CR145" s="21"/>
      <c r="CS145" s="21"/>
      <c r="CT145" s="21"/>
      <c r="CU145" s="21"/>
      <c r="CV145" s="21"/>
      <c r="CW145" s="21"/>
      <c r="CX145" s="21"/>
      <c r="CY145" s="21"/>
      <c r="CZ145" s="21"/>
      <c r="DA145" s="21"/>
      <c r="DB145" s="21"/>
      <c r="DC145" s="21"/>
      <c r="DD145" s="21"/>
      <c r="DE145" s="21"/>
      <c r="DF145" s="21"/>
      <c r="DG145" s="21"/>
      <c r="DH145" s="21"/>
      <c r="DI145" s="21"/>
      <c r="DJ145" s="21"/>
      <c r="DK145" s="21"/>
      <c r="DL145" s="21"/>
      <c r="DM145" s="21"/>
      <c r="DN145" s="21"/>
      <c r="DO145" s="21"/>
      <c r="DP145" s="21"/>
      <c r="DQ145" s="21"/>
      <c r="DR145" s="21"/>
      <c r="DS145" s="21"/>
      <c r="DT145" s="21"/>
      <c r="DU145" s="21"/>
      <c r="DV145" s="21"/>
      <c r="DW145" s="21"/>
      <c r="DX145" s="21"/>
      <c r="DY145" s="21"/>
      <c r="DZ145" s="21"/>
      <c r="EA145" s="21"/>
      <c r="EB145" s="21"/>
      <c r="EC145" s="21"/>
      <c r="ED145" s="21"/>
      <c r="EE145" s="21"/>
      <c r="EF145" s="21"/>
      <c r="EG145" s="21"/>
      <c r="EH145" s="21"/>
      <c r="EI145" s="21"/>
      <c r="EJ145" s="21"/>
      <c r="EK145" s="21"/>
      <c r="EL145" s="21"/>
      <c r="EM145" s="21"/>
      <c r="EN145" s="21"/>
      <c r="EO145" s="21"/>
      <c r="EP145" s="21"/>
      <c r="EQ145" s="21"/>
      <c r="ER145" s="21"/>
      <c r="ES145" s="21"/>
      <c r="ET145" s="21"/>
      <c r="EU145" s="21"/>
      <c r="EV145" s="21"/>
      <c r="EW145" s="21"/>
      <c r="EX145" s="21"/>
      <c r="EY145" s="21"/>
    </row>
    <row r="146" spans="33:155" x14ac:dyDescent="0.3"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  <c r="AT146" s="21"/>
      <c r="AU146" s="21"/>
      <c r="AV146" s="21"/>
      <c r="AW146" s="21"/>
      <c r="AX146" s="21"/>
      <c r="AY146" s="21"/>
      <c r="AZ146" s="21"/>
      <c r="BA146" s="21"/>
      <c r="BB146" s="21"/>
      <c r="BC146" s="21"/>
      <c r="BD146" s="21"/>
      <c r="BE146" s="21"/>
      <c r="BF146" s="21"/>
      <c r="BG146" s="21"/>
      <c r="BH146" s="21"/>
      <c r="BI146" s="21"/>
      <c r="BJ146" s="21"/>
      <c r="BK146" s="21"/>
      <c r="BL146" s="21"/>
      <c r="BM146" s="21"/>
      <c r="BN146" s="21"/>
      <c r="BO146" s="21"/>
      <c r="BP146" s="21"/>
      <c r="BQ146" s="21"/>
      <c r="BR146" s="21"/>
      <c r="BS146" s="21"/>
      <c r="BT146" s="21"/>
      <c r="BU146" s="21"/>
      <c r="BV146" s="21"/>
      <c r="BW146" s="21"/>
      <c r="BX146" s="21"/>
      <c r="BY146" s="21"/>
      <c r="BZ146" s="21"/>
      <c r="CA146" s="21"/>
      <c r="CB146" s="21"/>
      <c r="CC146" s="21"/>
      <c r="CD146" s="21"/>
      <c r="CE146" s="21"/>
      <c r="CF146" s="21"/>
      <c r="CG146" s="21"/>
      <c r="CH146" s="21"/>
      <c r="CI146" s="21"/>
      <c r="CJ146" s="21"/>
      <c r="CK146" s="21"/>
      <c r="CL146" s="21"/>
      <c r="CM146" s="21"/>
      <c r="CN146" s="21"/>
      <c r="CO146" s="21"/>
      <c r="CP146" s="21"/>
      <c r="CQ146" s="21"/>
      <c r="CR146" s="21"/>
      <c r="CS146" s="21"/>
      <c r="CT146" s="21"/>
      <c r="CU146" s="21"/>
      <c r="CV146" s="21"/>
      <c r="CW146" s="21"/>
      <c r="CX146" s="21"/>
      <c r="CY146" s="21"/>
      <c r="CZ146" s="21"/>
      <c r="DA146" s="21"/>
      <c r="DB146" s="21"/>
      <c r="DC146" s="21"/>
      <c r="DD146" s="21"/>
      <c r="DE146" s="21"/>
      <c r="DF146" s="21"/>
      <c r="DG146" s="21"/>
      <c r="DH146" s="21"/>
      <c r="DI146" s="21"/>
      <c r="DJ146" s="21"/>
      <c r="DK146" s="21"/>
      <c r="DL146" s="21"/>
      <c r="DM146" s="21"/>
      <c r="DN146" s="21"/>
      <c r="DO146" s="21"/>
      <c r="DP146" s="21"/>
      <c r="DQ146" s="21"/>
      <c r="DR146" s="21"/>
      <c r="DS146" s="21"/>
      <c r="DT146" s="21"/>
      <c r="DU146" s="21"/>
      <c r="DV146" s="21"/>
      <c r="DW146" s="21"/>
      <c r="DX146" s="21"/>
      <c r="DY146" s="21"/>
      <c r="DZ146" s="21"/>
      <c r="EA146" s="21"/>
      <c r="EB146" s="21"/>
      <c r="EC146" s="21"/>
      <c r="ED146" s="21"/>
      <c r="EE146" s="21"/>
      <c r="EF146" s="21"/>
      <c r="EG146" s="21"/>
      <c r="EH146" s="21"/>
      <c r="EI146" s="21"/>
      <c r="EJ146" s="21"/>
      <c r="EK146" s="21"/>
      <c r="EL146" s="21"/>
      <c r="EM146" s="21"/>
      <c r="EN146" s="21"/>
      <c r="EO146" s="21"/>
      <c r="EP146" s="21"/>
      <c r="EQ146" s="21"/>
      <c r="ER146" s="21"/>
      <c r="ES146" s="21"/>
      <c r="ET146" s="21"/>
      <c r="EU146" s="21"/>
      <c r="EV146" s="21"/>
      <c r="EW146" s="21"/>
      <c r="EX146" s="21"/>
      <c r="EY146" s="21"/>
    </row>
    <row r="147" spans="33:155" x14ac:dyDescent="0.3"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  <c r="BK147" s="21"/>
      <c r="BL147" s="21"/>
      <c r="BM147" s="21"/>
      <c r="BN147" s="21"/>
      <c r="BO147" s="21"/>
      <c r="BP147" s="21"/>
      <c r="BQ147" s="21"/>
      <c r="BR147" s="21"/>
      <c r="BS147" s="21"/>
      <c r="BT147" s="21"/>
      <c r="BU147" s="21"/>
      <c r="BV147" s="21"/>
      <c r="BW147" s="21"/>
      <c r="BX147" s="21"/>
      <c r="BY147" s="21"/>
      <c r="BZ147" s="21"/>
      <c r="CA147" s="21"/>
      <c r="CB147" s="21"/>
      <c r="CC147" s="21"/>
      <c r="CD147" s="21"/>
      <c r="CE147" s="21"/>
      <c r="CF147" s="21"/>
      <c r="CG147" s="21"/>
      <c r="CH147" s="21"/>
      <c r="CI147" s="21"/>
      <c r="CJ147" s="21"/>
      <c r="CK147" s="21"/>
      <c r="CL147" s="21"/>
      <c r="CM147" s="21"/>
      <c r="CN147" s="21"/>
      <c r="CO147" s="21"/>
      <c r="CP147" s="21"/>
      <c r="CQ147" s="21"/>
      <c r="CR147" s="21"/>
      <c r="CS147" s="21"/>
      <c r="CT147" s="21"/>
      <c r="CU147" s="21"/>
      <c r="CV147" s="21"/>
      <c r="CW147" s="21"/>
      <c r="CX147" s="21"/>
      <c r="CY147" s="21"/>
      <c r="CZ147" s="21"/>
      <c r="DA147" s="21"/>
      <c r="DB147" s="21"/>
      <c r="DC147" s="21"/>
      <c r="DD147" s="21"/>
      <c r="DE147" s="21"/>
      <c r="DF147" s="21"/>
      <c r="DG147" s="21"/>
      <c r="DH147" s="21"/>
      <c r="DI147" s="21"/>
      <c r="DJ147" s="21"/>
      <c r="DK147" s="21"/>
      <c r="DL147" s="21"/>
      <c r="DM147" s="21"/>
      <c r="DN147" s="21"/>
      <c r="DO147" s="21"/>
      <c r="DP147" s="21"/>
      <c r="DQ147" s="21"/>
      <c r="DR147" s="21"/>
      <c r="DS147" s="21"/>
      <c r="DT147" s="21"/>
      <c r="DU147" s="21"/>
      <c r="DV147" s="21"/>
      <c r="DW147" s="21"/>
      <c r="DX147" s="21"/>
      <c r="DY147" s="21"/>
      <c r="DZ147" s="21"/>
      <c r="EA147" s="21"/>
      <c r="EB147" s="21"/>
      <c r="EC147" s="21"/>
      <c r="ED147" s="21"/>
      <c r="EE147" s="21"/>
      <c r="EF147" s="21"/>
      <c r="EG147" s="21"/>
      <c r="EH147" s="21"/>
      <c r="EI147" s="21"/>
      <c r="EJ147" s="21"/>
      <c r="EK147" s="21"/>
      <c r="EL147" s="21"/>
      <c r="EM147" s="21"/>
      <c r="EN147" s="21"/>
      <c r="EO147" s="21"/>
      <c r="EP147" s="21"/>
      <c r="EQ147" s="21"/>
      <c r="ER147" s="21"/>
      <c r="ES147" s="21"/>
      <c r="ET147" s="21"/>
      <c r="EU147" s="21"/>
      <c r="EV147" s="21"/>
      <c r="EW147" s="21"/>
      <c r="EX147" s="21"/>
      <c r="EY147" s="21"/>
    </row>
    <row r="148" spans="33:155" x14ac:dyDescent="0.3"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  <c r="BK148" s="21"/>
      <c r="BL148" s="21"/>
      <c r="BM148" s="21"/>
      <c r="BN148" s="21"/>
      <c r="BO148" s="21"/>
      <c r="BP148" s="21"/>
      <c r="BQ148" s="21"/>
      <c r="BR148" s="21"/>
      <c r="BS148" s="21"/>
      <c r="BT148" s="21"/>
      <c r="BU148" s="21"/>
      <c r="BV148" s="21"/>
      <c r="BW148" s="21"/>
      <c r="BX148" s="21"/>
      <c r="BY148" s="21"/>
      <c r="BZ148" s="21"/>
      <c r="CA148" s="21"/>
      <c r="CB148" s="21"/>
      <c r="CC148" s="21"/>
      <c r="CD148" s="21"/>
      <c r="CE148" s="21"/>
      <c r="CF148" s="21"/>
      <c r="CG148" s="21"/>
      <c r="CH148" s="21"/>
      <c r="CI148" s="21"/>
      <c r="CJ148" s="21"/>
      <c r="CK148" s="21"/>
      <c r="CL148" s="21"/>
      <c r="CM148" s="21"/>
      <c r="CN148" s="21"/>
      <c r="CO148" s="21"/>
      <c r="CP148" s="21"/>
      <c r="CQ148" s="21"/>
      <c r="CR148" s="21"/>
      <c r="CS148" s="21"/>
      <c r="CT148" s="21"/>
      <c r="CU148" s="21"/>
      <c r="CV148" s="21"/>
      <c r="CW148" s="21"/>
      <c r="CX148" s="21"/>
      <c r="CY148" s="21"/>
      <c r="CZ148" s="21"/>
      <c r="DA148" s="21"/>
      <c r="DB148" s="21"/>
      <c r="DC148" s="21"/>
      <c r="DD148" s="21"/>
      <c r="DE148" s="21"/>
      <c r="DF148" s="21"/>
      <c r="DG148" s="21"/>
      <c r="DH148" s="21"/>
      <c r="DI148" s="21"/>
      <c r="DJ148" s="21"/>
      <c r="DK148" s="21"/>
      <c r="DL148" s="21"/>
      <c r="DM148" s="21"/>
      <c r="DN148" s="21"/>
      <c r="DO148" s="21"/>
      <c r="DP148" s="21"/>
      <c r="DQ148" s="21"/>
      <c r="DR148" s="21"/>
      <c r="DS148" s="21"/>
      <c r="DT148" s="21"/>
      <c r="DU148" s="21"/>
      <c r="DV148" s="21"/>
      <c r="DW148" s="21"/>
      <c r="DX148" s="21"/>
      <c r="DY148" s="21"/>
      <c r="DZ148" s="21"/>
      <c r="EA148" s="21"/>
      <c r="EB148" s="21"/>
      <c r="EC148" s="21"/>
      <c r="ED148" s="21"/>
      <c r="EE148" s="21"/>
      <c r="EF148" s="21"/>
      <c r="EG148" s="21"/>
      <c r="EH148" s="21"/>
      <c r="EI148" s="21"/>
      <c r="EJ148" s="21"/>
      <c r="EK148" s="21"/>
      <c r="EL148" s="21"/>
      <c r="EM148" s="21"/>
      <c r="EN148" s="21"/>
      <c r="EO148" s="21"/>
      <c r="EP148" s="21"/>
      <c r="EQ148" s="21"/>
      <c r="ER148" s="21"/>
      <c r="ES148" s="21"/>
      <c r="ET148" s="21"/>
      <c r="EU148" s="21"/>
      <c r="EV148" s="21"/>
      <c r="EW148" s="21"/>
      <c r="EX148" s="21"/>
      <c r="EY148" s="21"/>
    </row>
    <row r="149" spans="33:155" x14ac:dyDescent="0.3"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  <c r="BK149" s="21"/>
      <c r="BL149" s="21"/>
      <c r="BM149" s="21"/>
      <c r="BN149" s="21"/>
      <c r="BO149" s="21"/>
      <c r="BP149" s="21"/>
      <c r="BQ149" s="21"/>
      <c r="BR149" s="21"/>
      <c r="BS149" s="21"/>
      <c r="BT149" s="21"/>
      <c r="BU149" s="21"/>
      <c r="BV149" s="21"/>
      <c r="BW149" s="21"/>
      <c r="BX149" s="21"/>
      <c r="BY149" s="21"/>
      <c r="BZ149" s="21"/>
      <c r="CA149" s="21"/>
      <c r="CB149" s="21"/>
      <c r="CC149" s="21"/>
      <c r="CD149" s="21"/>
      <c r="CE149" s="21"/>
      <c r="CF149" s="21"/>
      <c r="CG149" s="21"/>
      <c r="CH149" s="21"/>
      <c r="CI149" s="21"/>
      <c r="CJ149" s="21"/>
      <c r="CK149" s="21"/>
      <c r="CL149" s="21"/>
      <c r="CM149" s="21"/>
      <c r="CN149" s="21"/>
      <c r="CO149" s="21"/>
      <c r="CP149" s="21"/>
      <c r="CQ149" s="21"/>
      <c r="CR149" s="21"/>
      <c r="CS149" s="21"/>
      <c r="CT149" s="21"/>
      <c r="CU149" s="21"/>
      <c r="CV149" s="21"/>
      <c r="CW149" s="21"/>
      <c r="CX149" s="21"/>
      <c r="CY149" s="21"/>
      <c r="CZ149" s="21"/>
      <c r="DA149" s="21"/>
      <c r="DB149" s="21"/>
      <c r="DC149" s="21"/>
      <c r="DD149" s="21"/>
      <c r="DE149" s="21"/>
      <c r="DF149" s="21"/>
      <c r="DG149" s="21"/>
      <c r="DH149" s="21"/>
      <c r="DI149" s="21"/>
      <c r="DJ149" s="21"/>
      <c r="DK149" s="21"/>
      <c r="DL149" s="21"/>
      <c r="DM149" s="21"/>
      <c r="DN149" s="21"/>
      <c r="DO149" s="21"/>
      <c r="DP149" s="21"/>
      <c r="DQ149" s="21"/>
      <c r="DR149" s="21"/>
      <c r="DS149" s="21"/>
      <c r="DT149" s="21"/>
      <c r="DU149" s="21"/>
      <c r="DV149" s="21"/>
      <c r="DW149" s="21"/>
      <c r="DX149" s="21"/>
      <c r="DY149" s="21"/>
      <c r="DZ149" s="21"/>
      <c r="EA149" s="21"/>
      <c r="EB149" s="21"/>
      <c r="EC149" s="21"/>
      <c r="ED149" s="21"/>
      <c r="EE149" s="21"/>
      <c r="EF149" s="21"/>
      <c r="EG149" s="21"/>
      <c r="EH149" s="21"/>
      <c r="EI149" s="21"/>
      <c r="EJ149" s="21"/>
      <c r="EK149" s="21"/>
      <c r="EL149" s="21"/>
      <c r="EM149" s="21"/>
      <c r="EN149" s="21"/>
      <c r="EO149" s="21"/>
      <c r="EP149" s="21"/>
      <c r="EQ149" s="21"/>
      <c r="ER149" s="21"/>
      <c r="ES149" s="21"/>
      <c r="ET149" s="21"/>
      <c r="EU149" s="21"/>
      <c r="EV149" s="21"/>
      <c r="EW149" s="21"/>
      <c r="EX149" s="21"/>
      <c r="EY149" s="21"/>
    </row>
    <row r="150" spans="33:155" x14ac:dyDescent="0.3"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  <c r="AU150" s="21"/>
      <c r="AV150" s="21"/>
      <c r="AW150" s="21"/>
      <c r="AX150" s="21"/>
      <c r="AY150" s="21"/>
      <c r="AZ150" s="21"/>
      <c r="BA150" s="21"/>
      <c r="BB150" s="21"/>
      <c r="BC150" s="21"/>
      <c r="BD150" s="21"/>
      <c r="BE150" s="21"/>
      <c r="BF150" s="21"/>
      <c r="BG150" s="21"/>
      <c r="BH150" s="21"/>
      <c r="BI150" s="21"/>
      <c r="BJ150" s="21"/>
      <c r="BK150" s="21"/>
      <c r="BL150" s="21"/>
      <c r="BM150" s="21"/>
      <c r="BN150" s="21"/>
      <c r="BO150" s="21"/>
      <c r="BP150" s="21"/>
      <c r="BQ150" s="21"/>
      <c r="BR150" s="21"/>
      <c r="BS150" s="21"/>
      <c r="BT150" s="21"/>
      <c r="BU150" s="21"/>
      <c r="BV150" s="21"/>
      <c r="BW150" s="21"/>
      <c r="BX150" s="21"/>
      <c r="BY150" s="21"/>
      <c r="BZ150" s="21"/>
      <c r="CA150" s="21"/>
      <c r="CB150" s="21"/>
      <c r="CC150" s="21"/>
      <c r="CD150" s="21"/>
      <c r="CE150" s="21"/>
      <c r="CF150" s="21"/>
      <c r="CG150" s="21"/>
      <c r="CH150" s="21"/>
      <c r="CI150" s="21"/>
      <c r="CJ150" s="21"/>
      <c r="CK150" s="21"/>
      <c r="CL150" s="21"/>
      <c r="CM150" s="21"/>
      <c r="CN150" s="21"/>
      <c r="CO150" s="21"/>
      <c r="CP150" s="21"/>
      <c r="CQ150" s="21"/>
      <c r="CR150" s="21"/>
      <c r="CS150" s="21"/>
      <c r="CT150" s="21"/>
      <c r="CU150" s="21"/>
      <c r="CV150" s="21"/>
      <c r="CW150" s="21"/>
      <c r="CX150" s="21"/>
      <c r="CY150" s="21"/>
      <c r="CZ150" s="21"/>
      <c r="DA150" s="21"/>
      <c r="DB150" s="21"/>
      <c r="DC150" s="21"/>
      <c r="DD150" s="21"/>
      <c r="DE150" s="21"/>
      <c r="DF150" s="21"/>
      <c r="DG150" s="21"/>
      <c r="DH150" s="21"/>
      <c r="DI150" s="21"/>
      <c r="DJ150" s="21"/>
      <c r="DK150" s="21"/>
      <c r="DL150" s="21"/>
      <c r="DM150" s="21"/>
      <c r="DN150" s="21"/>
      <c r="DO150" s="21"/>
      <c r="DP150" s="21"/>
      <c r="DQ150" s="21"/>
      <c r="DR150" s="21"/>
      <c r="DS150" s="21"/>
      <c r="DT150" s="21"/>
      <c r="DU150" s="21"/>
      <c r="DV150" s="21"/>
      <c r="DW150" s="21"/>
      <c r="DX150" s="21"/>
      <c r="DY150" s="21"/>
      <c r="DZ150" s="21"/>
      <c r="EA150" s="21"/>
      <c r="EB150" s="21"/>
      <c r="EC150" s="21"/>
      <c r="ED150" s="21"/>
      <c r="EE150" s="21"/>
      <c r="EF150" s="21"/>
      <c r="EG150" s="21"/>
      <c r="EH150" s="21"/>
      <c r="EI150" s="21"/>
      <c r="EJ150" s="21"/>
      <c r="EK150" s="21"/>
      <c r="EL150" s="21"/>
      <c r="EM150" s="21"/>
      <c r="EN150" s="21"/>
      <c r="EO150" s="21"/>
      <c r="EP150" s="21"/>
      <c r="EQ150" s="21"/>
      <c r="ER150" s="21"/>
      <c r="ES150" s="21"/>
      <c r="ET150" s="21"/>
      <c r="EU150" s="21"/>
      <c r="EV150" s="21"/>
      <c r="EW150" s="21"/>
      <c r="EX150" s="21"/>
      <c r="EY150" s="21"/>
    </row>
    <row r="151" spans="33:155" x14ac:dyDescent="0.3"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  <c r="BS151" s="21"/>
      <c r="BT151" s="21"/>
      <c r="BU151" s="21"/>
      <c r="BV151" s="21"/>
      <c r="BW151" s="21"/>
      <c r="BX151" s="21"/>
      <c r="BY151" s="21"/>
      <c r="BZ151" s="21"/>
      <c r="CA151" s="21"/>
      <c r="CB151" s="21"/>
      <c r="CC151" s="21"/>
      <c r="CD151" s="21"/>
      <c r="CE151" s="21"/>
      <c r="CF151" s="21"/>
      <c r="CG151" s="21"/>
      <c r="CH151" s="21"/>
      <c r="CI151" s="21"/>
      <c r="CJ151" s="21"/>
      <c r="CK151" s="21"/>
      <c r="CL151" s="21"/>
      <c r="CM151" s="21"/>
      <c r="CN151" s="21"/>
      <c r="CO151" s="21"/>
      <c r="CP151" s="21"/>
      <c r="CQ151" s="21"/>
      <c r="CR151" s="21"/>
      <c r="CS151" s="21"/>
      <c r="CT151" s="21"/>
      <c r="CU151" s="21"/>
      <c r="CV151" s="21"/>
      <c r="CW151" s="21"/>
      <c r="CX151" s="21"/>
      <c r="CY151" s="21"/>
      <c r="CZ151" s="21"/>
      <c r="DA151" s="21"/>
      <c r="DB151" s="21"/>
      <c r="DC151" s="21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  <c r="DP151" s="21"/>
      <c r="DQ151" s="21"/>
      <c r="DR151" s="21"/>
      <c r="DS151" s="21"/>
      <c r="DT151" s="21"/>
      <c r="DU151" s="21"/>
      <c r="DV151" s="21"/>
      <c r="DW151" s="21"/>
      <c r="DX151" s="21"/>
      <c r="DY151" s="21"/>
      <c r="DZ151" s="21"/>
      <c r="EA151" s="21"/>
      <c r="EB151" s="21"/>
      <c r="EC151" s="21"/>
      <c r="ED151" s="21"/>
      <c r="EE151" s="21"/>
      <c r="EF151" s="21"/>
      <c r="EG151" s="21"/>
      <c r="EH151" s="21"/>
      <c r="EI151" s="21"/>
      <c r="EJ151" s="21"/>
      <c r="EK151" s="21"/>
      <c r="EL151" s="21"/>
      <c r="EM151" s="21"/>
      <c r="EN151" s="21"/>
      <c r="EO151" s="21"/>
      <c r="EP151" s="21"/>
      <c r="EQ151" s="21"/>
      <c r="ER151" s="21"/>
      <c r="ES151" s="21"/>
      <c r="ET151" s="21"/>
      <c r="EU151" s="21"/>
      <c r="EV151" s="21"/>
      <c r="EW151" s="21"/>
      <c r="EX151" s="21"/>
      <c r="EY151" s="21"/>
    </row>
    <row r="152" spans="33:155" x14ac:dyDescent="0.3"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  <c r="CD152" s="21"/>
      <c r="CE152" s="21"/>
      <c r="CF152" s="21"/>
      <c r="CG152" s="21"/>
      <c r="CH152" s="21"/>
      <c r="CI152" s="21"/>
      <c r="CJ152" s="21"/>
      <c r="CK152" s="21"/>
      <c r="CL152" s="21"/>
      <c r="CM152" s="21"/>
      <c r="CN152" s="21"/>
      <c r="CO152" s="21"/>
      <c r="CP152" s="21"/>
      <c r="CQ152" s="21"/>
      <c r="CR152" s="21"/>
      <c r="CS152" s="21"/>
      <c r="CT152" s="21"/>
      <c r="CU152" s="21"/>
      <c r="CV152" s="21"/>
      <c r="CW152" s="21"/>
      <c r="CX152" s="21"/>
      <c r="CY152" s="21"/>
      <c r="CZ152" s="21"/>
      <c r="DA152" s="21"/>
      <c r="DB152" s="21"/>
      <c r="DC152" s="21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1"/>
      <c r="DQ152" s="21"/>
      <c r="DR152" s="21"/>
      <c r="DS152" s="21"/>
      <c r="DT152" s="21"/>
      <c r="DU152" s="21"/>
      <c r="DV152" s="21"/>
      <c r="DW152" s="21"/>
      <c r="DX152" s="21"/>
      <c r="DY152" s="21"/>
      <c r="DZ152" s="21"/>
      <c r="EA152" s="21"/>
      <c r="EB152" s="21"/>
      <c r="EC152" s="21"/>
      <c r="ED152" s="21"/>
      <c r="EE152" s="21"/>
      <c r="EF152" s="21"/>
      <c r="EG152" s="21"/>
      <c r="EH152" s="21"/>
      <c r="EI152" s="21"/>
      <c r="EJ152" s="21"/>
      <c r="EK152" s="21"/>
      <c r="EL152" s="21"/>
      <c r="EM152" s="21"/>
      <c r="EN152" s="21"/>
      <c r="EO152" s="21"/>
      <c r="EP152" s="21"/>
      <c r="EQ152" s="21"/>
      <c r="ER152" s="21"/>
      <c r="ES152" s="21"/>
      <c r="ET152" s="21"/>
      <c r="EU152" s="21"/>
      <c r="EV152" s="21"/>
      <c r="EW152" s="21"/>
      <c r="EX152" s="21"/>
      <c r="EY152" s="21"/>
    </row>
    <row r="153" spans="33:155" x14ac:dyDescent="0.3"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  <c r="CD153" s="21"/>
      <c r="CE153" s="21"/>
      <c r="CF153" s="21"/>
      <c r="CG153" s="21"/>
      <c r="CH153" s="21"/>
      <c r="CI153" s="21"/>
      <c r="CJ153" s="21"/>
      <c r="CK153" s="21"/>
      <c r="CL153" s="21"/>
      <c r="CM153" s="21"/>
      <c r="CN153" s="21"/>
      <c r="CO153" s="21"/>
      <c r="CP153" s="21"/>
      <c r="CQ153" s="21"/>
      <c r="CR153" s="21"/>
      <c r="CS153" s="21"/>
      <c r="CT153" s="21"/>
      <c r="CU153" s="21"/>
      <c r="CV153" s="21"/>
      <c r="CW153" s="21"/>
      <c r="CX153" s="21"/>
      <c r="CY153" s="21"/>
      <c r="CZ153" s="21"/>
      <c r="DA153" s="21"/>
      <c r="DB153" s="21"/>
      <c r="DC153" s="21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1"/>
      <c r="DQ153" s="21"/>
      <c r="DR153" s="21"/>
      <c r="DS153" s="21"/>
      <c r="DT153" s="21"/>
      <c r="DU153" s="21"/>
      <c r="DV153" s="21"/>
      <c r="DW153" s="21"/>
      <c r="DX153" s="21"/>
      <c r="DY153" s="21"/>
      <c r="DZ153" s="21"/>
      <c r="EA153" s="21"/>
      <c r="EB153" s="21"/>
      <c r="EC153" s="21"/>
      <c r="ED153" s="21"/>
      <c r="EE153" s="21"/>
      <c r="EF153" s="21"/>
      <c r="EG153" s="21"/>
      <c r="EH153" s="21"/>
      <c r="EI153" s="21"/>
      <c r="EJ153" s="21"/>
      <c r="EK153" s="21"/>
      <c r="EL153" s="21"/>
      <c r="EM153" s="21"/>
      <c r="EN153" s="21"/>
      <c r="EO153" s="21"/>
      <c r="EP153" s="21"/>
      <c r="EQ153" s="21"/>
      <c r="ER153" s="21"/>
      <c r="ES153" s="21"/>
      <c r="ET153" s="21"/>
      <c r="EU153" s="21"/>
      <c r="EV153" s="21"/>
      <c r="EW153" s="21"/>
      <c r="EX153" s="21"/>
      <c r="EY153" s="21"/>
    </row>
    <row r="154" spans="33:155" x14ac:dyDescent="0.3"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  <c r="BK154" s="21"/>
      <c r="BL154" s="21"/>
      <c r="BM154" s="21"/>
      <c r="BN154" s="21"/>
      <c r="BO154" s="21"/>
      <c r="BP154" s="21"/>
      <c r="BQ154" s="21"/>
      <c r="BR154" s="21"/>
      <c r="BS154" s="21"/>
      <c r="BT154" s="21"/>
      <c r="BU154" s="21"/>
      <c r="BV154" s="21"/>
      <c r="BW154" s="21"/>
      <c r="BX154" s="21"/>
      <c r="BY154" s="21"/>
      <c r="BZ154" s="21"/>
      <c r="CA154" s="21"/>
      <c r="CB154" s="21"/>
      <c r="CC154" s="21"/>
      <c r="CD154" s="21"/>
      <c r="CE154" s="21"/>
      <c r="CF154" s="21"/>
      <c r="CG154" s="21"/>
      <c r="CH154" s="21"/>
      <c r="CI154" s="21"/>
      <c r="CJ154" s="21"/>
      <c r="CK154" s="21"/>
      <c r="CL154" s="21"/>
      <c r="CM154" s="21"/>
      <c r="CN154" s="21"/>
      <c r="CO154" s="21"/>
      <c r="CP154" s="21"/>
      <c r="CQ154" s="21"/>
      <c r="CR154" s="21"/>
      <c r="CS154" s="21"/>
      <c r="CT154" s="21"/>
      <c r="CU154" s="21"/>
      <c r="CV154" s="21"/>
      <c r="CW154" s="21"/>
      <c r="CX154" s="21"/>
      <c r="CY154" s="21"/>
      <c r="CZ154" s="21"/>
      <c r="DA154" s="21"/>
      <c r="DB154" s="21"/>
      <c r="DC154" s="21"/>
      <c r="DD154" s="21"/>
      <c r="DE154" s="21"/>
      <c r="DF154" s="21"/>
      <c r="DG154" s="21"/>
      <c r="DH154" s="21"/>
      <c r="DI154" s="21"/>
      <c r="DJ154" s="21"/>
      <c r="DK154" s="21"/>
      <c r="DL154" s="21"/>
      <c r="DM154" s="21"/>
      <c r="DN154" s="21"/>
      <c r="DO154" s="21"/>
      <c r="DP154" s="21"/>
      <c r="DQ154" s="21"/>
      <c r="DR154" s="21"/>
      <c r="DS154" s="21"/>
      <c r="DT154" s="21"/>
      <c r="DU154" s="21"/>
      <c r="DV154" s="21"/>
      <c r="DW154" s="21"/>
      <c r="DX154" s="21"/>
      <c r="DY154" s="21"/>
      <c r="DZ154" s="21"/>
      <c r="EA154" s="21"/>
      <c r="EB154" s="21"/>
      <c r="EC154" s="21"/>
      <c r="ED154" s="21"/>
      <c r="EE154" s="21"/>
      <c r="EF154" s="21"/>
      <c r="EG154" s="21"/>
      <c r="EH154" s="21"/>
      <c r="EI154" s="21"/>
      <c r="EJ154" s="21"/>
      <c r="EK154" s="21"/>
      <c r="EL154" s="21"/>
      <c r="EM154" s="21"/>
      <c r="EN154" s="21"/>
      <c r="EO154" s="21"/>
      <c r="EP154" s="21"/>
      <c r="EQ154" s="21"/>
      <c r="ER154" s="21"/>
      <c r="ES154" s="21"/>
      <c r="ET154" s="21"/>
      <c r="EU154" s="21"/>
      <c r="EV154" s="21"/>
      <c r="EW154" s="21"/>
      <c r="EX154" s="21"/>
      <c r="EY154" s="21"/>
    </row>
    <row r="155" spans="33:155" x14ac:dyDescent="0.3"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  <c r="BO155" s="21"/>
      <c r="BP155" s="21"/>
      <c r="BQ155" s="21"/>
      <c r="BR155" s="21"/>
      <c r="BS155" s="21"/>
      <c r="BT155" s="21"/>
      <c r="BU155" s="21"/>
      <c r="BV155" s="21"/>
      <c r="BW155" s="21"/>
      <c r="BX155" s="21"/>
      <c r="BY155" s="21"/>
      <c r="BZ155" s="21"/>
      <c r="CA155" s="21"/>
      <c r="CB155" s="21"/>
      <c r="CC155" s="21"/>
      <c r="CD155" s="21"/>
      <c r="CE155" s="21"/>
      <c r="CF155" s="21"/>
      <c r="CG155" s="21"/>
      <c r="CH155" s="21"/>
      <c r="CI155" s="21"/>
      <c r="CJ155" s="21"/>
      <c r="CK155" s="21"/>
      <c r="CL155" s="21"/>
      <c r="CM155" s="21"/>
      <c r="CN155" s="21"/>
      <c r="CO155" s="21"/>
      <c r="CP155" s="21"/>
      <c r="CQ155" s="21"/>
      <c r="CR155" s="21"/>
      <c r="CS155" s="21"/>
      <c r="CT155" s="21"/>
      <c r="CU155" s="21"/>
      <c r="CV155" s="21"/>
      <c r="CW155" s="21"/>
      <c r="CX155" s="21"/>
      <c r="CY155" s="21"/>
      <c r="CZ155" s="21"/>
      <c r="DA155" s="21"/>
      <c r="DB155" s="21"/>
      <c r="DC155" s="21"/>
      <c r="DD155" s="21"/>
      <c r="DE155" s="21"/>
      <c r="DF155" s="21"/>
      <c r="DG155" s="21"/>
      <c r="DH155" s="21"/>
      <c r="DI155" s="21"/>
      <c r="DJ155" s="21"/>
      <c r="DK155" s="21"/>
      <c r="DL155" s="21"/>
      <c r="DM155" s="21"/>
      <c r="DN155" s="21"/>
      <c r="DO155" s="21"/>
      <c r="DP155" s="21"/>
      <c r="DQ155" s="21"/>
      <c r="DR155" s="21"/>
      <c r="DS155" s="21"/>
      <c r="DT155" s="21"/>
      <c r="DU155" s="21"/>
      <c r="DV155" s="21"/>
      <c r="DW155" s="21"/>
      <c r="DX155" s="21"/>
      <c r="DY155" s="21"/>
      <c r="DZ155" s="21"/>
      <c r="EA155" s="21"/>
      <c r="EB155" s="21"/>
      <c r="EC155" s="21"/>
      <c r="ED155" s="21"/>
      <c r="EE155" s="21"/>
      <c r="EF155" s="21"/>
      <c r="EG155" s="21"/>
      <c r="EH155" s="21"/>
      <c r="EI155" s="21"/>
      <c r="EJ155" s="21"/>
      <c r="EK155" s="21"/>
      <c r="EL155" s="21"/>
      <c r="EM155" s="21"/>
      <c r="EN155" s="21"/>
      <c r="EO155" s="21"/>
      <c r="EP155" s="21"/>
      <c r="EQ155" s="21"/>
      <c r="ER155" s="21"/>
      <c r="ES155" s="21"/>
      <c r="ET155" s="21"/>
      <c r="EU155" s="21"/>
      <c r="EV155" s="21"/>
      <c r="EW155" s="21"/>
      <c r="EX155" s="21"/>
      <c r="EY155" s="21"/>
    </row>
    <row r="156" spans="33:155" x14ac:dyDescent="0.3"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1"/>
      <c r="BT156" s="21"/>
      <c r="BU156" s="21"/>
      <c r="BV156" s="21"/>
      <c r="BW156" s="21"/>
      <c r="BX156" s="21"/>
      <c r="BY156" s="21"/>
      <c r="BZ156" s="21"/>
      <c r="CA156" s="21"/>
      <c r="CB156" s="21"/>
      <c r="CC156" s="21"/>
      <c r="CD156" s="21"/>
      <c r="CE156" s="21"/>
      <c r="CF156" s="21"/>
      <c r="CG156" s="21"/>
      <c r="CH156" s="21"/>
      <c r="CI156" s="21"/>
      <c r="CJ156" s="21"/>
      <c r="CK156" s="21"/>
      <c r="CL156" s="21"/>
      <c r="CM156" s="21"/>
      <c r="CN156" s="21"/>
      <c r="CO156" s="21"/>
      <c r="CP156" s="21"/>
      <c r="CQ156" s="21"/>
      <c r="CR156" s="21"/>
      <c r="CS156" s="21"/>
      <c r="CT156" s="21"/>
      <c r="CU156" s="21"/>
      <c r="CV156" s="21"/>
      <c r="CW156" s="21"/>
      <c r="CX156" s="21"/>
      <c r="CY156" s="21"/>
      <c r="CZ156" s="21"/>
      <c r="DA156" s="21"/>
      <c r="DB156" s="21"/>
      <c r="DC156" s="21"/>
      <c r="DD156" s="21"/>
      <c r="DE156" s="21"/>
      <c r="DF156" s="21"/>
      <c r="DG156" s="21"/>
      <c r="DH156" s="21"/>
      <c r="DI156" s="21"/>
      <c r="DJ156" s="21"/>
      <c r="DK156" s="21"/>
      <c r="DL156" s="21"/>
      <c r="DM156" s="21"/>
      <c r="DN156" s="21"/>
      <c r="DO156" s="21"/>
      <c r="DP156" s="21"/>
      <c r="DQ156" s="21"/>
      <c r="DR156" s="21"/>
      <c r="DS156" s="21"/>
      <c r="DT156" s="21"/>
      <c r="DU156" s="21"/>
      <c r="DV156" s="21"/>
      <c r="DW156" s="21"/>
      <c r="DX156" s="21"/>
      <c r="DY156" s="21"/>
      <c r="DZ156" s="21"/>
      <c r="EA156" s="21"/>
      <c r="EB156" s="21"/>
      <c r="EC156" s="21"/>
      <c r="ED156" s="21"/>
      <c r="EE156" s="21"/>
      <c r="EF156" s="21"/>
      <c r="EG156" s="21"/>
      <c r="EH156" s="21"/>
      <c r="EI156" s="21"/>
      <c r="EJ156" s="21"/>
      <c r="EK156" s="21"/>
      <c r="EL156" s="21"/>
      <c r="EM156" s="21"/>
      <c r="EN156" s="21"/>
      <c r="EO156" s="21"/>
      <c r="EP156" s="21"/>
      <c r="EQ156" s="21"/>
      <c r="ER156" s="21"/>
      <c r="ES156" s="21"/>
      <c r="ET156" s="21"/>
      <c r="EU156" s="21"/>
      <c r="EV156" s="21"/>
      <c r="EW156" s="21"/>
      <c r="EX156" s="21"/>
      <c r="EY156" s="21"/>
    </row>
    <row r="157" spans="33:155" x14ac:dyDescent="0.3"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BY157" s="21"/>
      <c r="BZ157" s="21"/>
      <c r="CA157" s="21"/>
      <c r="CB157" s="21"/>
      <c r="CC157" s="21"/>
      <c r="CD157" s="21"/>
      <c r="CE157" s="21"/>
      <c r="CF157" s="21"/>
      <c r="CG157" s="21"/>
      <c r="CH157" s="21"/>
      <c r="CI157" s="21"/>
      <c r="CJ157" s="21"/>
      <c r="CK157" s="21"/>
      <c r="CL157" s="21"/>
      <c r="CM157" s="21"/>
      <c r="CN157" s="21"/>
      <c r="CO157" s="21"/>
      <c r="CP157" s="21"/>
      <c r="CQ157" s="21"/>
      <c r="CR157" s="21"/>
      <c r="CS157" s="21"/>
      <c r="CT157" s="21"/>
      <c r="CU157" s="21"/>
      <c r="CV157" s="21"/>
      <c r="CW157" s="21"/>
      <c r="CX157" s="21"/>
      <c r="CY157" s="21"/>
      <c r="CZ157" s="21"/>
      <c r="DA157" s="21"/>
      <c r="DB157" s="21"/>
      <c r="DC157" s="21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1"/>
      <c r="DQ157" s="21"/>
      <c r="DR157" s="21"/>
      <c r="DS157" s="21"/>
      <c r="DT157" s="21"/>
      <c r="DU157" s="21"/>
      <c r="DV157" s="21"/>
      <c r="DW157" s="21"/>
      <c r="DX157" s="21"/>
      <c r="DY157" s="21"/>
      <c r="DZ157" s="21"/>
      <c r="EA157" s="21"/>
      <c r="EB157" s="21"/>
      <c r="EC157" s="21"/>
      <c r="ED157" s="21"/>
      <c r="EE157" s="21"/>
      <c r="EF157" s="21"/>
      <c r="EG157" s="21"/>
      <c r="EH157" s="21"/>
      <c r="EI157" s="21"/>
      <c r="EJ157" s="21"/>
      <c r="EK157" s="21"/>
      <c r="EL157" s="21"/>
      <c r="EM157" s="21"/>
      <c r="EN157" s="21"/>
      <c r="EO157" s="21"/>
      <c r="EP157" s="21"/>
      <c r="EQ157" s="21"/>
      <c r="ER157" s="21"/>
      <c r="ES157" s="21"/>
      <c r="ET157" s="21"/>
      <c r="EU157" s="21"/>
      <c r="EV157" s="21"/>
      <c r="EW157" s="21"/>
      <c r="EX157" s="21"/>
      <c r="EY157" s="21"/>
    </row>
    <row r="158" spans="33:155" x14ac:dyDescent="0.3"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  <c r="BK158" s="21"/>
      <c r="BL158" s="21"/>
      <c r="BM158" s="21"/>
      <c r="BN158" s="21"/>
      <c r="BO158" s="21"/>
      <c r="BP158" s="21"/>
      <c r="BQ158" s="21"/>
      <c r="BR158" s="21"/>
      <c r="BS158" s="21"/>
      <c r="BT158" s="21"/>
      <c r="BU158" s="21"/>
      <c r="BV158" s="21"/>
      <c r="BW158" s="21"/>
      <c r="BX158" s="21"/>
      <c r="BY158" s="21"/>
      <c r="BZ158" s="21"/>
      <c r="CA158" s="21"/>
      <c r="CB158" s="21"/>
      <c r="CC158" s="21"/>
      <c r="CD158" s="21"/>
      <c r="CE158" s="21"/>
      <c r="CF158" s="21"/>
      <c r="CG158" s="21"/>
      <c r="CH158" s="21"/>
      <c r="CI158" s="21"/>
      <c r="CJ158" s="21"/>
      <c r="CK158" s="21"/>
      <c r="CL158" s="21"/>
      <c r="CM158" s="21"/>
      <c r="CN158" s="21"/>
      <c r="CO158" s="21"/>
      <c r="CP158" s="21"/>
      <c r="CQ158" s="21"/>
      <c r="CR158" s="21"/>
      <c r="CS158" s="21"/>
      <c r="CT158" s="21"/>
      <c r="CU158" s="21"/>
      <c r="CV158" s="21"/>
      <c r="CW158" s="21"/>
      <c r="CX158" s="21"/>
      <c r="CY158" s="21"/>
      <c r="CZ158" s="21"/>
      <c r="DA158" s="21"/>
      <c r="DB158" s="21"/>
      <c r="DC158" s="21"/>
      <c r="DD158" s="21"/>
      <c r="DE158" s="21"/>
      <c r="DF158" s="21"/>
      <c r="DG158" s="21"/>
      <c r="DH158" s="21"/>
      <c r="DI158" s="21"/>
      <c r="DJ158" s="21"/>
      <c r="DK158" s="21"/>
      <c r="DL158" s="21"/>
      <c r="DM158" s="21"/>
      <c r="DN158" s="21"/>
      <c r="DO158" s="21"/>
      <c r="DP158" s="21"/>
      <c r="DQ158" s="21"/>
      <c r="DR158" s="21"/>
      <c r="DS158" s="21"/>
      <c r="DT158" s="21"/>
      <c r="DU158" s="21"/>
      <c r="DV158" s="21"/>
      <c r="DW158" s="21"/>
      <c r="DX158" s="21"/>
      <c r="DY158" s="21"/>
      <c r="DZ158" s="21"/>
      <c r="EA158" s="21"/>
      <c r="EB158" s="21"/>
      <c r="EC158" s="21"/>
      <c r="ED158" s="21"/>
      <c r="EE158" s="21"/>
      <c r="EF158" s="21"/>
      <c r="EG158" s="21"/>
      <c r="EH158" s="21"/>
      <c r="EI158" s="21"/>
      <c r="EJ158" s="21"/>
      <c r="EK158" s="21"/>
      <c r="EL158" s="21"/>
      <c r="EM158" s="21"/>
      <c r="EN158" s="21"/>
      <c r="EO158" s="21"/>
      <c r="EP158" s="21"/>
      <c r="EQ158" s="21"/>
      <c r="ER158" s="21"/>
      <c r="ES158" s="21"/>
      <c r="ET158" s="21"/>
      <c r="EU158" s="21"/>
      <c r="EV158" s="21"/>
      <c r="EW158" s="21"/>
      <c r="EX158" s="21"/>
      <c r="EY158" s="21"/>
    </row>
    <row r="159" spans="33:155" x14ac:dyDescent="0.3"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1"/>
      <c r="BT159" s="21"/>
      <c r="BU159" s="21"/>
      <c r="BV159" s="21"/>
      <c r="BW159" s="21"/>
      <c r="BX159" s="21"/>
      <c r="BY159" s="21"/>
      <c r="BZ159" s="21"/>
      <c r="CA159" s="21"/>
      <c r="CB159" s="21"/>
      <c r="CC159" s="21"/>
      <c r="CD159" s="21"/>
      <c r="CE159" s="21"/>
      <c r="CF159" s="21"/>
      <c r="CG159" s="21"/>
      <c r="CH159" s="21"/>
      <c r="CI159" s="21"/>
      <c r="CJ159" s="21"/>
      <c r="CK159" s="21"/>
      <c r="CL159" s="21"/>
      <c r="CM159" s="21"/>
      <c r="CN159" s="21"/>
      <c r="CO159" s="21"/>
      <c r="CP159" s="21"/>
      <c r="CQ159" s="21"/>
      <c r="CR159" s="21"/>
      <c r="CS159" s="21"/>
      <c r="CT159" s="21"/>
      <c r="CU159" s="21"/>
      <c r="CV159" s="21"/>
      <c r="CW159" s="21"/>
      <c r="CX159" s="21"/>
      <c r="CY159" s="21"/>
      <c r="CZ159" s="21"/>
      <c r="DA159" s="21"/>
      <c r="DB159" s="21"/>
      <c r="DC159" s="21"/>
      <c r="DD159" s="21"/>
      <c r="DE159" s="21"/>
      <c r="DF159" s="21"/>
      <c r="DG159" s="21"/>
      <c r="DH159" s="21"/>
      <c r="DI159" s="21"/>
      <c r="DJ159" s="21"/>
      <c r="DK159" s="21"/>
      <c r="DL159" s="21"/>
      <c r="DM159" s="21"/>
      <c r="DN159" s="21"/>
      <c r="DO159" s="21"/>
      <c r="DP159" s="21"/>
      <c r="DQ159" s="21"/>
      <c r="DR159" s="21"/>
      <c r="DS159" s="21"/>
      <c r="DT159" s="21"/>
      <c r="DU159" s="21"/>
      <c r="DV159" s="21"/>
      <c r="DW159" s="21"/>
      <c r="DX159" s="21"/>
      <c r="DY159" s="21"/>
      <c r="DZ159" s="21"/>
      <c r="EA159" s="21"/>
      <c r="EB159" s="21"/>
      <c r="EC159" s="21"/>
      <c r="ED159" s="21"/>
      <c r="EE159" s="21"/>
      <c r="EF159" s="21"/>
      <c r="EG159" s="21"/>
      <c r="EH159" s="21"/>
      <c r="EI159" s="21"/>
      <c r="EJ159" s="21"/>
      <c r="EK159" s="21"/>
      <c r="EL159" s="21"/>
      <c r="EM159" s="21"/>
      <c r="EN159" s="21"/>
      <c r="EO159" s="21"/>
      <c r="EP159" s="21"/>
      <c r="EQ159" s="21"/>
      <c r="ER159" s="21"/>
      <c r="ES159" s="21"/>
      <c r="ET159" s="21"/>
      <c r="EU159" s="21"/>
      <c r="EV159" s="21"/>
      <c r="EW159" s="21"/>
      <c r="EX159" s="21"/>
      <c r="EY159" s="21"/>
    </row>
    <row r="160" spans="33:155" x14ac:dyDescent="0.3"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  <c r="CA160" s="21"/>
      <c r="CB160" s="21"/>
      <c r="CC160" s="21"/>
      <c r="CD160" s="21"/>
      <c r="CE160" s="21"/>
      <c r="CF160" s="21"/>
      <c r="CG160" s="21"/>
      <c r="CH160" s="21"/>
      <c r="CI160" s="21"/>
      <c r="CJ160" s="21"/>
      <c r="CK160" s="21"/>
      <c r="CL160" s="21"/>
      <c r="CM160" s="21"/>
      <c r="CN160" s="21"/>
      <c r="CO160" s="21"/>
      <c r="CP160" s="21"/>
      <c r="CQ160" s="21"/>
      <c r="CR160" s="21"/>
      <c r="CS160" s="21"/>
      <c r="CT160" s="21"/>
      <c r="CU160" s="21"/>
      <c r="CV160" s="21"/>
      <c r="CW160" s="21"/>
      <c r="CX160" s="21"/>
      <c r="CY160" s="21"/>
      <c r="CZ160" s="21"/>
      <c r="DA160" s="21"/>
      <c r="DB160" s="21"/>
      <c r="DC160" s="21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1"/>
      <c r="DQ160" s="21"/>
      <c r="DR160" s="21"/>
      <c r="DS160" s="21"/>
      <c r="DT160" s="21"/>
      <c r="DU160" s="21"/>
      <c r="DV160" s="21"/>
      <c r="DW160" s="21"/>
      <c r="DX160" s="21"/>
      <c r="DY160" s="21"/>
      <c r="DZ160" s="21"/>
      <c r="EA160" s="21"/>
      <c r="EB160" s="21"/>
      <c r="EC160" s="21"/>
      <c r="ED160" s="21"/>
      <c r="EE160" s="21"/>
      <c r="EF160" s="21"/>
      <c r="EG160" s="21"/>
      <c r="EH160" s="21"/>
      <c r="EI160" s="21"/>
      <c r="EJ160" s="21"/>
      <c r="EK160" s="21"/>
      <c r="EL160" s="21"/>
      <c r="EM160" s="21"/>
      <c r="EN160" s="21"/>
      <c r="EO160" s="21"/>
      <c r="EP160" s="21"/>
      <c r="EQ160" s="21"/>
      <c r="ER160" s="21"/>
      <c r="ES160" s="21"/>
      <c r="ET160" s="21"/>
      <c r="EU160" s="21"/>
      <c r="EV160" s="21"/>
      <c r="EW160" s="21"/>
      <c r="EX160" s="21"/>
      <c r="EY160" s="21"/>
    </row>
    <row r="161" spans="33:155" x14ac:dyDescent="0.3"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  <c r="CD161" s="21"/>
      <c r="CE161" s="21"/>
      <c r="CF161" s="21"/>
      <c r="CG161" s="21"/>
      <c r="CH161" s="21"/>
      <c r="CI161" s="21"/>
      <c r="CJ161" s="21"/>
      <c r="CK161" s="21"/>
      <c r="CL161" s="21"/>
      <c r="CM161" s="21"/>
      <c r="CN161" s="21"/>
      <c r="CO161" s="21"/>
      <c r="CP161" s="21"/>
      <c r="CQ161" s="21"/>
      <c r="CR161" s="21"/>
      <c r="CS161" s="21"/>
      <c r="CT161" s="21"/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1"/>
      <c r="DQ161" s="21"/>
      <c r="DR161" s="21"/>
      <c r="DS161" s="21"/>
      <c r="DT161" s="21"/>
      <c r="DU161" s="21"/>
      <c r="DV161" s="21"/>
      <c r="DW161" s="21"/>
      <c r="DX161" s="21"/>
      <c r="DY161" s="21"/>
      <c r="DZ161" s="21"/>
      <c r="EA161" s="21"/>
      <c r="EB161" s="21"/>
      <c r="EC161" s="21"/>
      <c r="ED161" s="21"/>
      <c r="EE161" s="21"/>
      <c r="EF161" s="21"/>
      <c r="EG161" s="21"/>
      <c r="EH161" s="21"/>
      <c r="EI161" s="21"/>
      <c r="EJ161" s="21"/>
      <c r="EK161" s="21"/>
      <c r="EL161" s="21"/>
      <c r="EM161" s="21"/>
      <c r="EN161" s="21"/>
      <c r="EO161" s="21"/>
      <c r="EP161" s="21"/>
      <c r="EQ161" s="21"/>
      <c r="ER161" s="21"/>
      <c r="ES161" s="21"/>
      <c r="ET161" s="21"/>
      <c r="EU161" s="21"/>
      <c r="EV161" s="21"/>
      <c r="EW161" s="21"/>
      <c r="EX161" s="21"/>
      <c r="EY161" s="21"/>
    </row>
    <row r="162" spans="33:155" x14ac:dyDescent="0.3"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  <c r="CD162" s="21"/>
      <c r="CE162" s="21"/>
      <c r="CF162" s="21"/>
      <c r="CG162" s="21"/>
      <c r="CH162" s="21"/>
      <c r="CI162" s="21"/>
      <c r="CJ162" s="21"/>
      <c r="CK162" s="21"/>
      <c r="CL162" s="21"/>
      <c r="CM162" s="21"/>
      <c r="CN162" s="21"/>
      <c r="CO162" s="21"/>
      <c r="CP162" s="21"/>
      <c r="CQ162" s="21"/>
      <c r="CR162" s="21"/>
      <c r="CS162" s="21"/>
      <c r="CT162" s="21"/>
      <c r="CU162" s="21"/>
      <c r="CV162" s="21"/>
      <c r="CW162" s="21"/>
      <c r="CX162" s="21"/>
      <c r="CY162" s="21"/>
      <c r="CZ162" s="21"/>
      <c r="DA162" s="21"/>
      <c r="DB162" s="21"/>
      <c r="DC162" s="21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1"/>
      <c r="DQ162" s="21"/>
      <c r="DR162" s="21"/>
      <c r="DS162" s="21"/>
      <c r="DT162" s="21"/>
      <c r="DU162" s="21"/>
      <c r="DV162" s="21"/>
      <c r="DW162" s="21"/>
      <c r="DX162" s="21"/>
      <c r="DY162" s="21"/>
      <c r="DZ162" s="21"/>
      <c r="EA162" s="21"/>
      <c r="EB162" s="21"/>
      <c r="EC162" s="21"/>
      <c r="ED162" s="21"/>
      <c r="EE162" s="21"/>
      <c r="EF162" s="21"/>
      <c r="EG162" s="21"/>
      <c r="EH162" s="21"/>
      <c r="EI162" s="21"/>
      <c r="EJ162" s="21"/>
      <c r="EK162" s="21"/>
      <c r="EL162" s="21"/>
      <c r="EM162" s="21"/>
      <c r="EN162" s="21"/>
      <c r="EO162" s="21"/>
      <c r="EP162" s="21"/>
      <c r="EQ162" s="21"/>
      <c r="ER162" s="21"/>
      <c r="ES162" s="21"/>
      <c r="ET162" s="21"/>
      <c r="EU162" s="21"/>
      <c r="EV162" s="21"/>
      <c r="EW162" s="21"/>
      <c r="EX162" s="21"/>
      <c r="EY162" s="21"/>
    </row>
    <row r="163" spans="33:155" x14ac:dyDescent="0.3"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  <c r="CD163" s="21"/>
      <c r="CE163" s="21"/>
      <c r="CF163" s="21"/>
      <c r="CG163" s="21"/>
      <c r="CH163" s="21"/>
      <c r="CI163" s="21"/>
      <c r="CJ163" s="21"/>
      <c r="CK163" s="21"/>
      <c r="CL163" s="21"/>
      <c r="CM163" s="21"/>
      <c r="CN163" s="21"/>
      <c r="CO163" s="21"/>
      <c r="CP163" s="21"/>
      <c r="CQ163" s="21"/>
      <c r="CR163" s="21"/>
      <c r="CS163" s="21"/>
      <c r="CT163" s="21"/>
      <c r="CU163" s="21"/>
      <c r="CV163" s="21"/>
      <c r="CW163" s="21"/>
      <c r="CX163" s="21"/>
      <c r="CY163" s="21"/>
      <c r="CZ163" s="21"/>
      <c r="DA163" s="21"/>
      <c r="DB163" s="21"/>
      <c r="DC163" s="21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1"/>
      <c r="DQ163" s="21"/>
      <c r="DR163" s="21"/>
      <c r="DS163" s="21"/>
      <c r="DT163" s="21"/>
      <c r="DU163" s="21"/>
      <c r="DV163" s="21"/>
      <c r="DW163" s="21"/>
      <c r="DX163" s="21"/>
      <c r="DY163" s="21"/>
      <c r="DZ163" s="21"/>
      <c r="EA163" s="21"/>
      <c r="EB163" s="21"/>
      <c r="EC163" s="21"/>
      <c r="ED163" s="21"/>
      <c r="EE163" s="21"/>
      <c r="EF163" s="21"/>
      <c r="EG163" s="21"/>
      <c r="EH163" s="21"/>
      <c r="EI163" s="21"/>
      <c r="EJ163" s="21"/>
      <c r="EK163" s="21"/>
      <c r="EL163" s="21"/>
      <c r="EM163" s="21"/>
      <c r="EN163" s="21"/>
      <c r="EO163" s="21"/>
      <c r="EP163" s="21"/>
      <c r="EQ163" s="21"/>
      <c r="ER163" s="21"/>
      <c r="ES163" s="21"/>
      <c r="ET163" s="21"/>
      <c r="EU163" s="21"/>
      <c r="EV163" s="21"/>
      <c r="EW163" s="21"/>
      <c r="EX163" s="21"/>
      <c r="EY163" s="21"/>
    </row>
    <row r="164" spans="33:155" x14ac:dyDescent="0.3"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  <c r="CD164" s="21"/>
      <c r="CE164" s="21"/>
      <c r="CF164" s="21"/>
      <c r="CG164" s="21"/>
      <c r="CH164" s="21"/>
      <c r="CI164" s="21"/>
      <c r="CJ164" s="21"/>
      <c r="CK164" s="21"/>
      <c r="CL164" s="21"/>
      <c r="CM164" s="21"/>
      <c r="CN164" s="21"/>
      <c r="CO164" s="21"/>
      <c r="CP164" s="21"/>
      <c r="CQ164" s="21"/>
      <c r="CR164" s="21"/>
      <c r="CS164" s="21"/>
      <c r="CT164" s="21"/>
      <c r="CU164" s="21"/>
      <c r="CV164" s="21"/>
      <c r="CW164" s="21"/>
      <c r="CX164" s="21"/>
      <c r="CY164" s="21"/>
      <c r="CZ164" s="21"/>
      <c r="DA164" s="21"/>
      <c r="DB164" s="21"/>
      <c r="DC164" s="21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1"/>
      <c r="DQ164" s="21"/>
      <c r="DR164" s="21"/>
      <c r="DS164" s="21"/>
      <c r="DT164" s="21"/>
      <c r="DU164" s="21"/>
      <c r="DV164" s="21"/>
      <c r="DW164" s="21"/>
      <c r="DX164" s="21"/>
      <c r="DY164" s="21"/>
      <c r="DZ164" s="21"/>
      <c r="EA164" s="21"/>
      <c r="EB164" s="21"/>
      <c r="EC164" s="21"/>
      <c r="ED164" s="21"/>
      <c r="EE164" s="21"/>
      <c r="EF164" s="21"/>
      <c r="EG164" s="21"/>
      <c r="EH164" s="21"/>
      <c r="EI164" s="21"/>
      <c r="EJ164" s="21"/>
      <c r="EK164" s="21"/>
      <c r="EL164" s="21"/>
      <c r="EM164" s="21"/>
      <c r="EN164" s="21"/>
      <c r="EO164" s="21"/>
      <c r="EP164" s="21"/>
      <c r="EQ164" s="21"/>
      <c r="ER164" s="21"/>
      <c r="ES164" s="21"/>
      <c r="ET164" s="21"/>
      <c r="EU164" s="21"/>
      <c r="EV164" s="21"/>
      <c r="EW164" s="21"/>
      <c r="EX164" s="21"/>
      <c r="EY164" s="21"/>
    </row>
    <row r="165" spans="33:155" x14ac:dyDescent="0.3"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  <c r="CD165" s="21"/>
      <c r="CE165" s="21"/>
      <c r="CF165" s="21"/>
      <c r="CG165" s="21"/>
      <c r="CH165" s="21"/>
      <c r="CI165" s="21"/>
      <c r="CJ165" s="21"/>
      <c r="CK165" s="21"/>
      <c r="CL165" s="21"/>
      <c r="CM165" s="21"/>
      <c r="CN165" s="21"/>
      <c r="CO165" s="21"/>
      <c r="CP165" s="21"/>
      <c r="CQ165" s="21"/>
      <c r="CR165" s="21"/>
      <c r="CS165" s="21"/>
      <c r="CT165" s="21"/>
      <c r="CU165" s="21"/>
      <c r="CV165" s="21"/>
      <c r="CW165" s="21"/>
      <c r="CX165" s="21"/>
      <c r="CY165" s="21"/>
      <c r="CZ165" s="21"/>
      <c r="DA165" s="21"/>
      <c r="DB165" s="21"/>
      <c r="DC165" s="21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1"/>
      <c r="DQ165" s="21"/>
      <c r="DR165" s="21"/>
      <c r="DS165" s="21"/>
      <c r="DT165" s="21"/>
      <c r="DU165" s="21"/>
      <c r="DV165" s="21"/>
      <c r="DW165" s="21"/>
      <c r="DX165" s="21"/>
      <c r="DY165" s="21"/>
      <c r="DZ165" s="21"/>
      <c r="EA165" s="21"/>
      <c r="EB165" s="21"/>
      <c r="EC165" s="21"/>
      <c r="ED165" s="21"/>
      <c r="EE165" s="21"/>
      <c r="EF165" s="21"/>
      <c r="EG165" s="21"/>
      <c r="EH165" s="21"/>
      <c r="EI165" s="21"/>
      <c r="EJ165" s="21"/>
      <c r="EK165" s="21"/>
      <c r="EL165" s="21"/>
      <c r="EM165" s="21"/>
      <c r="EN165" s="21"/>
      <c r="EO165" s="21"/>
      <c r="EP165" s="21"/>
      <c r="EQ165" s="21"/>
      <c r="ER165" s="21"/>
      <c r="ES165" s="21"/>
      <c r="ET165" s="21"/>
      <c r="EU165" s="21"/>
      <c r="EV165" s="21"/>
      <c r="EW165" s="21"/>
      <c r="EX165" s="21"/>
      <c r="EY165" s="21"/>
    </row>
    <row r="166" spans="33:155" x14ac:dyDescent="0.3"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  <c r="CD166" s="21"/>
      <c r="CE166" s="21"/>
      <c r="CF166" s="21"/>
      <c r="CG166" s="21"/>
      <c r="CH166" s="21"/>
      <c r="CI166" s="21"/>
      <c r="CJ166" s="21"/>
      <c r="CK166" s="21"/>
      <c r="CL166" s="21"/>
      <c r="CM166" s="21"/>
      <c r="CN166" s="21"/>
      <c r="CO166" s="21"/>
      <c r="CP166" s="21"/>
      <c r="CQ166" s="21"/>
      <c r="CR166" s="21"/>
      <c r="CS166" s="21"/>
      <c r="CT166" s="21"/>
      <c r="CU166" s="21"/>
      <c r="CV166" s="21"/>
      <c r="CW166" s="21"/>
      <c r="CX166" s="21"/>
      <c r="CY166" s="21"/>
      <c r="CZ166" s="21"/>
      <c r="DA166" s="21"/>
      <c r="DB166" s="21"/>
      <c r="DC166" s="21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1"/>
      <c r="DQ166" s="21"/>
      <c r="DR166" s="21"/>
      <c r="DS166" s="21"/>
      <c r="DT166" s="21"/>
      <c r="DU166" s="21"/>
      <c r="DV166" s="21"/>
      <c r="DW166" s="21"/>
      <c r="DX166" s="21"/>
      <c r="DY166" s="21"/>
      <c r="DZ166" s="21"/>
      <c r="EA166" s="21"/>
      <c r="EB166" s="21"/>
      <c r="EC166" s="21"/>
      <c r="ED166" s="21"/>
      <c r="EE166" s="21"/>
      <c r="EF166" s="21"/>
      <c r="EG166" s="21"/>
      <c r="EH166" s="21"/>
      <c r="EI166" s="21"/>
      <c r="EJ166" s="21"/>
      <c r="EK166" s="21"/>
      <c r="EL166" s="21"/>
      <c r="EM166" s="21"/>
      <c r="EN166" s="21"/>
      <c r="EO166" s="21"/>
      <c r="EP166" s="21"/>
      <c r="EQ166" s="21"/>
      <c r="ER166" s="21"/>
      <c r="ES166" s="21"/>
      <c r="ET166" s="21"/>
      <c r="EU166" s="21"/>
      <c r="EV166" s="21"/>
      <c r="EW166" s="21"/>
      <c r="EX166" s="21"/>
      <c r="EY166" s="21"/>
    </row>
    <row r="167" spans="33:155" x14ac:dyDescent="0.3"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  <c r="CD167" s="21"/>
      <c r="CE167" s="21"/>
      <c r="CF167" s="21"/>
      <c r="CG167" s="21"/>
      <c r="CH167" s="21"/>
      <c r="CI167" s="21"/>
      <c r="CJ167" s="21"/>
      <c r="CK167" s="21"/>
      <c r="CL167" s="21"/>
      <c r="CM167" s="21"/>
      <c r="CN167" s="21"/>
      <c r="CO167" s="21"/>
      <c r="CP167" s="21"/>
      <c r="CQ167" s="21"/>
      <c r="CR167" s="21"/>
      <c r="CS167" s="21"/>
      <c r="CT167" s="21"/>
      <c r="CU167" s="21"/>
      <c r="CV167" s="21"/>
      <c r="CW167" s="21"/>
      <c r="CX167" s="21"/>
      <c r="CY167" s="21"/>
      <c r="CZ167" s="21"/>
      <c r="DA167" s="21"/>
      <c r="DB167" s="21"/>
      <c r="DC167" s="21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1"/>
      <c r="DQ167" s="21"/>
      <c r="DR167" s="21"/>
      <c r="DS167" s="21"/>
      <c r="DT167" s="21"/>
      <c r="DU167" s="21"/>
      <c r="DV167" s="21"/>
      <c r="DW167" s="21"/>
      <c r="DX167" s="21"/>
      <c r="DY167" s="21"/>
      <c r="DZ167" s="21"/>
      <c r="EA167" s="21"/>
      <c r="EB167" s="21"/>
      <c r="EC167" s="21"/>
      <c r="ED167" s="21"/>
      <c r="EE167" s="21"/>
      <c r="EF167" s="21"/>
      <c r="EG167" s="21"/>
      <c r="EH167" s="21"/>
      <c r="EI167" s="21"/>
      <c r="EJ167" s="21"/>
      <c r="EK167" s="21"/>
      <c r="EL167" s="21"/>
      <c r="EM167" s="21"/>
      <c r="EN167" s="21"/>
      <c r="EO167" s="21"/>
      <c r="EP167" s="21"/>
      <c r="EQ167" s="21"/>
      <c r="ER167" s="21"/>
      <c r="ES167" s="21"/>
      <c r="ET167" s="21"/>
      <c r="EU167" s="21"/>
      <c r="EV167" s="21"/>
      <c r="EW167" s="21"/>
      <c r="EX167" s="21"/>
      <c r="EY167" s="21"/>
    </row>
    <row r="168" spans="33:155" x14ac:dyDescent="0.3"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  <c r="CD168" s="21"/>
      <c r="CE168" s="21"/>
      <c r="CF168" s="21"/>
      <c r="CG168" s="21"/>
      <c r="CH168" s="21"/>
      <c r="CI168" s="21"/>
      <c r="CJ168" s="21"/>
      <c r="CK168" s="21"/>
      <c r="CL168" s="21"/>
      <c r="CM168" s="21"/>
      <c r="CN168" s="21"/>
      <c r="CO168" s="21"/>
      <c r="CP168" s="21"/>
      <c r="CQ168" s="21"/>
      <c r="CR168" s="21"/>
      <c r="CS168" s="21"/>
      <c r="CT168" s="21"/>
      <c r="CU168" s="21"/>
      <c r="CV168" s="21"/>
      <c r="CW168" s="21"/>
      <c r="CX168" s="21"/>
      <c r="CY168" s="21"/>
      <c r="CZ168" s="21"/>
      <c r="DA168" s="21"/>
      <c r="DB168" s="21"/>
      <c r="DC168" s="21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1"/>
      <c r="DQ168" s="21"/>
      <c r="DR168" s="21"/>
      <c r="DS168" s="21"/>
      <c r="DT168" s="21"/>
      <c r="DU168" s="21"/>
      <c r="DV168" s="21"/>
      <c r="DW168" s="21"/>
      <c r="DX168" s="21"/>
      <c r="DY168" s="21"/>
      <c r="DZ168" s="21"/>
      <c r="EA168" s="21"/>
      <c r="EB168" s="21"/>
      <c r="EC168" s="21"/>
      <c r="ED168" s="21"/>
      <c r="EE168" s="21"/>
      <c r="EF168" s="21"/>
      <c r="EG168" s="21"/>
      <c r="EH168" s="21"/>
      <c r="EI168" s="21"/>
      <c r="EJ168" s="21"/>
      <c r="EK168" s="21"/>
      <c r="EL168" s="21"/>
      <c r="EM168" s="21"/>
      <c r="EN168" s="21"/>
      <c r="EO168" s="21"/>
      <c r="EP168" s="21"/>
      <c r="EQ168" s="21"/>
      <c r="ER168" s="21"/>
      <c r="ES168" s="21"/>
      <c r="ET168" s="21"/>
      <c r="EU168" s="21"/>
      <c r="EV168" s="21"/>
      <c r="EW168" s="21"/>
      <c r="EX168" s="21"/>
      <c r="EY168" s="21"/>
    </row>
    <row r="169" spans="33:155" x14ac:dyDescent="0.3"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1"/>
      <c r="DQ169" s="21"/>
      <c r="DR169" s="21"/>
      <c r="DS169" s="21"/>
      <c r="DT169" s="21"/>
      <c r="DU169" s="21"/>
      <c r="DV169" s="21"/>
      <c r="DW169" s="21"/>
      <c r="DX169" s="21"/>
      <c r="DY169" s="21"/>
      <c r="DZ169" s="21"/>
      <c r="EA169" s="21"/>
      <c r="EB169" s="21"/>
      <c r="EC169" s="21"/>
      <c r="ED169" s="21"/>
      <c r="EE169" s="21"/>
      <c r="EF169" s="21"/>
      <c r="EG169" s="21"/>
      <c r="EH169" s="21"/>
      <c r="EI169" s="21"/>
      <c r="EJ169" s="21"/>
      <c r="EK169" s="21"/>
      <c r="EL169" s="21"/>
      <c r="EM169" s="21"/>
      <c r="EN169" s="21"/>
      <c r="EO169" s="21"/>
      <c r="EP169" s="21"/>
      <c r="EQ169" s="21"/>
      <c r="ER169" s="21"/>
      <c r="ES169" s="21"/>
      <c r="ET169" s="21"/>
      <c r="EU169" s="21"/>
      <c r="EV169" s="21"/>
      <c r="EW169" s="21"/>
      <c r="EX169" s="21"/>
      <c r="EY169" s="21"/>
    </row>
    <row r="170" spans="33:155" x14ac:dyDescent="0.3"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  <c r="CD170" s="21"/>
      <c r="CE170" s="21"/>
      <c r="CF170" s="21"/>
      <c r="CG170" s="21"/>
      <c r="CH170" s="21"/>
      <c r="CI170" s="21"/>
      <c r="CJ170" s="21"/>
      <c r="CK170" s="21"/>
      <c r="CL170" s="21"/>
      <c r="CM170" s="21"/>
      <c r="CN170" s="21"/>
      <c r="CO170" s="21"/>
      <c r="CP170" s="21"/>
      <c r="CQ170" s="21"/>
      <c r="CR170" s="21"/>
      <c r="CS170" s="21"/>
      <c r="CT170" s="21"/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1"/>
      <c r="DQ170" s="21"/>
      <c r="DR170" s="21"/>
      <c r="DS170" s="21"/>
      <c r="DT170" s="21"/>
      <c r="DU170" s="21"/>
      <c r="DV170" s="21"/>
      <c r="DW170" s="21"/>
      <c r="DX170" s="21"/>
      <c r="DY170" s="21"/>
      <c r="DZ170" s="21"/>
      <c r="EA170" s="21"/>
      <c r="EB170" s="21"/>
      <c r="EC170" s="21"/>
      <c r="ED170" s="21"/>
      <c r="EE170" s="21"/>
      <c r="EF170" s="21"/>
      <c r="EG170" s="21"/>
      <c r="EH170" s="21"/>
      <c r="EI170" s="21"/>
      <c r="EJ170" s="21"/>
      <c r="EK170" s="21"/>
      <c r="EL170" s="21"/>
      <c r="EM170" s="21"/>
      <c r="EN170" s="21"/>
      <c r="EO170" s="21"/>
      <c r="EP170" s="21"/>
      <c r="EQ170" s="21"/>
      <c r="ER170" s="21"/>
      <c r="ES170" s="21"/>
      <c r="ET170" s="21"/>
      <c r="EU170" s="21"/>
      <c r="EV170" s="21"/>
      <c r="EW170" s="21"/>
      <c r="EX170" s="21"/>
      <c r="EY170" s="21"/>
    </row>
    <row r="171" spans="33:155" x14ac:dyDescent="0.3"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  <c r="CL171" s="21"/>
      <c r="CM171" s="21"/>
      <c r="CN171" s="21"/>
      <c r="CO171" s="21"/>
      <c r="CP171" s="21"/>
      <c r="CQ171" s="21"/>
      <c r="CR171" s="21"/>
      <c r="CS171" s="21"/>
      <c r="CT171" s="21"/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1"/>
      <c r="DQ171" s="21"/>
      <c r="DR171" s="21"/>
      <c r="DS171" s="21"/>
      <c r="DT171" s="21"/>
      <c r="DU171" s="21"/>
      <c r="DV171" s="21"/>
      <c r="DW171" s="21"/>
      <c r="DX171" s="21"/>
      <c r="DY171" s="21"/>
      <c r="DZ171" s="21"/>
      <c r="EA171" s="21"/>
      <c r="EB171" s="21"/>
      <c r="EC171" s="21"/>
      <c r="ED171" s="21"/>
      <c r="EE171" s="21"/>
      <c r="EF171" s="21"/>
      <c r="EG171" s="21"/>
      <c r="EH171" s="21"/>
      <c r="EI171" s="21"/>
      <c r="EJ171" s="21"/>
      <c r="EK171" s="21"/>
      <c r="EL171" s="21"/>
      <c r="EM171" s="21"/>
      <c r="EN171" s="21"/>
      <c r="EO171" s="21"/>
      <c r="EP171" s="21"/>
      <c r="EQ171" s="21"/>
      <c r="ER171" s="21"/>
      <c r="ES171" s="21"/>
      <c r="ET171" s="21"/>
      <c r="EU171" s="21"/>
      <c r="EV171" s="21"/>
      <c r="EW171" s="21"/>
      <c r="EX171" s="21"/>
      <c r="EY171" s="21"/>
    </row>
    <row r="172" spans="33:155" x14ac:dyDescent="0.3"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  <c r="CD172" s="21"/>
      <c r="CE172" s="21"/>
      <c r="CF172" s="21"/>
      <c r="CG172" s="21"/>
      <c r="CH172" s="21"/>
      <c r="CI172" s="21"/>
      <c r="CJ172" s="21"/>
      <c r="CK172" s="21"/>
      <c r="CL172" s="21"/>
      <c r="CM172" s="21"/>
      <c r="CN172" s="21"/>
      <c r="CO172" s="21"/>
      <c r="CP172" s="21"/>
      <c r="CQ172" s="21"/>
      <c r="CR172" s="21"/>
      <c r="CS172" s="21"/>
      <c r="CT172" s="21"/>
      <c r="CU172" s="21"/>
      <c r="CV172" s="21"/>
      <c r="CW172" s="21"/>
      <c r="CX172" s="21"/>
      <c r="CY172" s="21"/>
      <c r="CZ172" s="21"/>
      <c r="DA172" s="21"/>
      <c r="DB172" s="21"/>
      <c r="DC172" s="21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1"/>
      <c r="DQ172" s="21"/>
      <c r="DR172" s="21"/>
      <c r="DS172" s="21"/>
      <c r="DT172" s="21"/>
      <c r="DU172" s="21"/>
      <c r="DV172" s="21"/>
      <c r="DW172" s="21"/>
      <c r="DX172" s="21"/>
      <c r="DY172" s="21"/>
      <c r="DZ172" s="21"/>
      <c r="EA172" s="21"/>
      <c r="EB172" s="21"/>
      <c r="EC172" s="21"/>
      <c r="ED172" s="21"/>
      <c r="EE172" s="21"/>
      <c r="EF172" s="21"/>
      <c r="EG172" s="21"/>
      <c r="EH172" s="21"/>
      <c r="EI172" s="21"/>
      <c r="EJ172" s="21"/>
      <c r="EK172" s="21"/>
      <c r="EL172" s="21"/>
      <c r="EM172" s="21"/>
      <c r="EN172" s="21"/>
      <c r="EO172" s="21"/>
      <c r="EP172" s="21"/>
      <c r="EQ172" s="21"/>
      <c r="ER172" s="21"/>
      <c r="ES172" s="21"/>
      <c r="ET172" s="21"/>
      <c r="EU172" s="21"/>
      <c r="EV172" s="21"/>
      <c r="EW172" s="21"/>
      <c r="EX172" s="21"/>
      <c r="EY172" s="21"/>
    </row>
    <row r="173" spans="33:155" x14ac:dyDescent="0.3"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  <c r="CD173" s="21"/>
      <c r="CE173" s="21"/>
      <c r="CF173" s="21"/>
      <c r="CG173" s="21"/>
      <c r="CH173" s="21"/>
      <c r="CI173" s="21"/>
      <c r="CJ173" s="21"/>
      <c r="CK173" s="21"/>
      <c r="CL173" s="21"/>
      <c r="CM173" s="21"/>
      <c r="CN173" s="21"/>
      <c r="CO173" s="21"/>
      <c r="CP173" s="21"/>
      <c r="CQ173" s="21"/>
      <c r="CR173" s="21"/>
      <c r="CS173" s="21"/>
      <c r="CT173" s="21"/>
      <c r="CU173" s="21"/>
      <c r="CV173" s="21"/>
      <c r="CW173" s="21"/>
      <c r="CX173" s="21"/>
      <c r="CY173" s="21"/>
      <c r="CZ173" s="21"/>
      <c r="DA173" s="21"/>
      <c r="DB173" s="21"/>
      <c r="DC173" s="21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1"/>
      <c r="DQ173" s="21"/>
      <c r="DR173" s="21"/>
      <c r="DS173" s="21"/>
      <c r="DT173" s="21"/>
      <c r="DU173" s="21"/>
      <c r="DV173" s="21"/>
      <c r="DW173" s="21"/>
      <c r="DX173" s="21"/>
      <c r="DY173" s="21"/>
      <c r="DZ173" s="21"/>
      <c r="EA173" s="21"/>
      <c r="EB173" s="21"/>
      <c r="EC173" s="21"/>
      <c r="ED173" s="21"/>
      <c r="EE173" s="21"/>
      <c r="EF173" s="21"/>
      <c r="EG173" s="21"/>
      <c r="EH173" s="21"/>
      <c r="EI173" s="21"/>
      <c r="EJ173" s="21"/>
      <c r="EK173" s="21"/>
      <c r="EL173" s="21"/>
      <c r="EM173" s="21"/>
      <c r="EN173" s="21"/>
      <c r="EO173" s="21"/>
      <c r="EP173" s="21"/>
      <c r="EQ173" s="21"/>
      <c r="ER173" s="21"/>
      <c r="ES173" s="21"/>
      <c r="ET173" s="21"/>
      <c r="EU173" s="21"/>
      <c r="EV173" s="21"/>
      <c r="EW173" s="21"/>
      <c r="EX173" s="21"/>
      <c r="EY173" s="21"/>
    </row>
    <row r="174" spans="33:155" x14ac:dyDescent="0.3"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  <c r="CD174" s="21"/>
      <c r="CE174" s="21"/>
      <c r="CF174" s="21"/>
      <c r="CG174" s="21"/>
      <c r="CH174" s="21"/>
      <c r="CI174" s="21"/>
      <c r="CJ174" s="21"/>
      <c r="CK174" s="21"/>
      <c r="CL174" s="21"/>
      <c r="CM174" s="21"/>
      <c r="CN174" s="21"/>
      <c r="CO174" s="21"/>
      <c r="CP174" s="21"/>
      <c r="CQ174" s="21"/>
      <c r="CR174" s="21"/>
      <c r="CS174" s="21"/>
      <c r="CT174" s="21"/>
      <c r="CU174" s="21"/>
      <c r="CV174" s="21"/>
      <c r="CW174" s="21"/>
      <c r="CX174" s="21"/>
      <c r="CY174" s="21"/>
      <c r="CZ174" s="21"/>
      <c r="DA174" s="21"/>
      <c r="DB174" s="21"/>
      <c r="DC174" s="21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1"/>
      <c r="DQ174" s="21"/>
      <c r="DR174" s="21"/>
      <c r="DS174" s="21"/>
      <c r="DT174" s="21"/>
      <c r="DU174" s="21"/>
      <c r="DV174" s="21"/>
      <c r="DW174" s="21"/>
      <c r="DX174" s="21"/>
      <c r="DY174" s="21"/>
      <c r="DZ174" s="21"/>
      <c r="EA174" s="21"/>
      <c r="EB174" s="21"/>
      <c r="EC174" s="21"/>
      <c r="ED174" s="21"/>
      <c r="EE174" s="21"/>
      <c r="EF174" s="21"/>
      <c r="EG174" s="21"/>
      <c r="EH174" s="21"/>
      <c r="EI174" s="21"/>
      <c r="EJ174" s="21"/>
      <c r="EK174" s="21"/>
      <c r="EL174" s="21"/>
      <c r="EM174" s="21"/>
      <c r="EN174" s="21"/>
      <c r="EO174" s="21"/>
      <c r="EP174" s="21"/>
      <c r="EQ174" s="21"/>
      <c r="ER174" s="21"/>
      <c r="ES174" s="21"/>
      <c r="ET174" s="21"/>
      <c r="EU174" s="21"/>
      <c r="EV174" s="21"/>
      <c r="EW174" s="21"/>
      <c r="EX174" s="21"/>
      <c r="EY174" s="21"/>
    </row>
    <row r="175" spans="33:155" x14ac:dyDescent="0.3"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  <c r="CD175" s="21"/>
      <c r="CE175" s="21"/>
      <c r="CF175" s="21"/>
      <c r="CG175" s="21"/>
      <c r="CH175" s="21"/>
      <c r="CI175" s="21"/>
      <c r="CJ175" s="21"/>
      <c r="CK175" s="21"/>
      <c r="CL175" s="21"/>
      <c r="CM175" s="21"/>
      <c r="CN175" s="21"/>
      <c r="CO175" s="21"/>
      <c r="CP175" s="21"/>
      <c r="CQ175" s="21"/>
      <c r="CR175" s="21"/>
      <c r="CS175" s="21"/>
      <c r="CT175" s="21"/>
      <c r="CU175" s="21"/>
      <c r="CV175" s="21"/>
      <c r="CW175" s="21"/>
      <c r="CX175" s="21"/>
      <c r="CY175" s="21"/>
      <c r="CZ175" s="21"/>
      <c r="DA175" s="21"/>
      <c r="DB175" s="21"/>
      <c r="DC175" s="21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1"/>
      <c r="DQ175" s="21"/>
      <c r="DR175" s="21"/>
      <c r="DS175" s="21"/>
      <c r="DT175" s="21"/>
      <c r="DU175" s="21"/>
      <c r="DV175" s="21"/>
      <c r="DW175" s="21"/>
      <c r="DX175" s="21"/>
      <c r="DY175" s="21"/>
      <c r="DZ175" s="21"/>
      <c r="EA175" s="21"/>
      <c r="EB175" s="21"/>
      <c r="EC175" s="21"/>
      <c r="ED175" s="21"/>
      <c r="EE175" s="21"/>
      <c r="EF175" s="21"/>
      <c r="EG175" s="21"/>
      <c r="EH175" s="21"/>
      <c r="EI175" s="21"/>
      <c r="EJ175" s="21"/>
      <c r="EK175" s="21"/>
      <c r="EL175" s="21"/>
      <c r="EM175" s="21"/>
      <c r="EN175" s="21"/>
      <c r="EO175" s="21"/>
      <c r="EP175" s="21"/>
      <c r="EQ175" s="21"/>
      <c r="ER175" s="21"/>
      <c r="ES175" s="21"/>
      <c r="ET175" s="21"/>
      <c r="EU175" s="21"/>
      <c r="EV175" s="21"/>
      <c r="EW175" s="21"/>
      <c r="EX175" s="21"/>
      <c r="EY175" s="21"/>
    </row>
    <row r="176" spans="33:155" x14ac:dyDescent="0.3"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  <c r="CD176" s="21"/>
      <c r="CE176" s="21"/>
      <c r="CF176" s="21"/>
      <c r="CG176" s="21"/>
      <c r="CH176" s="21"/>
      <c r="CI176" s="21"/>
      <c r="CJ176" s="21"/>
      <c r="CK176" s="21"/>
      <c r="CL176" s="21"/>
      <c r="CM176" s="21"/>
      <c r="CN176" s="21"/>
      <c r="CO176" s="21"/>
      <c r="CP176" s="21"/>
      <c r="CQ176" s="21"/>
      <c r="CR176" s="21"/>
      <c r="CS176" s="21"/>
      <c r="CT176" s="21"/>
      <c r="CU176" s="21"/>
      <c r="CV176" s="21"/>
      <c r="CW176" s="21"/>
      <c r="CX176" s="21"/>
      <c r="CY176" s="21"/>
      <c r="CZ176" s="21"/>
      <c r="DA176" s="21"/>
      <c r="DB176" s="21"/>
      <c r="DC176" s="21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1"/>
      <c r="DQ176" s="21"/>
      <c r="DR176" s="21"/>
      <c r="DS176" s="21"/>
      <c r="DT176" s="21"/>
      <c r="DU176" s="21"/>
      <c r="DV176" s="21"/>
      <c r="DW176" s="21"/>
      <c r="DX176" s="21"/>
      <c r="DY176" s="21"/>
      <c r="DZ176" s="21"/>
      <c r="EA176" s="21"/>
      <c r="EB176" s="21"/>
      <c r="EC176" s="21"/>
      <c r="ED176" s="21"/>
      <c r="EE176" s="21"/>
      <c r="EF176" s="21"/>
      <c r="EG176" s="21"/>
      <c r="EH176" s="21"/>
      <c r="EI176" s="21"/>
      <c r="EJ176" s="21"/>
      <c r="EK176" s="21"/>
      <c r="EL176" s="21"/>
      <c r="EM176" s="21"/>
      <c r="EN176" s="21"/>
      <c r="EO176" s="21"/>
      <c r="EP176" s="21"/>
      <c r="EQ176" s="21"/>
      <c r="ER176" s="21"/>
      <c r="ES176" s="21"/>
      <c r="ET176" s="21"/>
      <c r="EU176" s="21"/>
      <c r="EV176" s="21"/>
      <c r="EW176" s="21"/>
      <c r="EX176" s="21"/>
      <c r="EY176" s="21"/>
    </row>
    <row r="177" spans="33:155" x14ac:dyDescent="0.3"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  <c r="CD177" s="21"/>
      <c r="CE177" s="21"/>
      <c r="CF177" s="21"/>
      <c r="CG177" s="21"/>
      <c r="CH177" s="21"/>
      <c r="CI177" s="21"/>
      <c r="CJ177" s="21"/>
      <c r="CK177" s="21"/>
      <c r="CL177" s="21"/>
      <c r="CM177" s="21"/>
      <c r="CN177" s="21"/>
      <c r="CO177" s="21"/>
      <c r="CP177" s="21"/>
      <c r="CQ177" s="21"/>
      <c r="CR177" s="21"/>
      <c r="CS177" s="21"/>
      <c r="CT177" s="21"/>
      <c r="CU177" s="21"/>
      <c r="CV177" s="21"/>
      <c r="CW177" s="21"/>
      <c r="CX177" s="21"/>
      <c r="CY177" s="21"/>
      <c r="CZ177" s="21"/>
      <c r="DA177" s="21"/>
      <c r="DB177" s="21"/>
      <c r="DC177" s="21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1"/>
      <c r="DQ177" s="21"/>
      <c r="DR177" s="21"/>
      <c r="DS177" s="21"/>
      <c r="DT177" s="21"/>
      <c r="DU177" s="21"/>
      <c r="DV177" s="21"/>
      <c r="DW177" s="21"/>
      <c r="DX177" s="21"/>
      <c r="DY177" s="21"/>
      <c r="DZ177" s="21"/>
      <c r="EA177" s="21"/>
      <c r="EB177" s="21"/>
      <c r="EC177" s="21"/>
      <c r="ED177" s="21"/>
      <c r="EE177" s="21"/>
      <c r="EF177" s="21"/>
      <c r="EG177" s="21"/>
      <c r="EH177" s="21"/>
      <c r="EI177" s="21"/>
      <c r="EJ177" s="21"/>
      <c r="EK177" s="21"/>
      <c r="EL177" s="21"/>
      <c r="EM177" s="21"/>
      <c r="EN177" s="21"/>
      <c r="EO177" s="21"/>
      <c r="EP177" s="21"/>
      <c r="EQ177" s="21"/>
      <c r="ER177" s="21"/>
      <c r="ES177" s="21"/>
      <c r="ET177" s="21"/>
      <c r="EU177" s="21"/>
      <c r="EV177" s="21"/>
      <c r="EW177" s="21"/>
      <c r="EX177" s="21"/>
      <c r="EY177" s="21"/>
    </row>
    <row r="178" spans="33:155" x14ac:dyDescent="0.3"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  <c r="CD178" s="21"/>
      <c r="CE178" s="21"/>
      <c r="CF178" s="21"/>
      <c r="CG178" s="21"/>
      <c r="CH178" s="21"/>
      <c r="CI178" s="21"/>
      <c r="CJ178" s="21"/>
      <c r="CK178" s="21"/>
      <c r="CL178" s="21"/>
      <c r="CM178" s="21"/>
      <c r="CN178" s="21"/>
      <c r="CO178" s="21"/>
      <c r="CP178" s="21"/>
      <c r="CQ178" s="21"/>
      <c r="CR178" s="21"/>
      <c r="CS178" s="21"/>
      <c r="CT178" s="21"/>
      <c r="CU178" s="21"/>
      <c r="CV178" s="21"/>
      <c r="CW178" s="21"/>
      <c r="CX178" s="21"/>
      <c r="CY178" s="21"/>
      <c r="CZ178" s="21"/>
      <c r="DA178" s="21"/>
      <c r="DB178" s="21"/>
      <c r="DC178" s="21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1"/>
      <c r="DQ178" s="21"/>
      <c r="DR178" s="21"/>
      <c r="DS178" s="21"/>
      <c r="DT178" s="21"/>
      <c r="DU178" s="21"/>
      <c r="DV178" s="21"/>
      <c r="DW178" s="21"/>
      <c r="DX178" s="21"/>
      <c r="DY178" s="21"/>
      <c r="DZ178" s="21"/>
      <c r="EA178" s="21"/>
      <c r="EB178" s="21"/>
      <c r="EC178" s="21"/>
      <c r="ED178" s="21"/>
      <c r="EE178" s="21"/>
      <c r="EF178" s="21"/>
      <c r="EG178" s="21"/>
      <c r="EH178" s="21"/>
      <c r="EI178" s="21"/>
      <c r="EJ178" s="21"/>
      <c r="EK178" s="21"/>
      <c r="EL178" s="21"/>
      <c r="EM178" s="21"/>
      <c r="EN178" s="21"/>
      <c r="EO178" s="21"/>
      <c r="EP178" s="21"/>
      <c r="EQ178" s="21"/>
      <c r="ER178" s="21"/>
      <c r="ES178" s="21"/>
      <c r="ET178" s="21"/>
      <c r="EU178" s="21"/>
      <c r="EV178" s="21"/>
      <c r="EW178" s="21"/>
      <c r="EX178" s="21"/>
      <c r="EY178" s="21"/>
    </row>
    <row r="179" spans="33:155" x14ac:dyDescent="0.3"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  <c r="CD179" s="21"/>
      <c r="CE179" s="21"/>
      <c r="CF179" s="21"/>
      <c r="CG179" s="21"/>
      <c r="CH179" s="21"/>
      <c r="CI179" s="21"/>
      <c r="CJ179" s="21"/>
      <c r="CK179" s="21"/>
      <c r="CL179" s="21"/>
      <c r="CM179" s="21"/>
      <c r="CN179" s="21"/>
      <c r="CO179" s="21"/>
      <c r="CP179" s="21"/>
      <c r="CQ179" s="21"/>
      <c r="CR179" s="21"/>
      <c r="CS179" s="21"/>
      <c r="CT179" s="21"/>
      <c r="CU179" s="21"/>
      <c r="CV179" s="21"/>
      <c r="CW179" s="21"/>
      <c r="CX179" s="21"/>
      <c r="CY179" s="21"/>
      <c r="CZ179" s="21"/>
      <c r="DA179" s="21"/>
      <c r="DB179" s="21"/>
      <c r="DC179" s="21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1"/>
      <c r="DQ179" s="21"/>
      <c r="DR179" s="21"/>
      <c r="DS179" s="21"/>
      <c r="DT179" s="21"/>
      <c r="DU179" s="21"/>
      <c r="DV179" s="21"/>
      <c r="DW179" s="21"/>
      <c r="DX179" s="21"/>
      <c r="DY179" s="21"/>
      <c r="DZ179" s="21"/>
      <c r="EA179" s="21"/>
      <c r="EB179" s="21"/>
      <c r="EC179" s="21"/>
      <c r="ED179" s="21"/>
      <c r="EE179" s="21"/>
      <c r="EF179" s="21"/>
      <c r="EG179" s="21"/>
      <c r="EH179" s="21"/>
      <c r="EI179" s="21"/>
      <c r="EJ179" s="21"/>
      <c r="EK179" s="21"/>
      <c r="EL179" s="21"/>
      <c r="EM179" s="21"/>
      <c r="EN179" s="21"/>
      <c r="EO179" s="21"/>
      <c r="EP179" s="21"/>
      <c r="EQ179" s="21"/>
      <c r="ER179" s="21"/>
      <c r="ES179" s="21"/>
      <c r="ET179" s="21"/>
      <c r="EU179" s="21"/>
      <c r="EV179" s="21"/>
      <c r="EW179" s="21"/>
      <c r="EX179" s="21"/>
      <c r="EY179" s="21"/>
    </row>
    <row r="180" spans="33:155" x14ac:dyDescent="0.3"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  <c r="CD180" s="21"/>
      <c r="CE180" s="21"/>
      <c r="CF180" s="21"/>
      <c r="CG180" s="21"/>
      <c r="CH180" s="21"/>
      <c r="CI180" s="21"/>
      <c r="CJ180" s="21"/>
      <c r="CK180" s="21"/>
      <c r="CL180" s="21"/>
      <c r="CM180" s="21"/>
      <c r="CN180" s="21"/>
      <c r="CO180" s="21"/>
      <c r="CP180" s="21"/>
      <c r="CQ180" s="21"/>
      <c r="CR180" s="21"/>
      <c r="CS180" s="21"/>
      <c r="CT180" s="21"/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1"/>
      <c r="DQ180" s="21"/>
      <c r="DR180" s="21"/>
      <c r="DS180" s="21"/>
      <c r="DT180" s="21"/>
      <c r="DU180" s="21"/>
      <c r="DV180" s="21"/>
      <c r="DW180" s="21"/>
      <c r="DX180" s="21"/>
      <c r="DY180" s="21"/>
      <c r="DZ180" s="21"/>
      <c r="EA180" s="21"/>
      <c r="EB180" s="21"/>
      <c r="EC180" s="21"/>
      <c r="ED180" s="21"/>
      <c r="EE180" s="21"/>
      <c r="EF180" s="21"/>
      <c r="EG180" s="21"/>
      <c r="EH180" s="21"/>
      <c r="EI180" s="21"/>
      <c r="EJ180" s="21"/>
      <c r="EK180" s="21"/>
      <c r="EL180" s="21"/>
      <c r="EM180" s="21"/>
      <c r="EN180" s="21"/>
      <c r="EO180" s="21"/>
      <c r="EP180" s="21"/>
      <c r="EQ180" s="21"/>
      <c r="ER180" s="21"/>
      <c r="ES180" s="21"/>
      <c r="ET180" s="21"/>
      <c r="EU180" s="21"/>
      <c r="EV180" s="21"/>
      <c r="EW180" s="21"/>
      <c r="EX180" s="21"/>
      <c r="EY180" s="21"/>
    </row>
    <row r="181" spans="33:155" x14ac:dyDescent="0.3"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  <c r="CD181" s="21"/>
      <c r="CE181" s="21"/>
      <c r="CF181" s="21"/>
      <c r="CG181" s="21"/>
      <c r="CH181" s="21"/>
      <c r="CI181" s="21"/>
      <c r="CJ181" s="21"/>
      <c r="CK181" s="21"/>
      <c r="CL181" s="21"/>
      <c r="CM181" s="21"/>
      <c r="CN181" s="21"/>
      <c r="CO181" s="21"/>
      <c r="CP181" s="21"/>
      <c r="CQ181" s="21"/>
      <c r="CR181" s="21"/>
      <c r="CS181" s="21"/>
      <c r="CT181" s="21"/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1"/>
      <c r="DQ181" s="21"/>
      <c r="DR181" s="21"/>
      <c r="DS181" s="21"/>
      <c r="DT181" s="21"/>
      <c r="DU181" s="21"/>
      <c r="DV181" s="21"/>
      <c r="DW181" s="21"/>
      <c r="DX181" s="21"/>
      <c r="DY181" s="21"/>
      <c r="DZ181" s="21"/>
      <c r="EA181" s="21"/>
      <c r="EB181" s="21"/>
      <c r="EC181" s="21"/>
      <c r="ED181" s="21"/>
      <c r="EE181" s="21"/>
      <c r="EF181" s="21"/>
      <c r="EG181" s="21"/>
      <c r="EH181" s="21"/>
      <c r="EI181" s="21"/>
      <c r="EJ181" s="21"/>
      <c r="EK181" s="21"/>
      <c r="EL181" s="21"/>
      <c r="EM181" s="21"/>
      <c r="EN181" s="21"/>
      <c r="EO181" s="21"/>
      <c r="EP181" s="21"/>
      <c r="EQ181" s="21"/>
      <c r="ER181" s="21"/>
      <c r="ES181" s="21"/>
      <c r="ET181" s="21"/>
      <c r="EU181" s="21"/>
      <c r="EV181" s="21"/>
      <c r="EW181" s="21"/>
      <c r="EX181" s="21"/>
      <c r="EY181" s="21"/>
    </row>
    <row r="182" spans="33:155" x14ac:dyDescent="0.3"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  <c r="CD182" s="21"/>
      <c r="CE182" s="21"/>
      <c r="CF182" s="21"/>
      <c r="CG182" s="21"/>
      <c r="CH182" s="21"/>
      <c r="CI182" s="21"/>
      <c r="CJ182" s="21"/>
      <c r="CK182" s="21"/>
      <c r="CL182" s="21"/>
      <c r="CM182" s="21"/>
      <c r="CN182" s="21"/>
      <c r="CO182" s="21"/>
      <c r="CP182" s="21"/>
      <c r="CQ182" s="21"/>
      <c r="CR182" s="21"/>
      <c r="CS182" s="21"/>
      <c r="CT182" s="21"/>
      <c r="CU182" s="21"/>
      <c r="CV182" s="21"/>
      <c r="CW182" s="21"/>
      <c r="CX182" s="21"/>
      <c r="CY182" s="21"/>
      <c r="CZ182" s="21"/>
      <c r="DA182" s="21"/>
      <c r="DB182" s="21"/>
      <c r="DC182" s="21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1"/>
      <c r="DQ182" s="21"/>
      <c r="DR182" s="21"/>
      <c r="DS182" s="21"/>
      <c r="DT182" s="21"/>
      <c r="DU182" s="21"/>
      <c r="DV182" s="21"/>
      <c r="DW182" s="21"/>
      <c r="DX182" s="21"/>
      <c r="DY182" s="21"/>
      <c r="DZ182" s="21"/>
      <c r="EA182" s="21"/>
      <c r="EB182" s="21"/>
      <c r="EC182" s="21"/>
      <c r="ED182" s="21"/>
      <c r="EE182" s="21"/>
      <c r="EF182" s="21"/>
      <c r="EG182" s="21"/>
      <c r="EH182" s="21"/>
      <c r="EI182" s="21"/>
      <c r="EJ182" s="21"/>
      <c r="EK182" s="21"/>
      <c r="EL182" s="21"/>
      <c r="EM182" s="21"/>
      <c r="EN182" s="21"/>
      <c r="EO182" s="21"/>
      <c r="EP182" s="21"/>
      <c r="EQ182" s="21"/>
      <c r="ER182" s="21"/>
      <c r="ES182" s="21"/>
      <c r="ET182" s="21"/>
      <c r="EU182" s="21"/>
      <c r="EV182" s="21"/>
      <c r="EW182" s="21"/>
      <c r="EX182" s="21"/>
      <c r="EY182" s="21"/>
    </row>
    <row r="183" spans="33:155" x14ac:dyDescent="0.3"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  <c r="CD183" s="21"/>
      <c r="CE183" s="21"/>
      <c r="CF183" s="21"/>
      <c r="CG183" s="21"/>
      <c r="CH183" s="21"/>
      <c r="CI183" s="21"/>
      <c r="CJ183" s="21"/>
      <c r="CK183" s="21"/>
      <c r="CL183" s="21"/>
      <c r="CM183" s="21"/>
      <c r="CN183" s="21"/>
      <c r="CO183" s="21"/>
      <c r="CP183" s="21"/>
      <c r="CQ183" s="21"/>
      <c r="CR183" s="21"/>
      <c r="CS183" s="21"/>
      <c r="CT183" s="21"/>
      <c r="CU183" s="21"/>
      <c r="CV183" s="21"/>
      <c r="CW183" s="21"/>
      <c r="CX183" s="21"/>
      <c r="CY183" s="21"/>
      <c r="CZ183" s="21"/>
      <c r="DA183" s="21"/>
      <c r="DB183" s="21"/>
      <c r="DC183" s="21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1"/>
      <c r="DQ183" s="21"/>
      <c r="DR183" s="21"/>
      <c r="DS183" s="21"/>
      <c r="DT183" s="21"/>
      <c r="DU183" s="21"/>
      <c r="DV183" s="21"/>
      <c r="DW183" s="21"/>
      <c r="DX183" s="21"/>
      <c r="DY183" s="21"/>
      <c r="DZ183" s="21"/>
      <c r="EA183" s="21"/>
      <c r="EB183" s="21"/>
      <c r="EC183" s="21"/>
      <c r="ED183" s="21"/>
      <c r="EE183" s="21"/>
      <c r="EF183" s="21"/>
      <c r="EG183" s="21"/>
      <c r="EH183" s="21"/>
      <c r="EI183" s="21"/>
      <c r="EJ183" s="21"/>
      <c r="EK183" s="21"/>
      <c r="EL183" s="21"/>
      <c r="EM183" s="21"/>
      <c r="EN183" s="21"/>
      <c r="EO183" s="21"/>
      <c r="EP183" s="21"/>
      <c r="EQ183" s="21"/>
      <c r="ER183" s="21"/>
      <c r="ES183" s="21"/>
      <c r="ET183" s="21"/>
      <c r="EU183" s="21"/>
      <c r="EV183" s="21"/>
      <c r="EW183" s="21"/>
      <c r="EX183" s="21"/>
      <c r="EY183" s="21"/>
    </row>
    <row r="184" spans="33:155" x14ac:dyDescent="0.3"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1"/>
      <c r="DQ184" s="21"/>
      <c r="DR184" s="21"/>
      <c r="DS184" s="21"/>
      <c r="DT184" s="21"/>
      <c r="DU184" s="21"/>
      <c r="DV184" s="21"/>
      <c r="DW184" s="21"/>
      <c r="DX184" s="21"/>
      <c r="DY184" s="21"/>
      <c r="DZ184" s="21"/>
      <c r="EA184" s="21"/>
      <c r="EB184" s="21"/>
      <c r="EC184" s="21"/>
      <c r="ED184" s="21"/>
      <c r="EE184" s="21"/>
      <c r="EF184" s="21"/>
      <c r="EG184" s="21"/>
      <c r="EH184" s="21"/>
      <c r="EI184" s="21"/>
      <c r="EJ184" s="21"/>
      <c r="EK184" s="21"/>
      <c r="EL184" s="21"/>
      <c r="EM184" s="21"/>
      <c r="EN184" s="21"/>
      <c r="EO184" s="21"/>
      <c r="EP184" s="21"/>
      <c r="EQ184" s="21"/>
      <c r="ER184" s="21"/>
      <c r="ES184" s="21"/>
      <c r="ET184" s="21"/>
      <c r="EU184" s="21"/>
      <c r="EV184" s="21"/>
      <c r="EW184" s="21"/>
      <c r="EX184" s="21"/>
      <c r="EY184" s="21"/>
    </row>
    <row r="185" spans="33:155" x14ac:dyDescent="0.3"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  <c r="CD185" s="21"/>
      <c r="CE185" s="21"/>
      <c r="CF185" s="21"/>
      <c r="CG185" s="21"/>
      <c r="CH185" s="21"/>
      <c r="CI185" s="21"/>
      <c r="CJ185" s="21"/>
      <c r="CK185" s="21"/>
      <c r="CL185" s="21"/>
      <c r="CM185" s="21"/>
      <c r="CN185" s="21"/>
      <c r="CO185" s="21"/>
      <c r="CP185" s="21"/>
      <c r="CQ185" s="21"/>
      <c r="CR185" s="21"/>
      <c r="CS185" s="21"/>
      <c r="CT185" s="21"/>
      <c r="CU185" s="21"/>
      <c r="CV185" s="21"/>
      <c r="CW185" s="21"/>
      <c r="CX185" s="21"/>
      <c r="CY185" s="21"/>
      <c r="CZ185" s="21"/>
      <c r="DA185" s="21"/>
      <c r="DB185" s="21"/>
      <c r="DC185" s="21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1"/>
      <c r="DQ185" s="21"/>
      <c r="DR185" s="21"/>
      <c r="DS185" s="21"/>
      <c r="DT185" s="21"/>
      <c r="DU185" s="21"/>
      <c r="DV185" s="21"/>
      <c r="DW185" s="21"/>
      <c r="DX185" s="21"/>
      <c r="DY185" s="21"/>
      <c r="DZ185" s="21"/>
      <c r="EA185" s="21"/>
      <c r="EB185" s="21"/>
      <c r="EC185" s="21"/>
      <c r="ED185" s="21"/>
      <c r="EE185" s="21"/>
      <c r="EF185" s="21"/>
      <c r="EG185" s="21"/>
      <c r="EH185" s="21"/>
      <c r="EI185" s="21"/>
      <c r="EJ185" s="21"/>
      <c r="EK185" s="21"/>
      <c r="EL185" s="21"/>
      <c r="EM185" s="21"/>
      <c r="EN185" s="21"/>
      <c r="EO185" s="21"/>
      <c r="EP185" s="21"/>
      <c r="EQ185" s="21"/>
      <c r="ER185" s="21"/>
      <c r="ES185" s="21"/>
      <c r="ET185" s="21"/>
      <c r="EU185" s="21"/>
      <c r="EV185" s="21"/>
      <c r="EW185" s="21"/>
      <c r="EX185" s="21"/>
      <c r="EY185" s="21"/>
    </row>
    <row r="186" spans="33:155" x14ac:dyDescent="0.3"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  <c r="CD186" s="21"/>
      <c r="CE186" s="21"/>
      <c r="CF186" s="21"/>
      <c r="CG186" s="21"/>
      <c r="CH186" s="21"/>
      <c r="CI186" s="21"/>
      <c r="CJ186" s="21"/>
      <c r="CK186" s="21"/>
      <c r="CL186" s="21"/>
      <c r="CM186" s="21"/>
      <c r="CN186" s="21"/>
      <c r="CO186" s="21"/>
      <c r="CP186" s="21"/>
      <c r="CQ186" s="21"/>
      <c r="CR186" s="21"/>
      <c r="CS186" s="21"/>
      <c r="CT186" s="21"/>
      <c r="CU186" s="21"/>
      <c r="CV186" s="21"/>
      <c r="CW186" s="21"/>
      <c r="CX186" s="21"/>
      <c r="CY186" s="21"/>
      <c r="CZ186" s="21"/>
      <c r="DA186" s="21"/>
      <c r="DB186" s="21"/>
      <c r="DC186" s="21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1"/>
      <c r="DQ186" s="21"/>
      <c r="DR186" s="21"/>
      <c r="DS186" s="21"/>
      <c r="DT186" s="21"/>
      <c r="DU186" s="21"/>
      <c r="DV186" s="21"/>
      <c r="DW186" s="21"/>
      <c r="DX186" s="21"/>
      <c r="DY186" s="21"/>
      <c r="DZ186" s="21"/>
      <c r="EA186" s="21"/>
      <c r="EB186" s="21"/>
      <c r="EC186" s="21"/>
      <c r="ED186" s="21"/>
      <c r="EE186" s="21"/>
      <c r="EF186" s="21"/>
      <c r="EG186" s="21"/>
      <c r="EH186" s="21"/>
      <c r="EI186" s="21"/>
      <c r="EJ186" s="21"/>
      <c r="EK186" s="21"/>
      <c r="EL186" s="21"/>
      <c r="EM186" s="21"/>
      <c r="EN186" s="21"/>
      <c r="EO186" s="21"/>
      <c r="EP186" s="21"/>
      <c r="EQ186" s="21"/>
      <c r="ER186" s="21"/>
      <c r="ES186" s="21"/>
      <c r="ET186" s="21"/>
      <c r="EU186" s="21"/>
      <c r="EV186" s="21"/>
      <c r="EW186" s="21"/>
      <c r="EX186" s="21"/>
      <c r="EY186" s="21"/>
    </row>
    <row r="187" spans="33:155" x14ac:dyDescent="0.3"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  <c r="CD187" s="21"/>
      <c r="CE187" s="21"/>
      <c r="CF187" s="21"/>
      <c r="CG187" s="21"/>
      <c r="CH187" s="21"/>
      <c r="CI187" s="21"/>
      <c r="CJ187" s="21"/>
      <c r="CK187" s="21"/>
      <c r="CL187" s="21"/>
      <c r="CM187" s="21"/>
      <c r="CN187" s="21"/>
      <c r="CO187" s="21"/>
      <c r="CP187" s="21"/>
      <c r="CQ187" s="21"/>
      <c r="CR187" s="21"/>
      <c r="CS187" s="21"/>
      <c r="CT187" s="21"/>
      <c r="CU187" s="21"/>
      <c r="CV187" s="21"/>
      <c r="CW187" s="21"/>
      <c r="CX187" s="21"/>
      <c r="CY187" s="21"/>
      <c r="CZ187" s="21"/>
      <c r="DA187" s="21"/>
      <c r="DB187" s="21"/>
      <c r="DC187" s="21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1"/>
      <c r="DQ187" s="21"/>
      <c r="DR187" s="21"/>
      <c r="DS187" s="21"/>
      <c r="DT187" s="21"/>
      <c r="DU187" s="21"/>
      <c r="DV187" s="21"/>
      <c r="DW187" s="21"/>
      <c r="DX187" s="21"/>
      <c r="DY187" s="21"/>
      <c r="DZ187" s="21"/>
      <c r="EA187" s="21"/>
      <c r="EB187" s="21"/>
      <c r="EC187" s="21"/>
      <c r="ED187" s="21"/>
      <c r="EE187" s="21"/>
      <c r="EF187" s="21"/>
      <c r="EG187" s="21"/>
      <c r="EH187" s="21"/>
      <c r="EI187" s="21"/>
      <c r="EJ187" s="21"/>
      <c r="EK187" s="21"/>
      <c r="EL187" s="21"/>
      <c r="EM187" s="21"/>
      <c r="EN187" s="21"/>
      <c r="EO187" s="21"/>
      <c r="EP187" s="21"/>
      <c r="EQ187" s="21"/>
      <c r="ER187" s="21"/>
      <c r="ES187" s="21"/>
      <c r="ET187" s="21"/>
      <c r="EU187" s="21"/>
      <c r="EV187" s="21"/>
      <c r="EW187" s="21"/>
      <c r="EX187" s="21"/>
      <c r="EY187" s="21"/>
    </row>
    <row r="188" spans="33:155" x14ac:dyDescent="0.3"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  <c r="CD188" s="21"/>
      <c r="CE188" s="21"/>
      <c r="CF188" s="21"/>
      <c r="CG188" s="21"/>
      <c r="CH188" s="21"/>
      <c r="CI188" s="21"/>
      <c r="CJ188" s="21"/>
      <c r="CK188" s="21"/>
      <c r="CL188" s="21"/>
      <c r="CM188" s="21"/>
      <c r="CN188" s="21"/>
      <c r="CO188" s="21"/>
      <c r="CP188" s="21"/>
      <c r="CQ188" s="21"/>
      <c r="CR188" s="21"/>
      <c r="CS188" s="21"/>
      <c r="CT188" s="21"/>
      <c r="CU188" s="21"/>
      <c r="CV188" s="21"/>
      <c r="CW188" s="21"/>
      <c r="CX188" s="21"/>
      <c r="CY188" s="21"/>
      <c r="CZ188" s="21"/>
      <c r="DA188" s="21"/>
      <c r="DB188" s="21"/>
      <c r="DC188" s="21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1"/>
      <c r="DQ188" s="21"/>
      <c r="DR188" s="21"/>
      <c r="DS188" s="21"/>
      <c r="DT188" s="21"/>
      <c r="DU188" s="21"/>
      <c r="DV188" s="21"/>
      <c r="DW188" s="21"/>
      <c r="DX188" s="21"/>
      <c r="DY188" s="21"/>
      <c r="DZ188" s="21"/>
      <c r="EA188" s="21"/>
      <c r="EB188" s="21"/>
      <c r="EC188" s="21"/>
      <c r="ED188" s="21"/>
      <c r="EE188" s="21"/>
      <c r="EF188" s="21"/>
      <c r="EG188" s="21"/>
      <c r="EH188" s="21"/>
      <c r="EI188" s="21"/>
      <c r="EJ188" s="21"/>
      <c r="EK188" s="21"/>
      <c r="EL188" s="21"/>
      <c r="EM188" s="21"/>
      <c r="EN188" s="21"/>
      <c r="EO188" s="21"/>
      <c r="EP188" s="21"/>
      <c r="EQ188" s="21"/>
      <c r="ER188" s="21"/>
      <c r="ES188" s="21"/>
      <c r="ET188" s="21"/>
      <c r="EU188" s="21"/>
      <c r="EV188" s="21"/>
      <c r="EW188" s="21"/>
      <c r="EX188" s="21"/>
      <c r="EY188" s="21"/>
    </row>
    <row r="189" spans="33:155" x14ac:dyDescent="0.3"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  <c r="CD189" s="21"/>
      <c r="CE189" s="21"/>
      <c r="CF189" s="21"/>
      <c r="CG189" s="21"/>
      <c r="CH189" s="21"/>
      <c r="CI189" s="21"/>
      <c r="CJ189" s="21"/>
      <c r="CK189" s="21"/>
      <c r="CL189" s="21"/>
      <c r="CM189" s="21"/>
      <c r="CN189" s="21"/>
      <c r="CO189" s="21"/>
      <c r="CP189" s="21"/>
      <c r="CQ189" s="21"/>
      <c r="CR189" s="21"/>
      <c r="CS189" s="21"/>
      <c r="CT189" s="21"/>
      <c r="CU189" s="21"/>
      <c r="CV189" s="21"/>
      <c r="CW189" s="21"/>
      <c r="CX189" s="21"/>
      <c r="CY189" s="21"/>
      <c r="CZ189" s="21"/>
      <c r="DA189" s="21"/>
      <c r="DB189" s="21"/>
      <c r="DC189" s="21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1"/>
      <c r="DQ189" s="21"/>
      <c r="DR189" s="21"/>
      <c r="DS189" s="21"/>
      <c r="DT189" s="21"/>
      <c r="DU189" s="21"/>
      <c r="DV189" s="21"/>
      <c r="DW189" s="21"/>
      <c r="DX189" s="21"/>
      <c r="DY189" s="21"/>
      <c r="DZ189" s="21"/>
      <c r="EA189" s="21"/>
      <c r="EB189" s="21"/>
      <c r="EC189" s="21"/>
      <c r="ED189" s="21"/>
      <c r="EE189" s="21"/>
      <c r="EF189" s="21"/>
      <c r="EG189" s="21"/>
      <c r="EH189" s="21"/>
      <c r="EI189" s="21"/>
      <c r="EJ189" s="21"/>
      <c r="EK189" s="21"/>
      <c r="EL189" s="21"/>
      <c r="EM189" s="21"/>
      <c r="EN189" s="21"/>
      <c r="EO189" s="21"/>
      <c r="EP189" s="21"/>
      <c r="EQ189" s="21"/>
      <c r="ER189" s="21"/>
      <c r="ES189" s="21"/>
      <c r="ET189" s="21"/>
      <c r="EU189" s="21"/>
      <c r="EV189" s="21"/>
      <c r="EW189" s="21"/>
      <c r="EX189" s="21"/>
      <c r="EY189" s="21"/>
    </row>
    <row r="190" spans="33:155" x14ac:dyDescent="0.3"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  <c r="CD190" s="21"/>
      <c r="CE190" s="21"/>
      <c r="CF190" s="21"/>
      <c r="CG190" s="21"/>
      <c r="CH190" s="21"/>
      <c r="CI190" s="21"/>
      <c r="CJ190" s="21"/>
      <c r="CK190" s="21"/>
      <c r="CL190" s="21"/>
      <c r="CM190" s="21"/>
      <c r="CN190" s="21"/>
      <c r="CO190" s="21"/>
      <c r="CP190" s="21"/>
      <c r="CQ190" s="21"/>
      <c r="CR190" s="21"/>
      <c r="CS190" s="21"/>
      <c r="CT190" s="21"/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21"/>
      <c r="DH190" s="21"/>
      <c r="DI190" s="21"/>
      <c r="DJ190" s="21"/>
      <c r="DK190" s="21"/>
      <c r="DL190" s="21"/>
      <c r="DM190" s="21"/>
      <c r="DN190" s="21"/>
      <c r="DO190" s="21"/>
      <c r="DP190" s="21"/>
      <c r="DQ190" s="21"/>
      <c r="DR190" s="21"/>
      <c r="DS190" s="21"/>
      <c r="DT190" s="21"/>
      <c r="DU190" s="21"/>
      <c r="DV190" s="21"/>
      <c r="DW190" s="21"/>
      <c r="DX190" s="21"/>
      <c r="DY190" s="21"/>
      <c r="DZ190" s="21"/>
      <c r="EA190" s="21"/>
      <c r="EB190" s="21"/>
      <c r="EC190" s="21"/>
      <c r="ED190" s="21"/>
      <c r="EE190" s="21"/>
      <c r="EF190" s="21"/>
      <c r="EG190" s="21"/>
      <c r="EH190" s="21"/>
      <c r="EI190" s="21"/>
      <c r="EJ190" s="21"/>
      <c r="EK190" s="21"/>
      <c r="EL190" s="21"/>
      <c r="EM190" s="21"/>
      <c r="EN190" s="21"/>
      <c r="EO190" s="21"/>
      <c r="EP190" s="21"/>
      <c r="EQ190" s="21"/>
      <c r="ER190" s="21"/>
      <c r="ES190" s="21"/>
      <c r="ET190" s="21"/>
      <c r="EU190" s="21"/>
      <c r="EV190" s="21"/>
      <c r="EW190" s="21"/>
      <c r="EX190" s="21"/>
      <c r="EY190" s="21"/>
    </row>
    <row r="191" spans="33:155" x14ac:dyDescent="0.3"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  <c r="CL191" s="21"/>
      <c r="CM191" s="21"/>
      <c r="CN191" s="21"/>
      <c r="CO191" s="21"/>
      <c r="CP191" s="21"/>
      <c r="CQ191" s="21"/>
      <c r="CR191" s="21"/>
      <c r="CS191" s="21"/>
      <c r="CT191" s="21"/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  <c r="DI191" s="21"/>
      <c r="DJ191" s="21"/>
      <c r="DK191" s="21"/>
      <c r="DL191" s="21"/>
      <c r="DM191" s="21"/>
      <c r="DN191" s="21"/>
      <c r="DO191" s="21"/>
      <c r="DP191" s="21"/>
      <c r="DQ191" s="21"/>
      <c r="DR191" s="21"/>
      <c r="DS191" s="21"/>
      <c r="DT191" s="21"/>
      <c r="DU191" s="21"/>
      <c r="DV191" s="21"/>
      <c r="DW191" s="21"/>
      <c r="DX191" s="21"/>
      <c r="DY191" s="21"/>
      <c r="DZ191" s="21"/>
      <c r="EA191" s="21"/>
      <c r="EB191" s="21"/>
      <c r="EC191" s="21"/>
      <c r="ED191" s="21"/>
      <c r="EE191" s="21"/>
      <c r="EF191" s="21"/>
      <c r="EG191" s="21"/>
      <c r="EH191" s="21"/>
      <c r="EI191" s="21"/>
      <c r="EJ191" s="21"/>
      <c r="EK191" s="21"/>
      <c r="EL191" s="21"/>
      <c r="EM191" s="21"/>
      <c r="EN191" s="21"/>
      <c r="EO191" s="21"/>
      <c r="EP191" s="21"/>
      <c r="EQ191" s="21"/>
      <c r="ER191" s="21"/>
      <c r="ES191" s="21"/>
      <c r="ET191" s="21"/>
      <c r="EU191" s="21"/>
      <c r="EV191" s="21"/>
      <c r="EW191" s="21"/>
      <c r="EX191" s="21"/>
      <c r="EY191" s="21"/>
    </row>
    <row r="192" spans="33:155" x14ac:dyDescent="0.3"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  <c r="CD192" s="21"/>
      <c r="CE192" s="21"/>
      <c r="CF192" s="21"/>
      <c r="CG192" s="21"/>
      <c r="CH192" s="21"/>
      <c r="CI192" s="21"/>
      <c r="CJ192" s="21"/>
      <c r="CK192" s="21"/>
      <c r="CL192" s="21"/>
      <c r="CM192" s="21"/>
      <c r="CN192" s="21"/>
      <c r="CO192" s="21"/>
      <c r="CP192" s="21"/>
      <c r="CQ192" s="21"/>
      <c r="CR192" s="21"/>
      <c r="CS192" s="21"/>
      <c r="CT192" s="21"/>
      <c r="CU192" s="21"/>
      <c r="CV192" s="21"/>
      <c r="CW192" s="21"/>
      <c r="CX192" s="21"/>
      <c r="CY192" s="21"/>
      <c r="CZ192" s="21"/>
      <c r="DA192" s="21"/>
      <c r="DB192" s="21"/>
      <c r="DC192" s="21"/>
      <c r="DD192" s="21"/>
      <c r="DE192" s="21"/>
      <c r="DF192" s="21"/>
      <c r="DG192" s="21"/>
      <c r="DH192" s="21"/>
      <c r="DI192" s="21"/>
      <c r="DJ192" s="21"/>
      <c r="DK192" s="21"/>
      <c r="DL192" s="21"/>
      <c r="DM192" s="21"/>
      <c r="DN192" s="21"/>
      <c r="DO192" s="21"/>
      <c r="DP192" s="21"/>
      <c r="DQ192" s="21"/>
      <c r="DR192" s="21"/>
      <c r="DS192" s="21"/>
      <c r="DT192" s="21"/>
      <c r="DU192" s="21"/>
      <c r="DV192" s="21"/>
      <c r="DW192" s="21"/>
      <c r="DX192" s="21"/>
      <c r="DY192" s="21"/>
      <c r="DZ192" s="21"/>
      <c r="EA192" s="21"/>
      <c r="EB192" s="21"/>
      <c r="EC192" s="21"/>
      <c r="ED192" s="21"/>
      <c r="EE192" s="21"/>
      <c r="EF192" s="21"/>
      <c r="EG192" s="21"/>
      <c r="EH192" s="21"/>
      <c r="EI192" s="21"/>
      <c r="EJ192" s="21"/>
      <c r="EK192" s="21"/>
      <c r="EL192" s="21"/>
      <c r="EM192" s="21"/>
      <c r="EN192" s="21"/>
      <c r="EO192" s="21"/>
      <c r="EP192" s="21"/>
      <c r="EQ192" s="21"/>
      <c r="ER192" s="21"/>
      <c r="ES192" s="21"/>
      <c r="ET192" s="21"/>
      <c r="EU192" s="21"/>
      <c r="EV192" s="21"/>
      <c r="EW192" s="21"/>
      <c r="EX192" s="21"/>
      <c r="EY192" s="21"/>
    </row>
    <row r="193" spans="33:155" x14ac:dyDescent="0.3"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  <c r="CD193" s="21"/>
      <c r="CE193" s="21"/>
      <c r="CF193" s="21"/>
      <c r="CG193" s="21"/>
      <c r="CH193" s="21"/>
      <c r="CI193" s="21"/>
      <c r="CJ193" s="21"/>
      <c r="CK193" s="21"/>
      <c r="CL193" s="21"/>
      <c r="CM193" s="21"/>
      <c r="CN193" s="21"/>
      <c r="CO193" s="21"/>
      <c r="CP193" s="21"/>
      <c r="CQ193" s="21"/>
      <c r="CR193" s="21"/>
      <c r="CS193" s="21"/>
      <c r="CT193" s="21"/>
      <c r="CU193" s="21"/>
      <c r="CV193" s="21"/>
      <c r="CW193" s="21"/>
      <c r="CX193" s="21"/>
      <c r="CY193" s="21"/>
      <c r="CZ193" s="21"/>
      <c r="DA193" s="21"/>
      <c r="DB193" s="21"/>
      <c r="DC193" s="21"/>
      <c r="DD193" s="21"/>
      <c r="DE193" s="21"/>
      <c r="DF193" s="21"/>
      <c r="DG193" s="21"/>
      <c r="DH193" s="21"/>
      <c r="DI193" s="21"/>
      <c r="DJ193" s="21"/>
      <c r="DK193" s="21"/>
      <c r="DL193" s="21"/>
      <c r="DM193" s="21"/>
      <c r="DN193" s="21"/>
      <c r="DO193" s="21"/>
      <c r="DP193" s="21"/>
      <c r="DQ193" s="21"/>
      <c r="DR193" s="21"/>
      <c r="DS193" s="21"/>
      <c r="DT193" s="21"/>
      <c r="DU193" s="21"/>
      <c r="DV193" s="21"/>
      <c r="DW193" s="21"/>
      <c r="DX193" s="21"/>
      <c r="DY193" s="21"/>
      <c r="DZ193" s="21"/>
      <c r="EA193" s="21"/>
      <c r="EB193" s="21"/>
      <c r="EC193" s="21"/>
      <c r="ED193" s="21"/>
      <c r="EE193" s="21"/>
      <c r="EF193" s="21"/>
      <c r="EG193" s="21"/>
      <c r="EH193" s="21"/>
      <c r="EI193" s="21"/>
      <c r="EJ193" s="21"/>
      <c r="EK193" s="21"/>
      <c r="EL193" s="21"/>
      <c r="EM193" s="21"/>
      <c r="EN193" s="21"/>
      <c r="EO193" s="21"/>
      <c r="EP193" s="21"/>
      <c r="EQ193" s="21"/>
      <c r="ER193" s="21"/>
      <c r="ES193" s="21"/>
      <c r="ET193" s="21"/>
      <c r="EU193" s="21"/>
      <c r="EV193" s="21"/>
      <c r="EW193" s="21"/>
      <c r="EX193" s="21"/>
      <c r="EY193" s="21"/>
    </row>
    <row r="194" spans="33:155" x14ac:dyDescent="0.3"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  <c r="CD194" s="21"/>
      <c r="CE194" s="21"/>
      <c r="CF194" s="21"/>
      <c r="CG194" s="21"/>
      <c r="CH194" s="21"/>
      <c r="CI194" s="21"/>
      <c r="CJ194" s="21"/>
      <c r="CK194" s="21"/>
      <c r="CL194" s="21"/>
      <c r="CM194" s="21"/>
      <c r="CN194" s="21"/>
      <c r="CO194" s="21"/>
      <c r="CP194" s="21"/>
      <c r="CQ194" s="21"/>
      <c r="CR194" s="21"/>
      <c r="CS194" s="21"/>
      <c r="CT194" s="21"/>
      <c r="CU194" s="21"/>
      <c r="CV194" s="21"/>
      <c r="CW194" s="21"/>
      <c r="CX194" s="21"/>
      <c r="CY194" s="21"/>
      <c r="CZ194" s="21"/>
      <c r="DA194" s="21"/>
      <c r="DB194" s="21"/>
      <c r="DC194" s="21"/>
      <c r="DD194" s="21"/>
      <c r="DE194" s="21"/>
      <c r="DF194" s="21"/>
      <c r="DG194" s="21"/>
      <c r="DH194" s="21"/>
      <c r="DI194" s="21"/>
      <c r="DJ194" s="21"/>
      <c r="DK194" s="21"/>
      <c r="DL194" s="21"/>
      <c r="DM194" s="21"/>
      <c r="DN194" s="21"/>
      <c r="DO194" s="21"/>
      <c r="DP194" s="21"/>
      <c r="DQ194" s="21"/>
      <c r="DR194" s="21"/>
      <c r="DS194" s="21"/>
      <c r="DT194" s="21"/>
      <c r="DU194" s="21"/>
      <c r="DV194" s="21"/>
      <c r="DW194" s="21"/>
      <c r="DX194" s="21"/>
      <c r="DY194" s="21"/>
      <c r="DZ194" s="21"/>
      <c r="EA194" s="21"/>
      <c r="EB194" s="21"/>
      <c r="EC194" s="21"/>
      <c r="ED194" s="21"/>
      <c r="EE194" s="21"/>
      <c r="EF194" s="21"/>
      <c r="EG194" s="21"/>
      <c r="EH194" s="21"/>
      <c r="EI194" s="21"/>
      <c r="EJ194" s="21"/>
      <c r="EK194" s="21"/>
      <c r="EL194" s="21"/>
      <c r="EM194" s="21"/>
      <c r="EN194" s="21"/>
      <c r="EO194" s="21"/>
      <c r="EP194" s="21"/>
      <c r="EQ194" s="21"/>
      <c r="ER194" s="21"/>
      <c r="ES194" s="21"/>
      <c r="ET194" s="21"/>
      <c r="EU194" s="21"/>
      <c r="EV194" s="21"/>
      <c r="EW194" s="21"/>
      <c r="EX194" s="21"/>
      <c r="EY194" s="21"/>
    </row>
    <row r="195" spans="33:155" x14ac:dyDescent="0.3"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  <c r="CD195" s="21"/>
      <c r="CE195" s="21"/>
      <c r="CF195" s="21"/>
      <c r="CG195" s="21"/>
      <c r="CH195" s="21"/>
      <c r="CI195" s="21"/>
      <c r="CJ195" s="21"/>
      <c r="CK195" s="21"/>
      <c r="CL195" s="21"/>
      <c r="CM195" s="21"/>
      <c r="CN195" s="21"/>
      <c r="CO195" s="21"/>
      <c r="CP195" s="21"/>
      <c r="CQ195" s="21"/>
      <c r="CR195" s="21"/>
      <c r="CS195" s="21"/>
      <c r="CT195" s="21"/>
      <c r="CU195" s="21"/>
      <c r="CV195" s="21"/>
      <c r="CW195" s="21"/>
      <c r="CX195" s="21"/>
      <c r="CY195" s="21"/>
      <c r="CZ195" s="21"/>
      <c r="DA195" s="21"/>
      <c r="DB195" s="21"/>
      <c r="DC195" s="21"/>
      <c r="DD195" s="21"/>
      <c r="DE195" s="21"/>
      <c r="DF195" s="21"/>
      <c r="DG195" s="21"/>
      <c r="DH195" s="21"/>
      <c r="DI195" s="21"/>
      <c r="DJ195" s="21"/>
      <c r="DK195" s="21"/>
      <c r="DL195" s="21"/>
      <c r="DM195" s="21"/>
      <c r="DN195" s="21"/>
      <c r="DO195" s="21"/>
      <c r="DP195" s="21"/>
      <c r="DQ195" s="21"/>
      <c r="DR195" s="21"/>
      <c r="DS195" s="21"/>
      <c r="DT195" s="21"/>
      <c r="DU195" s="21"/>
      <c r="DV195" s="21"/>
      <c r="DW195" s="21"/>
      <c r="DX195" s="21"/>
      <c r="DY195" s="21"/>
      <c r="DZ195" s="21"/>
      <c r="EA195" s="21"/>
      <c r="EB195" s="21"/>
      <c r="EC195" s="21"/>
      <c r="ED195" s="21"/>
      <c r="EE195" s="21"/>
      <c r="EF195" s="21"/>
      <c r="EG195" s="21"/>
      <c r="EH195" s="21"/>
      <c r="EI195" s="21"/>
      <c r="EJ195" s="21"/>
      <c r="EK195" s="21"/>
      <c r="EL195" s="21"/>
      <c r="EM195" s="21"/>
      <c r="EN195" s="21"/>
      <c r="EO195" s="21"/>
      <c r="EP195" s="21"/>
      <c r="EQ195" s="21"/>
      <c r="ER195" s="21"/>
      <c r="ES195" s="21"/>
      <c r="ET195" s="21"/>
      <c r="EU195" s="21"/>
      <c r="EV195" s="21"/>
      <c r="EW195" s="21"/>
      <c r="EX195" s="21"/>
      <c r="EY195" s="21"/>
    </row>
    <row r="196" spans="33:155" x14ac:dyDescent="0.3"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  <c r="CD196" s="21"/>
      <c r="CE196" s="21"/>
      <c r="CF196" s="21"/>
      <c r="CG196" s="21"/>
      <c r="CH196" s="21"/>
      <c r="CI196" s="21"/>
      <c r="CJ196" s="21"/>
      <c r="CK196" s="21"/>
      <c r="CL196" s="21"/>
      <c r="CM196" s="21"/>
      <c r="CN196" s="21"/>
      <c r="CO196" s="21"/>
      <c r="CP196" s="21"/>
      <c r="CQ196" s="21"/>
      <c r="CR196" s="21"/>
      <c r="CS196" s="21"/>
      <c r="CT196" s="21"/>
      <c r="CU196" s="21"/>
      <c r="CV196" s="21"/>
      <c r="CW196" s="21"/>
      <c r="CX196" s="21"/>
      <c r="CY196" s="21"/>
      <c r="CZ196" s="21"/>
      <c r="DA196" s="21"/>
      <c r="DB196" s="21"/>
      <c r="DC196" s="21"/>
      <c r="DD196" s="21"/>
      <c r="DE196" s="21"/>
      <c r="DF196" s="21"/>
      <c r="DG196" s="21"/>
      <c r="DH196" s="21"/>
      <c r="DI196" s="21"/>
      <c r="DJ196" s="21"/>
      <c r="DK196" s="21"/>
      <c r="DL196" s="21"/>
      <c r="DM196" s="21"/>
      <c r="DN196" s="21"/>
      <c r="DO196" s="21"/>
      <c r="DP196" s="21"/>
      <c r="DQ196" s="21"/>
      <c r="DR196" s="21"/>
      <c r="DS196" s="21"/>
      <c r="DT196" s="21"/>
      <c r="DU196" s="21"/>
      <c r="DV196" s="21"/>
      <c r="DW196" s="21"/>
      <c r="DX196" s="21"/>
      <c r="DY196" s="21"/>
      <c r="DZ196" s="21"/>
      <c r="EA196" s="21"/>
      <c r="EB196" s="21"/>
      <c r="EC196" s="21"/>
      <c r="ED196" s="21"/>
      <c r="EE196" s="21"/>
      <c r="EF196" s="21"/>
      <c r="EG196" s="21"/>
      <c r="EH196" s="21"/>
      <c r="EI196" s="21"/>
      <c r="EJ196" s="21"/>
      <c r="EK196" s="21"/>
      <c r="EL196" s="21"/>
      <c r="EM196" s="21"/>
      <c r="EN196" s="21"/>
      <c r="EO196" s="21"/>
      <c r="EP196" s="21"/>
      <c r="EQ196" s="21"/>
      <c r="ER196" s="21"/>
      <c r="ES196" s="21"/>
      <c r="ET196" s="21"/>
      <c r="EU196" s="21"/>
      <c r="EV196" s="21"/>
      <c r="EW196" s="21"/>
      <c r="EX196" s="21"/>
      <c r="EY196" s="21"/>
    </row>
    <row r="197" spans="33:155" x14ac:dyDescent="0.3"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  <c r="CD197" s="21"/>
      <c r="CE197" s="21"/>
      <c r="CF197" s="21"/>
      <c r="CG197" s="21"/>
      <c r="CH197" s="21"/>
      <c r="CI197" s="21"/>
      <c r="CJ197" s="21"/>
      <c r="CK197" s="21"/>
      <c r="CL197" s="21"/>
      <c r="CM197" s="21"/>
      <c r="CN197" s="21"/>
      <c r="CO197" s="21"/>
      <c r="CP197" s="21"/>
      <c r="CQ197" s="21"/>
      <c r="CR197" s="21"/>
      <c r="CS197" s="21"/>
      <c r="CT197" s="21"/>
      <c r="CU197" s="21"/>
      <c r="CV197" s="21"/>
      <c r="CW197" s="21"/>
      <c r="CX197" s="21"/>
      <c r="CY197" s="21"/>
      <c r="CZ197" s="21"/>
      <c r="DA197" s="21"/>
      <c r="DB197" s="21"/>
      <c r="DC197" s="21"/>
      <c r="DD197" s="21"/>
      <c r="DE197" s="21"/>
      <c r="DF197" s="21"/>
      <c r="DG197" s="21"/>
      <c r="DH197" s="21"/>
      <c r="DI197" s="21"/>
      <c r="DJ197" s="21"/>
      <c r="DK197" s="21"/>
      <c r="DL197" s="21"/>
      <c r="DM197" s="21"/>
      <c r="DN197" s="21"/>
      <c r="DO197" s="21"/>
      <c r="DP197" s="21"/>
      <c r="DQ197" s="21"/>
      <c r="DR197" s="21"/>
      <c r="DS197" s="21"/>
      <c r="DT197" s="21"/>
      <c r="DU197" s="21"/>
      <c r="DV197" s="21"/>
      <c r="DW197" s="21"/>
      <c r="DX197" s="21"/>
      <c r="DY197" s="21"/>
      <c r="DZ197" s="21"/>
      <c r="EA197" s="21"/>
      <c r="EB197" s="21"/>
      <c r="EC197" s="21"/>
      <c r="ED197" s="21"/>
      <c r="EE197" s="21"/>
      <c r="EF197" s="21"/>
      <c r="EG197" s="21"/>
      <c r="EH197" s="21"/>
      <c r="EI197" s="21"/>
      <c r="EJ197" s="21"/>
      <c r="EK197" s="21"/>
      <c r="EL197" s="21"/>
      <c r="EM197" s="21"/>
      <c r="EN197" s="21"/>
      <c r="EO197" s="21"/>
      <c r="EP197" s="21"/>
      <c r="EQ197" s="21"/>
      <c r="ER197" s="21"/>
      <c r="ES197" s="21"/>
      <c r="ET197" s="21"/>
      <c r="EU197" s="21"/>
      <c r="EV197" s="21"/>
      <c r="EW197" s="21"/>
      <c r="EX197" s="21"/>
      <c r="EY197" s="21"/>
    </row>
    <row r="198" spans="33:155" x14ac:dyDescent="0.3"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  <c r="CD198" s="21"/>
      <c r="CE198" s="21"/>
      <c r="CF198" s="21"/>
      <c r="CG198" s="21"/>
      <c r="CH198" s="21"/>
      <c r="CI198" s="21"/>
      <c r="CJ198" s="21"/>
      <c r="CK198" s="21"/>
      <c r="CL198" s="21"/>
      <c r="CM198" s="21"/>
      <c r="CN198" s="21"/>
      <c r="CO198" s="21"/>
      <c r="CP198" s="21"/>
      <c r="CQ198" s="21"/>
      <c r="CR198" s="21"/>
      <c r="CS198" s="21"/>
      <c r="CT198" s="21"/>
      <c r="CU198" s="21"/>
      <c r="CV198" s="21"/>
      <c r="CW198" s="21"/>
      <c r="CX198" s="21"/>
      <c r="CY198" s="21"/>
      <c r="CZ198" s="21"/>
      <c r="DA198" s="21"/>
      <c r="DB198" s="21"/>
      <c r="DC198" s="21"/>
      <c r="DD198" s="21"/>
      <c r="DE198" s="21"/>
      <c r="DF198" s="21"/>
      <c r="DG198" s="21"/>
      <c r="DH198" s="21"/>
      <c r="DI198" s="21"/>
      <c r="DJ198" s="21"/>
      <c r="DK198" s="21"/>
      <c r="DL198" s="21"/>
      <c r="DM198" s="21"/>
      <c r="DN198" s="21"/>
      <c r="DO198" s="21"/>
      <c r="DP198" s="21"/>
      <c r="DQ198" s="21"/>
      <c r="DR198" s="21"/>
      <c r="DS198" s="21"/>
      <c r="DT198" s="21"/>
      <c r="DU198" s="21"/>
      <c r="DV198" s="21"/>
      <c r="DW198" s="21"/>
      <c r="DX198" s="21"/>
      <c r="DY198" s="21"/>
      <c r="DZ198" s="21"/>
      <c r="EA198" s="21"/>
      <c r="EB198" s="21"/>
      <c r="EC198" s="21"/>
      <c r="ED198" s="21"/>
      <c r="EE198" s="21"/>
      <c r="EF198" s="21"/>
      <c r="EG198" s="21"/>
      <c r="EH198" s="21"/>
      <c r="EI198" s="21"/>
      <c r="EJ198" s="21"/>
      <c r="EK198" s="21"/>
      <c r="EL198" s="21"/>
      <c r="EM198" s="21"/>
      <c r="EN198" s="21"/>
      <c r="EO198" s="21"/>
      <c r="EP198" s="21"/>
      <c r="EQ198" s="21"/>
      <c r="ER198" s="21"/>
      <c r="ES198" s="21"/>
      <c r="ET198" s="21"/>
      <c r="EU198" s="21"/>
      <c r="EV198" s="21"/>
      <c r="EW198" s="21"/>
      <c r="EX198" s="21"/>
      <c r="EY198" s="21"/>
    </row>
    <row r="199" spans="33:155" x14ac:dyDescent="0.3"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  <c r="CD199" s="21"/>
      <c r="CE199" s="21"/>
      <c r="CF199" s="21"/>
      <c r="CG199" s="21"/>
      <c r="CH199" s="21"/>
      <c r="CI199" s="21"/>
      <c r="CJ199" s="21"/>
      <c r="CK199" s="21"/>
      <c r="CL199" s="21"/>
      <c r="CM199" s="21"/>
      <c r="CN199" s="21"/>
      <c r="CO199" s="21"/>
      <c r="CP199" s="21"/>
      <c r="CQ199" s="21"/>
      <c r="CR199" s="21"/>
      <c r="CS199" s="21"/>
      <c r="CT199" s="21"/>
      <c r="CU199" s="21"/>
      <c r="CV199" s="21"/>
      <c r="CW199" s="21"/>
      <c r="CX199" s="21"/>
      <c r="CY199" s="21"/>
      <c r="CZ199" s="21"/>
      <c r="DA199" s="21"/>
      <c r="DB199" s="21"/>
      <c r="DC199" s="21"/>
      <c r="DD199" s="21"/>
      <c r="DE199" s="21"/>
      <c r="DF199" s="21"/>
      <c r="DG199" s="21"/>
      <c r="DH199" s="21"/>
      <c r="DI199" s="21"/>
      <c r="DJ199" s="21"/>
      <c r="DK199" s="21"/>
      <c r="DL199" s="21"/>
      <c r="DM199" s="21"/>
      <c r="DN199" s="21"/>
      <c r="DO199" s="21"/>
      <c r="DP199" s="21"/>
      <c r="DQ199" s="21"/>
      <c r="DR199" s="21"/>
      <c r="DS199" s="21"/>
      <c r="DT199" s="21"/>
      <c r="DU199" s="21"/>
      <c r="DV199" s="21"/>
      <c r="DW199" s="21"/>
      <c r="DX199" s="21"/>
      <c r="DY199" s="21"/>
      <c r="DZ199" s="21"/>
      <c r="EA199" s="21"/>
      <c r="EB199" s="21"/>
      <c r="EC199" s="21"/>
      <c r="ED199" s="21"/>
      <c r="EE199" s="21"/>
      <c r="EF199" s="21"/>
      <c r="EG199" s="21"/>
      <c r="EH199" s="21"/>
      <c r="EI199" s="21"/>
      <c r="EJ199" s="21"/>
      <c r="EK199" s="21"/>
      <c r="EL199" s="21"/>
      <c r="EM199" s="21"/>
      <c r="EN199" s="21"/>
      <c r="EO199" s="21"/>
      <c r="EP199" s="21"/>
      <c r="EQ199" s="21"/>
      <c r="ER199" s="21"/>
      <c r="ES199" s="21"/>
      <c r="ET199" s="21"/>
      <c r="EU199" s="21"/>
      <c r="EV199" s="21"/>
      <c r="EW199" s="21"/>
      <c r="EX199" s="21"/>
      <c r="EY199" s="21"/>
    </row>
    <row r="200" spans="33:155" x14ac:dyDescent="0.3"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  <c r="CD200" s="21"/>
      <c r="CE200" s="21"/>
      <c r="CF200" s="21"/>
      <c r="CG200" s="21"/>
      <c r="CH200" s="21"/>
      <c r="CI200" s="21"/>
      <c r="CJ200" s="21"/>
      <c r="CK200" s="21"/>
      <c r="CL200" s="21"/>
      <c r="CM200" s="21"/>
      <c r="CN200" s="21"/>
      <c r="CO200" s="21"/>
      <c r="CP200" s="21"/>
      <c r="CQ200" s="21"/>
      <c r="CR200" s="21"/>
      <c r="CS200" s="21"/>
      <c r="CT200" s="21"/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  <c r="DG200" s="21"/>
      <c r="DH200" s="21"/>
      <c r="DI200" s="21"/>
      <c r="DJ200" s="21"/>
      <c r="DK200" s="21"/>
      <c r="DL200" s="21"/>
      <c r="DM200" s="21"/>
      <c r="DN200" s="21"/>
      <c r="DO200" s="21"/>
      <c r="DP200" s="21"/>
      <c r="DQ200" s="21"/>
      <c r="DR200" s="21"/>
      <c r="DS200" s="21"/>
      <c r="DT200" s="21"/>
      <c r="DU200" s="21"/>
      <c r="DV200" s="21"/>
      <c r="DW200" s="21"/>
      <c r="DX200" s="21"/>
      <c r="DY200" s="21"/>
      <c r="DZ200" s="21"/>
      <c r="EA200" s="21"/>
      <c r="EB200" s="21"/>
      <c r="EC200" s="21"/>
      <c r="ED200" s="21"/>
      <c r="EE200" s="21"/>
      <c r="EF200" s="21"/>
      <c r="EG200" s="21"/>
      <c r="EH200" s="21"/>
      <c r="EI200" s="21"/>
      <c r="EJ200" s="21"/>
      <c r="EK200" s="21"/>
      <c r="EL200" s="21"/>
      <c r="EM200" s="21"/>
      <c r="EN200" s="21"/>
      <c r="EO200" s="21"/>
      <c r="EP200" s="21"/>
      <c r="EQ200" s="21"/>
      <c r="ER200" s="21"/>
      <c r="ES200" s="21"/>
      <c r="ET200" s="21"/>
      <c r="EU200" s="21"/>
      <c r="EV200" s="21"/>
      <c r="EW200" s="21"/>
      <c r="EX200" s="21"/>
      <c r="EY200" s="21"/>
    </row>
    <row r="201" spans="33:155" x14ac:dyDescent="0.3"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  <c r="CL201" s="21"/>
      <c r="CM201" s="21"/>
      <c r="CN201" s="21"/>
      <c r="CO201" s="21"/>
      <c r="CP201" s="21"/>
      <c r="CQ201" s="21"/>
      <c r="CR201" s="21"/>
      <c r="CS201" s="21"/>
      <c r="CT201" s="21"/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21"/>
      <c r="DH201" s="21"/>
      <c r="DI201" s="21"/>
      <c r="DJ201" s="21"/>
      <c r="DK201" s="21"/>
      <c r="DL201" s="21"/>
      <c r="DM201" s="21"/>
      <c r="DN201" s="21"/>
      <c r="DO201" s="21"/>
      <c r="DP201" s="21"/>
      <c r="DQ201" s="21"/>
      <c r="DR201" s="21"/>
      <c r="DS201" s="21"/>
      <c r="DT201" s="21"/>
      <c r="DU201" s="21"/>
      <c r="DV201" s="21"/>
      <c r="DW201" s="21"/>
      <c r="DX201" s="21"/>
      <c r="DY201" s="21"/>
      <c r="DZ201" s="21"/>
      <c r="EA201" s="21"/>
      <c r="EB201" s="21"/>
      <c r="EC201" s="21"/>
      <c r="ED201" s="21"/>
      <c r="EE201" s="21"/>
      <c r="EF201" s="21"/>
      <c r="EG201" s="21"/>
      <c r="EH201" s="21"/>
      <c r="EI201" s="21"/>
      <c r="EJ201" s="21"/>
      <c r="EK201" s="21"/>
      <c r="EL201" s="21"/>
      <c r="EM201" s="21"/>
      <c r="EN201" s="21"/>
      <c r="EO201" s="21"/>
      <c r="EP201" s="21"/>
      <c r="EQ201" s="21"/>
      <c r="ER201" s="21"/>
      <c r="ES201" s="21"/>
      <c r="ET201" s="21"/>
      <c r="EU201" s="21"/>
      <c r="EV201" s="21"/>
      <c r="EW201" s="21"/>
      <c r="EX201" s="21"/>
      <c r="EY201" s="21"/>
    </row>
    <row r="202" spans="33:155" x14ac:dyDescent="0.3"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  <c r="CD202" s="21"/>
      <c r="CE202" s="21"/>
      <c r="CF202" s="21"/>
      <c r="CG202" s="21"/>
      <c r="CH202" s="21"/>
      <c r="CI202" s="21"/>
      <c r="CJ202" s="21"/>
      <c r="CK202" s="21"/>
      <c r="CL202" s="21"/>
      <c r="CM202" s="21"/>
      <c r="CN202" s="21"/>
      <c r="CO202" s="21"/>
      <c r="CP202" s="21"/>
      <c r="CQ202" s="21"/>
      <c r="CR202" s="21"/>
      <c r="CS202" s="21"/>
      <c r="CT202" s="21"/>
      <c r="CU202" s="21"/>
      <c r="CV202" s="21"/>
      <c r="CW202" s="21"/>
      <c r="CX202" s="21"/>
      <c r="CY202" s="21"/>
      <c r="CZ202" s="21"/>
      <c r="DA202" s="21"/>
      <c r="DB202" s="21"/>
      <c r="DC202" s="21"/>
      <c r="DD202" s="21"/>
      <c r="DE202" s="21"/>
      <c r="DF202" s="21"/>
      <c r="DG202" s="21"/>
      <c r="DH202" s="21"/>
      <c r="DI202" s="21"/>
      <c r="DJ202" s="21"/>
      <c r="DK202" s="21"/>
      <c r="DL202" s="21"/>
      <c r="DM202" s="21"/>
      <c r="DN202" s="21"/>
      <c r="DO202" s="21"/>
      <c r="DP202" s="21"/>
      <c r="DQ202" s="21"/>
      <c r="DR202" s="21"/>
      <c r="DS202" s="21"/>
      <c r="DT202" s="21"/>
      <c r="DU202" s="21"/>
      <c r="DV202" s="21"/>
      <c r="DW202" s="21"/>
      <c r="DX202" s="21"/>
      <c r="DY202" s="21"/>
      <c r="DZ202" s="21"/>
      <c r="EA202" s="21"/>
      <c r="EB202" s="21"/>
      <c r="EC202" s="21"/>
      <c r="ED202" s="21"/>
      <c r="EE202" s="21"/>
      <c r="EF202" s="21"/>
      <c r="EG202" s="21"/>
      <c r="EH202" s="21"/>
      <c r="EI202" s="21"/>
      <c r="EJ202" s="21"/>
      <c r="EK202" s="21"/>
      <c r="EL202" s="21"/>
      <c r="EM202" s="21"/>
      <c r="EN202" s="21"/>
      <c r="EO202" s="21"/>
      <c r="EP202" s="21"/>
      <c r="EQ202" s="21"/>
      <c r="ER202" s="21"/>
      <c r="ES202" s="21"/>
      <c r="ET202" s="21"/>
      <c r="EU202" s="21"/>
      <c r="EV202" s="21"/>
      <c r="EW202" s="21"/>
      <c r="EX202" s="21"/>
      <c r="EY202" s="21"/>
    </row>
    <row r="203" spans="33:155" x14ac:dyDescent="0.3"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  <c r="CD203" s="21"/>
      <c r="CE203" s="21"/>
      <c r="CF203" s="21"/>
      <c r="CG203" s="21"/>
      <c r="CH203" s="21"/>
      <c r="CI203" s="21"/>
      <c r="CJ203" s="21"/>
      <c r="CK203" s="21"/>
      <c r="CL203" s="21"/>
      <c r="CM203" s="21"/>
      <c r="CN203" s="21"/>
      <c r="CO203" s="21"/>
      <c r="CP203" s="21"/>
      <c r="CQ203" s="21"/>
      <c r="CR203" s="21"/>
      <c r="CS203" s="21"/>
      <c r="CT203" s="21"/>
      <c r="CU203" s="21"/>
      <c r="CV203" s="21"/>
      <c r="CW203" s="21"/>
      <c r="CX203" s="21"/>
      <c r="CY203" s="21"/>
      <c r="CZ203" s="21"/>
      <c r="DA203" s="21"/>
      <c r="DB203" s="21"/>
      <c r="DC203" s="21"/>
      <c r="DD203" s="21"/>
      <c r="DE203" s="21"/>
      <c r="DF203" s="21"/>
      <c r="DG203" s="21"/>
      <c r="DH203" s="21"/>
      <c r="DI203" s="21"/>
      <c r="DJ203" s="21"/>
      <c r="DK203" s="21"/>
      <c r="DL203" s="21"/>
      <c r="DM203" s="21"/>
      <c r="DN203" s="21"/>
      <c r="DO203" s="21"/>
      <c r="DP203" s="21"/>
      <c r="DQ203" s="21"/>
      <c r="DR203" s="21"/>
      <c r="DS203" s="21"/>
      <c r="DT203" s="21"/>
      <c r="DU203" s="21"/>
      <c r="DV203" s="21"/>
      <c r="DW203" s="21"/>
      <c r="DX203" s="21"/>
      <c r="DY203" s="21"/>
      <c r="DZ203" s="21"/>
      <c r="EA203" s="21"/>
      <c r="EB203" s="21"/>
      <c r="EC203" s="21"/>
      <c r="ED203" s="21"/>
      <c r="EE203" s="21"/>
      <c r="EF203" s="21"/>
      <c r="EG203" s="21"/>
      <c r="EH203" s="21"/>
      <c r="EI203" s="21"/>
      <c r="EJ203" s="21"/>
      <c r="EK203" s="21"/>
      <c r="EL203" s="21"/>
      <c r="EM203" s="21"/>
      <c r="EN203" s="21"/>
      <c r="EO203" s="21"/>
      <c r="EP203" s="21"/>
      <c r="EQ203" s="21"/>
      <c r="ER203" s="21"/>
      <c r="ES203" s="21"/>
      <c r="ET203" s="21"/>
      <c r="EU203" s="21"/>
      <c r="EV203" s="21"/>
      <c r="EW203" s="21"/>
      <c r="EX203" s="21"/>
      <c r="EY203" s="2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C9335-2885-1C45-86A4-EF1021E7B691}">
  <dimension ref="A1:DU1514"/>
  <sheetViews>
    <sheetView topLeftCell="A186" zoomScale="93" zoomScaleNormal="93" workbookViewId="0">
      <selection activeCell="C209" sqref="C209"/>
    </sheetView>
  </sheetViews>
  <sheetFormatPr defaultColWidth="11.19921875" defaultRowHeight="15.6" x14ac:dyDescent="0.3"/>
  <cols>
    <col min="1" max="1" width="19.796875" bestFit="1" customWidth="1"/>
    <col min="2" max="2" width="52.796875" customWidth="1"/>
    <col min="3" max="3" width="82.59765625" customWidth="1"/>
    <col min="4" max="4" width="12.3984375" bestFit="1" customWidth="1"/>
    <col min="5" max="5" width="85.796875" customWidth="1"/>
  </cols>
  <sheetData>
    <row r="1" spans="1:125" s="9" customFormat="1" ht="21" x14ac:dyDescent="0.4">
      <c r="A1" s="38" t="s">
        <v>0</v>
      </c>
      <c r="B1" s="38" t="s">
        <v>1</v>
      </c>
      <c r="C1" s="38" t="s">
        <v>11</v>
      </c>
      <c r="D1" s="38" t="s">
        <v>13</v>
      </c>
      <c r="E1" s="38" t="s">
        <v>143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</row>
    <row r="2" spans="1:125" s="14" customFormat="1" x14ac:dyDescent="0.3">
      <c r="A2" s="21" t="s">
        <v>16</v>
      </c>
      <c r="B2" s="21" t="s">
        <v>17</v>
      </c>
      <c r="C2" s="21" t="s">
        <v>35</v>
      </c>
      <c r="D2" s="40">
        <f>inputs!E3/(1 - inputs!E4/1000)</f>
        <v>647799.41772914364</v>
      </c>
      <c r="E2" s="21" t="str">
        <f ca="1">_xlfn.FORMULATEXT(D2)</f>
        <v>=inputs!E3/(1 - inputs!E4/1000)</v>
      </c>
      <c r="F2" s="41" t="s">
        <v>813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  <c r="DO2" s="21"/>
      <c r="DP2" s="21"/>
      <c r="DQ2" s="21"/>
      <c r="DR2" s="21"/>
      <c r="DS2" s="21"/>
      <c r="DT2" s="21"/>
      <c r="DU2" s="21"/>
    </row>
    <row r="3" spans="1:125" s="12" customFormat="1" x14ac:dyDescent="0.3">
      <c r="A3" s="21" t="s">
        <v>16</v>
      </c>
      <c r="B3" s="21" t="s">
        <v>17</v>
      </c>
      <c r="C3" s="21" t="s">
        <v>36</v>
      </c>
      <c r="D3" s="40">
        <f>inputs!E3-inputs!E5*inputs!E3</f>
        <v>645079.41810000001</v>
      </c>
      <c r="E3" s="21" t="str">
        <f t="shared" ref="E3:E66" ca="1" si="0">_xlfn.FORMULATEXT(D3)</f>
        <v>=inputs!E3-inputs!E5*inputs!E3</v>
      </c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21"/>
      <c r="BB3" s="21"/>
      <c r="BC3" s="21"/>
      <c r="BD3" s="21"/>
      <c r="BE3" s="21"/>
      <c r="BF3" s="21"/>
      <c r="BG3" s="21"/>
      <c r="BH3" s="21"/>
      <c r="BI3" s="21"/>
      <c r="BJ3" s="21"/>
      <c r="BK3" s="21"/>
      <c r="BL3" s="21"/>
      <c r="BM3" s="21"/>
      <c r="BN3" s="21"/>
      <c r="BO3" s="21"/>
      <c r="BP3" s="21"/>
      <c r="BQ3" s="21"/>
      <c r="BR3" s="21"/>
      <c r="BS3" s="21"/>
      <c r="BT3" s="21"/>
      <c r="BU3" s="21"/>
      <c r="BV3" s="21"/>
      <c r="BW3" s="21"/>
      <c r="BX3" s="21"/>
      <c r="BY3" s="21"/>
      <c r="BZ3" s="21"/>
      <c r="CA3" s="21"/>
      <c r="CB3" s="21"/>
      <c r="CC3" s="21"/>
      <c r="CD3" s="21"/>
      <c r="CE3" s="21"/>
      <c r="CF3" s="21"/>
      <c r="CG3" s="21"/>
      <c r="CH3" s="21"/>
      <c r="CI3" s="21"/>
      <c r="CJ3" s="21"/>
      <c r="CK3" s="21"/>
      <c r="CL3" s="21"/>
      <c r="CM3" s="21"/>
      <c r="CN3" s="21"/>
      <c r="CO3" s="21"/>
      <c r="CP3" s="21"/>
      <c r="CQ3" s="21"/>
      <c r="CR3" s="21"/>
      <c r="CS3" s="21"/>
      <c r="CT3" s="21"/>
      <c r="CU3" s="21"/>
      <c r="CV3" s="21"/>
      <c r="CW3" s="21"/>
      <c r="CX3" s="21"/>
      <c r="CY3" s="21"/>
      <c r="CZ3" s="21"/>
      <c r="DA3" s="21"/>
      <c r="DB3" s="21"/>
      <c r="DC3" s="21"/>
      <c r="DD3" s="21"/>
      <c r="DE3" s="21"/>
      <c r="DF3" s="21"/>
      <c r="DG3" s="21"/>
      <c r="DH3" s="21"/>
      <c r="DI3" s="21"/>
      <c r="DJ3" s="21"/>
      <c r="DK3" s="21"/>
      <c r="DL3" s="21"/>
      <c r="DM3" s="21"/>
      <c r="DN3" s="21"/>
      <c r="DO3" s="21"/>
      <c r="DP3" s="21"/>
      <c r="DQ3" s="21"/>
      <c r="DR3" s="21"/>
      <c r="DS3" s="21"/>
      <c r="DT3" s="21"/>
      <c r="DU3" s="21"/>
    </row>
    <row r="4" spans="1:125" s="12" customFormat="1" ht="16.05" customHeight="1" x14ac:dyDescent="0.3">
      <c r="A4" s="21" t="s">
        <v>16</v>
      </c>
      <c r="B4" s="21" t="s">
        <v>17</v>
      </c>
      <c r="C4" s="21" t="s">
        <v>37</v>
      </c>
      <c r="D4" s="42">
        <f>D3-inputs!$E$6*computations!D3</f>
        <v>644627.86250733002</v>
      </c>
      <c r="E4" s="21" t="str">
        <f t="shared" ca="1" si="0"/>
        <v>=D3-inputs!$E$6*computations!D3</v>
      </c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21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21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21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21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21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21"/>
      <c r="DU4" s="21"/>
    </row>
    <row r="5" spans="1:125" s="12" customFormat="1" ht="16.05" customHeight="1" x14ac:dyDescent="0.3">
      <c r="A5" s="21" t="s">
        <v>16</v>
      </c>
      <c r="B5" s="21" t="s">
        <v>17</v>
      </c>
      <c r="C5" s="21" t="s">
        <v>38</v>
      </c>
      <c r="D5" s="42">
        <f>D4-inputs!$E$6*D4</f>
        <v>644176.6230035749</v>
      </c>
      <c r="E5" s="21" t="str">
        <f t="shared" ca="1" si="0"/>
        <v>=D4-inputs!$E$6*D4</v>
      </c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</row>
    <row r="6" spans="1:125" s="12" customFormat="1" ht="16.05" customHeight="1" x14ac:dyDescent="0.3">
      <c r="A6" s="21" t="s">
        <v>16</v>
      </c>
      <c r="B6" s="21" t="s">
        <v>17</v>
      </c>
      <c r="C6" s="21" t="s">
        <v>39</v>
      </c>
      <c r="D6" s="42">
        <f>D5-inputs!$E$6*D5</f>
        <v>643725.69936747244</v>
      </c>
      <c r="E6" s="21" t="str">
        <f t="shared" ca="1" si="0"/>
        <v>=D5-inputs!$E$6*D5</v>
      </c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1"/>
      <c r="DQ6" s="21"/>
      <c r="DR6" s="21"/>
      <c r="DS6" s="21"/>
      <c r="DT6" s="21"/>
      <c r="DU6" s="21"/>
    </row>
    <row r="7" spans="1:125" s="12" customFormat="1" ht="16.05" customHeight="1" x14ac:dyDescent="0.3">
      <c r="A7" s="21" t="s">
        <v>16</v>
      </c>
      <c r="B7" s="21" t="s">
        <v>17</v>
      </c>
      <c r="C7" s="21" t="s">
        <v>40</v>
      </c>
      <c r="D7" s="42">
        <f>D6-inputs!$E$6*D6</f>
        <v>643275.09137791523</v>
      </c>
      <c r="E7" s="21" t="str">
        <f t="shared" ca="1" si="0"/>
        <v>=D6-inputs!$E$6*D6</v>
      </c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21"/>
      <c r="CS7" s="21"/>
      <c r="CT7" s="21"/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1"/>
      <c r="DQ7" s="21"/>
      <c r="DR7" s="21"/>
      <c r="DS7" s="21"/>
      <c r="DT7" s="21"/>
      <c r="DU7" s="21"/>
    </row>
    <row r="8" spans="1:125" s="12" customFormat="1" ht="16.05" customHeight="1" x14ac:dyDescent="0.3">
      <c r="A8" s="21" t="s">
        <v>16</v>
      </c>
      <c r="B8" s="21" t="s">
        <v>17</v>
      </c>
      <c r="C8" s="21" t="s">
        <v>41</v>
      </c>
      <c r="D8" s="42">
        <f>D7-inputs!$E$6*D7</f>
        <v>642824.79881395074</v>
      </c>
      <c r="E8" s="21" t="str">
        <f t="shared" ca="1" si="0"/>
        <v>=D7-inputs!$E$6*D7</v>
      </c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21"/>
      <c r="CS8" s="21"/>
      <c r="CT8" s="21"/>
      <c r="CU8" s="21"/>
      <c r="CV8" s="21"/>
      <c r="CW8" s="21"/>
      <c r="CX8" s="21"/>
      <c r="CY8" s="21"/>
      <c r="CZ8" s="21"/>
      <c r="DA8" s="21"/>
      <c r="DB8" s="21"/>
      <c r="DC8" s="21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1"/>
      <c r="DQ8" s="21"/>
      <c r="DR8" s="21"/>
      <c r="DS8" s="21"/>
      <c r="DT8" s="21"/>
      <c r="DU8" s="21"/>
    </row>
    <row r="9" spans="1:125" s="12" customFormat="1" ht="16.05" customHeight="1" x14ac:dyDescent="0.3">
      <c r="A9" s="21" t="s">
        <v>16</v>
      </c>
      <c r="B9" s="21" t="s">
        <v>17</v>
      </c>
      <c r="C9" s="21" t="s">
        <v>42</v>
      </c>
      <c r="D9" s="42">
        <f>D8-inputs!$E$6*D8</f>
        <v>642374.82145478099</v>
      </c>
      <c r="E9" s="21" t="str">
        <f t="shared" ca="1" si="0"/>
        <v>=D8-inputs!$E$6*D8</v>
      </c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21"/>
      <c r="CS9" s="21"/>
      <c r="CT9" s="21"/>
      <c r="CU9" s="21"/>
      <c r="CV9" s="21"/>
      <c r="CW9" s="21"/>
      <c r="CX9" s="21"/>
      <c r="CY9" s="21"/>
      <c r="CZ9" s="21"/>
      <c r="DA9" s="21"/>
      <c r="DB9" s="21"/>
      <c r="DC9" s="21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1"/>
      <c r="DQ9" s="21"/>
      <c r="DR9" s="21"/>
      <c r="DS9" s="21"/>
      <c r="DT9" s="21"/>
      <c r="DU9" s="21"/>
    </row>
    <row r="10" spans="1:125" s="12" customFormat="1" ht="16.05" customHeight="1" x14ac:dyDescent="0.3">
      <c r="A10" s="21" t="s">
        <v>16</v>
      </c>
      <c r="B10" s="21" t="s">
        <v>17</v>
      </c>
      <c r="C10" s="21" t="s">
        <v>43</v>
      </c>
      <c r="D10" s="42">
        <f>D9-inputs!$E$6*D9</f>
        <v>641925.15907976264</v>
      </c>
      <c r="E10" s="21" t="str">
        <f t="shared" ca="1" si="0"/>
        <v>=D9-inputs!$E$6*D9</v>
      </c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  <c r="BK10" s="21"/>
      <c r="BL10" s="21"/>
      <c r="BM10" s="21"/>
      <c r="BN10" s="21"/>
      <c r="BO10" s="21"/>
      <c r="BP10" s="21"/>
      <c r="BQ10" s="21"/>
      <c r="BR10" s="21"/>
      <c r="BS10" s="21"/>
      <c r="BT10" s="21"/>
      <c r="BU10" s="21"/>
      <c r="BV10" s="21"/>
      <c r="BW10" s="21"/>
      <c r="BX10" s="21"/>
      <c r="BY10" s="21"/>
      <c r="BZ10" s="21"/>
      <c r="CA10" s="21"/>
      <c r="CB10" s="21"/>
      <c r="CC10" s="21"/>
      <c r="CD10" s="21"/>
      <c r="CE10" s="21"/>
      <c r="CF10" s="21"/>
      <c r="CG10" s="21"/>
      <c r="CH10" s="21"/>
      <c r="CI10" s="21"/>
      <c r="CJ10" s="21"/>
      <c r="CK10" s="21"/>
      <c r="CL10" s="21"/>
      <c r="CM10" s="21"/>
      <c r="CN10" s="21"/>
      <c r="CO10" s="21"/>
      <c r="CP10" s="21"/>
      <c r="CQ10" s="21"/>
      <c r="CR10" s="21"/>
      <c r="CS10" s="21"/>
      <c r="CT10" s="21"/>
      <c r="CU10" s="21"/>
      <c r="CV10" s="21"/>
      <c r="CW10" s="21"/>
      <c r="CX10" s="21"/>
      <c r="CY10" s="21"/>
      <c r="CZ10" s="21"/>
      <c r="DA10" s="21"/>
      <c r="DB10" s="21"/>
      <c r="DC10" s="21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1"/>
      <c r="DQ10" s="21"/>
      <c r="DR10" s="21"/>
      <c r="DS10" s="21"/>
      <c r="DT10" s="21"/>
      <c r="DU10" s="21"/>
    </row>
    <row r="11" spans="1:125" s="12" customFormat="1" ht="16.05" customHeight="1" x14ac:dyDescent="0.3">
      <c r="A11" s="21" t="s">
        <v>16</v>
      </c>
      <c r="B11" s="21" t="s">
        <v>17</v>
      </c>
      <c r="C11" s="21" t="s">
        <v>44</v>
      </c>
      <c r="D11" s="42">
        <f>D10-inputs!$E$6*D10</f>
        <v>641475.81146840681</v>
      </c>
      <c r="E11" s="21" t="str">
        <f t="shared" ca="1" si="0"/>
        <v>=D10-inputs!$E$6*D10</v>
      </c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  <c r="BK11" s="21"/>
      <c r="BL11" s="21"/>
      <c r="BM11" s="21"/>
      <c r="BN11" s="21"/>
      <c r="BO11" s="21"/>
      <c r="BP11" s="21"/>
      <c r="BQ11" s="21"/>
      <c r="BR11" s="21"/>
      <c r="BS11" s="21"/>
      <c r="BT11" s="21"/>
      <c r="BU11" s="21"/>
      <c r="BV11" s="21"/>
      <c r="BW11" s="21"/>
      <c r="BX11" s="21"/>
      <c r="BY11" s="21"/>
      <c r="BZ11" s="21"/>
      <c r="CA11" s="21"/>
      <c r="CB11" s="21"/>
      <c r="CC11" s="21"/>
      <c r="CD11" s="21"/>
      <c r="CE11" s="21"/>
      <c r="CF11" s="21"/>
      <c r="CG11" s="21"/>
      <c r="CH11" s="21"/>
      <c r="CI11" s="21"/>
      <c r="CJ11" s="21"/>
      <c r="CK11" s="21"/>
      <c r="CL11" s="21"/>
      <c r="CM11" s="21"/>
      <c r="CN11" s="21"/>
      <c r="CO11" s="21"/>
      <c r="CP11" s="21"/>
      <c r="CQ11" s="21"/>
      <c r="CR11" s="21"/>
      <c r="CS11" s="21"/>
      <c r="CT11" s="21"/>
      <c r="CU11" s="21"/>
      <c r="CV11" s="21"/>
      <c r="CW11" s="21"/>
      <c r="CX11" s="21"/>
      <c r="CY11" s="21"/>
      <c r="CZ11" s="21"/>
      <c r="DA11" s="21"/>
      <c r="DB11" s="21"/>
      <c r="DC11" s="21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1"/>
      <c r="DQ11" s="21"/>
      <c r="DR11" s="21"/>
      <c r="DS11" s="21"/>
      <c r="DT11" s="21"/>
      <c r="DU11" s="21"/>
    </row>
    <row r="12" spans="1:125" s="12" customFormat="1" ht="16.05" customHeight="1" x14ac:dyDescent="0.3">
      <c r="A12" s="21" t="s">
        <v>16</v>
      </c>
      <c r="B12" s="21" t="s">
        <v>17</v>
      </c>
      <c r="C12" s="21" t="s">
        <v>45</v>
      </c>
      <c r="D12" s="42">
        <f>D11-inputs!$E$6*D11</f>
        <v>641026.77840037888</v>
      </c>
      <c r="E12" s="21" t="str">
        <f t="shared" ca="1" si="0"/>
        <v>=D11-inputs!$E$6*D11</v>
      </c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  <c r="BL12" s="21"/>
      <c r="BM12" s="21"/>
      <c r="BN12" s="21"/>
      <c r="BO12" s="21"/>
      <c r="BP12" s="21"/>
      <c r="BQ12" s="21"/>
      <c r="BR12" s="21"/>
      <c r="BS12" s="21"/>
      <c r="BT12" s="21"/>
      <c r="BU12" s="21"/>
      <c r="BV12" s="21"/>
      <c r="BW12" s="21"/>
      <c r="BX12" s="21"/>
      <c r="BY12" s="21"/>
      <c r="BZ12" s="21"/>
      <c r="CA12" s="21"/>
      <c r="CB12" s="21"/>
      <c r="CC12" s="21"/>
      <c r="CD12" s="21"/>
      <c r="CE12" s="21"/>
      <c r="CF12" s="21"/>
      <c r="CG12" s="21"/>
      <c r="CH12" s="21"/>
      <c r="CI12" s="21"/>
      <c r="CJ12" s="21"/>
      <c r="CK12" s="21"/>
      <c r="CL12" s="21"/>
      <c r="CM12" s="21"/>
      <c r="CN12" s="21"/>
      <c r="CO12" s="21"/>
      <c r="CP12" s="21"/>
      <c r="CQ12" s="21"/>
      <c r="CR12" s="21"/>
      <c r="CS12" s="21"/>
      <c r="CT12" s="21"/>
      <c r="CU12" s="21"/>
      <c r="CV12" s="21"/>
      <c r="CW12" s="21"/>
      <c r="CX12" s="21"/>
      <c r="CY12" s="21"/>
      <c r="CZ12" s="21"/>
      <c r="DA12" s="21"/>
      <c r="DB12" s="21"/>
      <c r="DC12" s="21"/>
      <c r="DD12" s="21"/>
      <c r="DE12" s="21"/>
      <c r="DF12" s="21"/>
      <c r="DG12" s="21"/>
      <c r="DH12" s="21"/>
      <c r="DI12" s="21"/>
      <c r="DJ12" s="21"/>
      <c r="DK12" s="21"/>
      <c r="DL12" s="21"/>
      <c r="DM12" s="21"/>
      <c r="DN12" s="21"/>
      <c r="DO12" s="21"/>
      <c r="DP12" s="21"/>
      <c r="DQ12" s="21"/>
      <c r="DR12" s="21"/>
      <c r="DS12" s="21"/>
      <c r="DT12" s="21"/>
      <c r="DU12" s="21"/>
    </row>
    <row r="13" spans="1:125" s="12" customFormat="1" ht="16.05" customHeight="1" x14ac:dyDescent="0.3">
      <c r="A13" s="21" t="s">
        <v>16</v>
      </c>
      <c r="B13" s="21" t="s">
        <v>17</v>
      </c>
      <c r="C13" s="21" t="s">
        <v>46</v>
      </c>
      <c r="D13" s="42">
        <f>D12-inputs!$E$6*D12</f>
        <v>640578.0596554986</v>
      </c>
      <c r="E13" s="21" t="str">
        <f t="shared" ca="1" si="0"/>
        <v>=D12-inputs!$E$6*D12</v>
      </c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  <c r="BT13" s="21"/>
      <c r="BU13" s="21"/>
      <c r="BV13" s="21"/>
      <c r="BW13" s="21"/>
      <c r="BX13" s="21"/>
      <c r="BY13" s="21"/>
      <c r="BZ13" s="21"/>
      <c r="CA13" s="21"/>
      <c r="CB13" s="21"/>
      <c r="CC13" s="21"/>
      <c r="CD13" s="21"/>
      <c r="CE13" s="21"/>
      <c r="CF13" s="21"/>
      <c r="CG13" s="21"/>
      <c r="CH13" s="21"/>
      <c r="CI13" s="21"/>
      <c r="CJ13" s="21"/>
      <c r="CK13" s="21"/>
      <c r="CL13" s="21"/>
      <c r="CM13" s="21"/>
      <c r="CN13" s="21"/>
      <c r="CO13" s="21"/>
      <c r="CP13" s="21"/>
      <c r="CQ13" s="21"/>
      <c r="CR13" s="21"/>
      <c r="CS13" s="21"/>
      <c r="CT13" s="21"/>
      <c r="CU13" s="21"/>
      <c r="CV13" s="21"/>
      <c r="CW13" s="21"/>
      <c r="CX13" s="21"/>
      <c r="CY13" s="21"/>
      <c r="CZ13" s="21"/>
      <c r="DA13" s="21"/>
      <c r="DB13" s="21"/>
      <c r="DC13" s="21"/>
      <c r="DD13" s="21"/>
      <c r="DE13" s="21"/>
      <c r="DF13" s="21"/>
      <c r="DG13" s="21"/>
      <c r="DH13" s="21"/>
      <c r="DI13" s="21"/>
      <c r="DJ13" s="21"/>
      <c r="DK13" s="21"/>
      <c r="DL13" s="21"/>
      <c r="DM13" s="21"/>
      <c r="DN13" s="21"/>
      <c r="DO13" s="21"/>
      <c r="DP13" s="21"/>
      <c r="DQ13" s="21"/>
      <c r="DR13" s="21"/>
      <c r="DS13" s="21"/>
      <c r="DT13" s="21"/>
      <c r="DU13" s="21"/>
    </row>
    <row r="14" spans="1:125" s="12" customFormat="1" ht="16.05" customHeight="1" x14ac:dyDescent="0.3">
      <c r="A14" s="21" t="s">
        <v>16</v>
      </c>
      <c r="B14" s="21" t="s">
        <v>47</v>
      </c>
      <c r="C14" s="21" t="s">
        <v>48</v>
      </c>
      <c r="D14" s="42">
        <f>D2*inputs!$E$7*inputs!$E$8</f>
        <v>103647.90683666299</v>
      </c>
      <c r="E14" s="21" t="str">
        <f t="shared" ca="1" si="0"/>
        <v>=D2*inputs!$E$7*inputs!$E$8</v>
      </c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</row>
    <row r="15" spans="1:125" s="12" customFormat="1" ht="16.05" customHeight="1" x14ac:dyDescent="0.3">
      <c r="A15" s="21" t="s">
        <v>16</v>
      </c>
      <c r="B15" s="21" t="s">
        <v>47</v>
      </c>
      <c r="C15" s="21" t="s">
        <v>49</v>
      </c>
      <c r="D15" s="42">
        <f>D3*inputs!E11*inputs!E12</f>
        <v>103212.70689600002</v>
      </c>
      <c r="E15" s="21" t="str">
        <f t="shared" ca="1" si="0"/>
        <v>=D3*inputs!E11*inputs!E12</v>
      </c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1"/>
      <c r="CO15" s="21"/>
      <c r="CP15" s="21"/>
      <c r="CQ15" s="21"/>
      <c r="CR15" s="21"/>
      <c r="CS15" s="21"/>
      <c r="CT15" s="21"/>
      <c r="CU15" s="21"/>
      <c r="CV15" s="21"/>
      <c r="CW15" s="21"/>
      <c r="CX15" s="21"/>
      <c r="CY15" s="21"/>
      <c r="CZ15" s="21"/>
      <c r="DA15" s="21"/>
      <c r="DB15" s="21"/>
      <c r="DC15" s="21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1"/>
      <c r="DQ15" s="21"/>
      <c r="DR15" s="21"/>
      <c r="DS15" s="21"/>
      <c r="DT15" s="21"/>
      <c r="DU15" s="21"/>
    </row>
    <row r="16" spans="1:125" s="12" customFormat="1" ht="16.05" customHeight="1" x14ac:dyDescent="0.3">
      <c r="A16" s="21" t="s">
        <v>16</v>
      </c>
      <c r="B16" s="21" t="s">
        <v>47</v>
      </c>
      <c r="C16" s="21" t="s">
        <v>50</v>
      </c>
      <c r="D16" s="42">
        <f>D4*inputs!$E$11*inputs!$E$12*inputs!$E$15</f>
        <v>5157.0229000586405</v>
      </c>
      <c r="E16" s="21" t="str">
        <f t="shared" ca="1" si="0"/>
        <v>=D4*inputs!$E$11*inputs!$E$12*inputs!$E$15</v>
      </c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1"/>
      <c r="CO16" s="21"/>
      <c r="CP16" s="21"/>
      <c r="CQ16" s="21"/>
      <c r="CR16" s="21"/>
      <c r="CS16" s="21"/>
      <c r="CT16" s="21"/>
      <c r="CU16" s="21"/>
      <c r="CV16" s="21"/>
      <c r="CW16" s="21"/>
      <c r="CX16" s="21"/>
      <c r="CY16" s="21"/>
      <c r="CZ16" s="21"/>
      <c r="DA16" s="21"/>
      <c r="DB16" s="21"/>
      <c r="DC16" s="21"/>
      <c r="DD16" s="21"/>
      <c r="DE16" s="21"/>
      <c r="DF16" s="21"/>
      <c r="DG16" s="21"/>
      <c r="DH16" s="21"/>
      <c r="DI16" s="21"/>
      <c r="DJ16" s="21"/>
      <c r="DK16" s="21"/>
      <c r="DL16" s="21"/>
      <c r="DM16" s="21"/>
      <c r="DN16" s="21"/>
      <c r="DO16" s="21"/>
      <c r="DP16" s="21"/>
      <c r="DQ16" s="21"/>
      <c r="DR16" s="21"/>
      <c r="DS16" s="21"/>
      <c r="DT16" s="21"/>
      <c r="DU16" s="21"/>
    </row>
    <row r="17" spans="1:125" s="12" customFormat="1" ht="16.05" customHeight="1" x14ac:dyDescent="0.3">
      <c r="A17" s="21" t="s">
        <v>16</v>
      </c>
      <c r="B17" s="21" t="s">
        <v>47</v>
      </c>
      <c r="C17" s="21" t="s">
        <v>51</v>
      </c>
      <c r="D17" s="42">
        <f>D5*inputs!$E$11*inputs!$E$12*inputs!$E$15</f>
        <v>5153.4129840286005</v>
      </c>
      <c r="E17" s="21" t="str">
        <f t="shared" ca="1" si="0"/>
        <v>=D5*inputs!$E$11*inputs!$E$12*inputs!$E$15</v>
      </c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</row>
    <row r="18" spans="1:125" s="12" customFormat="1" ht="16.05" customHeight="1" x14ac:dyDescent="0.3">
      <c r="A18" s="21" t="s">
        <v>16</v>
      </c>
      <c r="B18" s="21" t="s">
        <v>47</v>
      </c>
      <c r="C18" s="21" t="s">
        <v>52</v>
      </c>
      <c r="D18" s="42">
        <f>D6*inputs!$E$11*inputs!$E$12*inputs!$E$15</f>
        <v>5149.8055949397803</v>
      </c>
      <c r="E18" s="21" t="str">
        <f t="shared" ca="1" si="0"/>
        <v>=D6*inputs!$E$11*inputs!$E$12*inputs!$E$15</v>
      </c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21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21"/>
      <c r="DU18" s="21"/>
    </row>
    <row r="19" spans="1:125" s="12" customFormat="1" ht="16.05" customHeight="1" x14ac:dyDescent="0.3">
      <c r="A19" s="21" t="s">
        <v>16</v>
      </c>
      <c r="B19" s="21" t="s">
        <v>47</v>
      </c>
      <c r="C19" s="21" t="s">
        <v>53</v>
      </c>
      <c r="D19" s="42">
        <f>D7*inputs!$E$11*inputs!$E$12*inputs!$E$15</f>
        <v>5146.200731023323</v>
      </c>
      <c r="E19" s="21" t="str">
        <f t="shared" ca="1" si="0"/>
        <v>=D7*inputs!$E$11*inputs!$E$12*inputs!$E$15</v>
      </c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CL19" s="21"/>
      <c r="CM19" s="21"/>
      <c r="CN19" s="21"/>
      <c r="CO19" s="21"/>
      <c r="CP19" s="21"/>
      <c r="CQ19" s="21"/>
      <c r="CR19" s="21"/>
      <c r="CS19" s="21"/>
      <c r="CT19" s="21"/>
      <c r="CU19" s="21"/>
      <c r="CV19" s="21"/>
      <c r="CW19" s="21"/>
      <c r="CX19" s="21"/>
      <c r="CY19" s="21"/>
      <c r="CZ19" s="21"/>
      <c r="DA19" s="21"/>
      <c r="DB19" s="21"/>
      <c r="DC19" s="21"/>
      <c r="DD19" s="21"/>
      <c r="DE19" s="21"/>
      <c r="DF19" s="21"/>
      <c r="DG19" s="21"/>
      <c r="DH19" s="21"/>
      <c r="DI19" s="21"/>
      <c r="DJ19" s="21"/>
      <c r="DK19" s="21"/>
      <c r="DL19" s="21"/>
      <c r="DM19" s="21"/>
      <c r="DN19" s="21"/>
      <c r="DO19" s="21"/>
      <c r="DP19" s="21"/>
      <c r="DQ19" s="21"/>
      <c r="DR19" s="21"/>
      <c r="DS19" s="21"/>
      <c r="DT19" s="21"/>
      <c r="DU19" s="21"/>
    </row>
    <row r="20" spans="1:125" s="12" customFormat="1" ht="16.05" customHeight="1" x14ac:dyDescent="0.3">
      <c r="A20" s="21" t="s">
        <v>16</v>
      </c>
      <c r="B20" s="21" t="s">
        <v>47</v>
      </c>
      <c r="C20" s="21" t="s">
        <v>54</v>
      </c>
      <c r="D20" s="42">
        <f>D8*inputs!$E$11*inputs!$E$12*inputs!$E$15</f>
        <v>5142.5983905116072</v>
      </c>
      <c r="E20" s="21" t="str">
        <f t="shared" ca="1" si="0"/>
        <v>=D8*inputs!$E$11*inputs!$E$12*inputs!$E$15</v>
      </c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</row>
    <row r="21" spans="1:125" s="12" customFormat="1" ht="16.05" customHeight="1" x14ac:dyDescent="0.3">
      <c r="A21" s="21" t="s">
        <v>16</v>
      </c>
      <c r="B21" s="21" t="s">
        <v>47</v>
      </c>
      <c r="C21" s="21" t="s">
        <v>55</v>
      </c>
      <c r="D21" s="42">
        <f>D9*inputs!$E$11*inputs!$E$12*inputs!$E$15</f>
        <v>5138.9985716382489</v>
      </c>
      <c r="E21" s="21" t="str">
        <f t="shared" ca="1" si="0"/>
        <v>=D9*inputs!$E$11*inputs!$E$12*inputs!$E$15</v>
      </c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21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21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21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21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21"/>
      <c r="DU21" s="21"/>
    </row>
    <row r="22" spans="1:125" s="12" customFormat="1" ht="16.05" customHeight="1" x14ac:dyDescent="0.3">
      <c r="A22" s="21" t="s">
        <v>16</v>
      </c>
      <c r="B22" s="21" t="s">
        <v>47</v>
      </c>
      <c r="C22" s="21" t="s">
        <v>56</v>
      </c>
      <c r="D22" s="42">
        <f>D10*inputs!$E$11*inputs!$E$12*inputs!$E$15</f>
        <v>5135.4012726381015</v>
      </c>
      <c r="E22" s="21" t="str">
        <f t="shared" ca="1" si="0"/>
        <v>=D10*inputs!$E$11*inputs!$E$12*inputs!$E$15</v>
      </c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21"/>
      <c r="BA22" s="21"/>
      <c r="BB22" s="21"/>
      <c r="BC22" s="21"/>
      <c r="BD22" s="21"/>
      <c r="BE22" s="21"/>
      <c r="BF22" s="21"/>
      <c r="BG22" s="21"/>
      <c r="BH22" s="21"/>
      <c r="BI22" s="21"/>
      <c r="BJ22" s="21"/>
      <c r="BK22" s="21"/>
      <c r="BL22" s="21"/>
      <c r="BM22" s="21"/>
      <c r="BN22" s="21"/>
      <c r="BO22" s="21"/>
      <c r="BP22" s="21"/>
      <c r="BQ22" s="21"/>
      <c r="BR22" s="21"/>
      <c r="BS22" s="21"/>
      <c r="BT22" s="21"/>
      <c r="BU22" s="21"/>
      <c r="BV22" s="21"/>
      <c r="BW22" s="21"/>
      <c r="BX22" s="21"/>
      <c r="BY22" s="21"/>
      <c r="BZ22" s="21"/>
      <c r="CA22" s="21"/>
      <c r="CB22" s="21"/>
      <c r="CC22" s="21"/>
      <c r="CD22" s="21"/>
      <c r="CE22" s="21"/>
      <c r="CF22" s="21"/>
      <c r="CG22" s="21"/>
      <c r="CH22" s="21"/>
      <c r="CI22" s="21"/>
      <c r="CJ22" s="21"/>
      <c r="CK22" s="21"/>
      <c r="CL22" s="21"/>
      <c r="CM22" s="21"/>
      <c r="CN22" s="21"/>
      <c r="CO22" s="21"/>
      <c r="CP22" s="21"/>
      <c r="CQ22" s="21"/>
      <c r="CR22" s="21"/>
      <c r="CS22" s="21"/>
      <c r="CT22" s="21"/>
      <c r="CU22" s="21"/>
      <c r="CV22" s="21"/>
      <c r="CW22" s="21"/>
      <c r="CX22" s="21"/>
      <c r="CY22" s="21"/>
      <c r="CZ22" s="21"/>
      <c r="DA22" s="21"/>
      <c r="DB22" s="21"/>
      <c r="DC22" s="21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1"/>
      <c r="DQ22" s="21"/>
      <c r="DR22" s="21"/>
      <c r="DS22" s="21"/>
      <c r="DT22" s="21"/>
      <c r="DU22" s="21"/>
    </row>
    <row r="23" spans="1:125" s="12" customFormat="1" ht="16.05" customHeight="1" x14ac:dyDescent="0.3">
      <c r="A23" s="21" t="s">
        <v>16</v>
      </c>
      <c r="B23" s="21" t="s">
        <v>47</v>
      </c>
      <c r="C23" s="21" t="s">
        <v>57</v>
      </c>
      <c r="D23" s="42">
        <f>D11*inputs!$E$11*inputs!$E$12*inputs!$E$15</f>
        <v>5131.8064917472548</v>
      </c>
      <c r="E23" s="21" t="str">
        <f t="shared" ca="1" si="0"/>
        <v>=D11*inputs!$E$11*inputs!$E$12*inputs!$E$15</v>
      </c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</row>
    <row r="24" spans="1:125" s="12" customFormat="1" ht="16.05" customHeight="1" x14ac:dyDescent="0.3">
      <c r="A24" s="21" t="s">
        <v>16</v>
      </c>
      <c r="B24" s="21" t="s">
        <v>47</v>
      </c>
      <c r="C24" s="21" t="s">
        <v>58</v>
      </c>
      <c r="D24" s="42">
        <f>D12*inputs!$E$11*inputs!$E$12*inputs!$E$15</f>
        <v>5128.2142272030324</v>
      </c>
      <c r="E24" s="21" t="str">
        <f t="shared" ca="1" si="0"/>
        <v>=D12*inputs!$E$11*inputs!$E$12*inputs!$E$15</v>
      </c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  <c r="BE24" s="21"/>
      <c r="BF24" s="21"/>
      <c r="BG24" s="21"/>
      <c r="BH24" s="21"/>
      <c r="BI24" s="21"/>
      <c r="BJ24" s="21"/>
      <c r="BK24" s="21"/>
      <c r="BL24" s="21"/>
      <c r="BM24" s="21"/>
      <c r="BN24" s="21"/>
      <c r="BO24" s="21"/>
      <c r="BP24" s="21"/>
      <c r="BQ24" s="21"/>
      <c r="BR24" s="21"/>
      <c r="BS24" s="21"/>
      <c r="BT24" s="21"/>
      <c r="BU24" s="21"/>
      <c r="BV24" s="21"/>
      <c r="BW24" s="21"/>
      <c r="BX24" s="21"/>
      <c r="BY24" s="21"/>
      <c r="BZ24" s="21"/>
      <c r="CA24" s="21"/>
      <c r="CB24" s="21"/>
      <c r="CC24" s="21"/>
      <c r="CD24" s="21"/>
      <c r="CE24" s="21"/>
      <c r="CF24" s="21"/>
      <c r="CG24" s="21"/>
      <c r="CH24" s="21"/>
      <c r="CI24" s="21"/>
      <c r="CJ24" s="21"/>
      <c r="CK24" s="21"/>
      <c r="CL24" s="21"/>
      <c r="CM24" s="21"/>
      <c r="CN24" s="21"/>
      <c r="CO24" s="21"/>
      <c r="CP24" s="21"/>
      <c r="CQ24" s="21"/>
      <c r="CR24" s="21"/>
      <c r="CS24" s="21"/>
      <c r="CT24" s="21"/>
      <c r="CU24" s="21"/>
      <c r="CV24" s="21"/>
      <c r="CW24" s="21"/>
      <c r="CX24" s="21"/>
      <c r="CY24" s="21"/>
      <c r="CZ24" s="21"/>
      <c r="DA24" s="21"/>
      <c r="DB24" s="21"/>
      <c r="DC24" s="21"/>
      <c r="DD24" s="21"/>
      <c r="DE24" s="21"/>
      <c r="DF24" s="21"/>
      <c r="DG24" s="21"/>
      <c r="DH24" s="21"/>
      <c r="DI24" s="21"/>
      <c r="DJ24" s="21"/>
      <c r="DK24" s="21"/>
      <c r="DL24" s="21"/>
      <c r="DM24" s="21"/>
      <c r="DN24" s="21"/>
      <c r="DO24" s="21"/>
      <c r="DP24" s="21"/>
      <c r="DQ24" s="21"/>
      <c r="DR24" s="21"/>
      <c r="DS24" s="21"/>
      <c r="DT24" s="21"/>
      <c r="DU24" s="21"/>
    </row>
    <row r="25" spans="1:125" s="12" customFormat="1" ht="16.05" customHeight="1" x14ac:dyDescent="0.3">
      <c r="A25" s="21" t="s">
        <v>16</v>
      </c>
      <c r="B25" s="21" t="s">
        <v>47</v>
      </c>
      <c r="C25" s="21" t="s">
        <v>110</v>
      </c>
      <c r="D25" s="42">
        <f>D13*inputs!$E$11*inputs!$E$12*inputs!$E$15</f>
        <v>5124.6244772439895</v>
      </c>
      <c r="E25" s="21" t="str">
        <f t="shared" ca="1" si="0"/>
        <v>=D13*inputs!$E$11*inputs!$E$12*inputs!$E$15</v>
      </c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21"/>
      <c r="CS25" s="21"/>
      <c r="CT25" s="21"/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1"/>
      <c r="DQ25" s="21"/>
      <c r="DR25" s="21"/>
      <c r="DS25" s="21"/>
      <c r="DT25" s="21"/>
      <c r="DU25" s="21"/>
    </row>
    <row r="26" spans="1:125" s="12" customFormat="1" ht="16.05" customHeight="1" x14ac:dyDescent="0.3">
      <c r="A26" s="21" t="s">
        <v>16</v>
      </c>
      <c r="B26" s="21" t="s">
        <v>59</v>
      </c>
      <c r="C26" s="21" t="s">
        <v>61</v>
      </c>
      <c r="D26" s="42">
        <f>D2*inputs!E7*inputs!E9</f>
        <v>25911.976709165749</v>
      </c>
      <c r="E26" s="21" t="str">
        <f t="shared" ca="1" si="0"/>
        <v>=D2*inputs!E7*inputs!E9</v>
      </c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</row>
    <row r="27" spans="1:125" s="12" customFormat="1" ht="16.05" customHeight="1" x14ac:dyDescent="0.3">
      <c r="A27" s="21" t="s">
        <v>16</v>
      </c>
      <c r="B27" s="21" t="s">
        <v>59</v>
      </c>
      <c r="C27" s="21" t="s">
        <v>62</v>
      </c>
      <c r="D27" s="42">
        <f>D3*inputs!E11*inputs!E13</f>
        <v>25803.176724000004</v>
      </c>
      <c r="E27" s="21" t="str">
        <f t="shared" ca="1" si="0"/>
        <v>=D3*inputs!E11*inputs!E13</v>
      </c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21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21"/>
      <c r="DU27" s="21"/>
    </row>
    <row r="28" spans="1:125" s="12" customFormat="1" ht="16.05" customHeight="1" x14ac:dyDescent="0.3">
      <c r="A28" s="21" t="s">
        <v>16</v>
      </c>
      <c r="B28" s="21" t="s">
        <v>59</v>
      </c>
      <c r="C28" s="21" t="s">
        <v>111</v>
      </c>
      <c r="D28" s="42">
        <f>D4*inputs!$E$11*inputs!$E$13*inputs!$E$15</f>
        <v>1289.2557250146601</v>
      </c>
      <c r="E28" s="21" t="str">
        <f t="shared" ca="1" si="0"/>
        <v>=D4*inputs!$E$11*inputs!$E$13*inputs!$E$15</v>
      </c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1"/>
      <c r="BO28" s="21"/>
      <c r="BP28" s="21"/>
      <c r="BQ28" s="21"/>
      <c r="BR28" s="21"/>
      <c r="BS28" s="21"/>
      <c r="BT28" s="21"/>
      <c r="BU28" s="21"/>
      <c r="BV28" s="21"/>
      <c r="BW28" s="21"/>
      <c r="BX28" s="21"/>
      <c r="BY28" s="21"/>
      <c r="BZ28" s="21"/>
      <c r="CA28" s="21"/>
      <c r="CB28" s="21"/>
      <c r="CC28" s="21"/>
      <c r="CD28" s="21"/>
      <c r="CE28" s="21"/>
      <c r="CF28" s="21"/>
      <c r="CG28" s="21"/>
      <c r="CH28" s="21"/>
      <c r="CI28" s="21"/>
      <c r="CJ28" s="21"/>
      <c r="CK28" s="21"/>
      <c r="CL28" s="21"/>
      <c r="CM28" s="21"/>
      <c r="CN28" s="21"/>
      <c r="CO28" s="21"/>
      <c r="CP28" s="21"/>
      <c r="CQ28" s="21"/>
      <c r="CR28" s="21"/>
      <c r="CS28" s="21"/>
      <c r="CT28" s="21"/>
      <c r="CU28" s="21"/>
      <c r="CV28" s="21"/>
      <c r="CW28" s="21"/>
      <c r="CX28" s="21"/>
      <c r="CY28" s="21"/>
      <c r="CZ28" s="21"/>
      <c r="DA28" s="21"/>
      <c r="DB28" s="21"/>
      <c r="DC28" s="21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1"/>
      <c r="DQ28" s="21"/>
      <c r="DR28" s="21"/>
      <c r="DS28" s="21"/>
      <c r="DT28" s="21"/>
      <c r="DU28" s="21"/>
    </row>
    <row r="29" spans="1:125" s="12" customFormat="1" ht="16.05" customHeight="1" x14ac:dyDescent="0.3">
      <c r="A29" s="21" t="s">
        <v>16</v>
      </c>
      <c r="B29" s="21" t="s">
        <v>59</v>
      </c>
      <c r="C29" s="21" t="s">
        <v>112</v>
      </c>
      <c r="D29" s="42">
        <f>D5*inputs!$E$11*inputs!$E$13*inputs!$E$15</f>
        <v>1288.3532460071501</v>
      </c>
      <c r="E29" s="21" t="str">
        <f t="shared" ca="1" si="0"/>
        <v>=D5*inputs!$E$11*inputs!$E$13*inputs!$E$15</v>
      </c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</row>
    <row r="30" spans="1:125" s="12" customFormat="1" ht="16.05" customHeight="1" x14ac:dyDescent="0.3">
      <c r="A30" s="21" t="s">
        <v>16</v>
      </c>
      <c r="B30" s="21" t="s">
        <v>59</v>
      </c>
      <c r="C30" s="21" t="s">
        <v>113</v>
      </c>
      <c r="D30" s="42">
        <f>D6*inputs!$E$11*inputs!$E$13*inputs!$E$15</f>
        <v>1287.4513987349451</v>
      </c>
      <c r="E30" s="21" t="str">
        <f t="shared" ca="1" si="0"/>
        <v>=D6*inputs!$E$11*inputs!$E$13*inputs!$E$15</v>
      </c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1"/>
      <c r="BG30" s="21"/>
      <c r="BH30" s="21"/>
      <c r="BI30" s="21"/>
      <c r="BJ30" s="21"/>
      <c r="BK30" s="21"/>
      <c r="BL30" s="21"/>
      <c r="BM30" s="21"/>
      <c r="BN30" s="21"/>
      <c r="BO30" s="21"/>
      <c r="BP30" s="21"/>
      <c r="BQ30" s="21"/>
      <c r="BR30" s="21"/>
      <c r="BS30" s="21"/>
      <c r="BT30" s="21"/>
      <c r="BU30" s="21"/>
      <c r="BV30" s="21"/>
      <c r="BW30" s="21"/>
      <c r="BX30" s="21"/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I30" s="21"/>
      <c r="CJ30" s="21"/>
      <c r="CK30" s="21"/>
      <c r="CL30" s="21"/>
      <c r="CM30" s="21"/>
      <c r="CN30" s="21"/>
      <c r="CO30" s="21"/>
      <c r="CP30" s="21"/>
      <c r="CQ30" s="21"/>
      <c r="CR30" s="21"/>
      <c r="CS30" s="21"/>
      <c r="CT30" s="21"/>
      <c r="CU30" s="21"/>
      <c r="CV30" s="21"/>
      <c r="CW30" s="21"/>
      <c r="CX30" s="21"/>
      <c r="CY30" s="21"/>
      <c r="CZ30" s="21"/>
      <c r="DA30" s="21"/>
      <c r="DB30" s="21"/>
      <c r="DC30" s="21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1"/>
      <c r="DQ30" s="21"/>
      <c r="DR30" s="21"/>
      <c r="DS30" s="21"/>
      <c r="DT30" s="21"/>
      <c r="DU30" s="21"/>
    </row>
    <row r="31" spans="1:125" s="12" customFormat="1" ht="16.05" customHeight="1" x14ac:dyDescent="0.3">
      <c r="A31" s="21" t="s">
        <v>16</v>
      </c>
      <c r="B31" s="21" t="s">
        <v>59</v>
      </c>
      <c r="C31" s="21" t="s">
        <v>114</v>
      </c>
      <c r="D31" s="42">
        <f>D7*inputs!$E$11*inputs!$E$13*inputs!$E$15</f>
        <v>1286.5501827558307</v>
      </c>
      <c r="E31" s="21" t="str">
        <f t="shared" ca="1" si="0"/>
        <v>=D7*inputs!$E$11*inputs!$E$13*inputs!$E$15</v>
      </c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1"/>
      <c r="BO31" s="21"/>
      <c r="BP31" s="21"/>
      <c r="BQ31" s="21"/>
      <c r="BR31" s="21"/>
      <c r="BS31" s="21"/>
      <c r="BT31" s="21"/>
      <c r="BU31" s="21"/>
      <c r="BV31" s="21"/>
      <c r="BW31" s="21"/>
      <c r="BX31" s="21"/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I31" s="21"/>
      <c r="CJ31" s="21"/>
      <c r="CK31" s="21"/>
      <c r="CL31" s="21"/>
      <c r="CM31" s="21"/>
      <c r="CN31" s="21"/>
      <c r="CO31" s="21"/>
      <c r="CP31" s="21"/>
      <c r="CQ31" s="21"/>
      <c r="CR31" s="21"/>
      <c r="CS31" s="21"/>
      <c r="CT31" s="21"/>
      <c r="CU31" s="21"/>
      <c r="CV31" s="21"/>
      <c r="CW31" s="21"/>
      <c r="CX31" s="21"/>
      <c r="CY31" s="21"/>
      <c r="CZ31" s="21"/>
      <c r="DA31" s="21"/>
      <c r="DB31" s="21"/>
      <c r="DC31" s="21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1"/>
      <c r="DQ31" s="21"/>
      <c r="DR31" s="21"/>
      <c r="DS31" s="21"/>
      <c r="DT31" s="21"/>
      <c r="DU31" s="21"/>
    </row>
    <row r="32" spans="1:125" s="12" customFormat="1" ht="16.05" customHeight="1" x14ac:dyDescent="0.3">
      <c r="A32" s="21" t="s">
        <v>16</v>
      </c>
      <c r="B32" s="21" t="s">
        <v>59</v>
      </c>
      <c r="C32" s="21" t="s">
        <v>115</v>
      </c>
      <c r="D32" s="42">
        <f>D8*inputs!$E$11*inputs!$E$13*inputs!$E$15</f>
        <v>1285.6495976279018</v>
      </c>
      <c r="E32" s="21" t="str">
        <f t="shared" ca="1" si="0"/>
        <v>=D8*inputs!$E$11*inputs!$E$13*inputs!$E$15</v>
      </c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</row>
    <row r="33" spans="1:125" s="12" customFormat="1" ht="16.05" customHeight="1" x14ac:dyDescent="0.3">
      <c r="A33" s="21" t="s">
        <v>16</v>
      </c>
      <c r="B33" s="21" t="s">
        <v>59</v>
      </c>
      <c r="C33" s="21" t="s">
        <v>116</v>
      </c>
      <c r="D33" s="42">
        <f>D9*inputs!$E$11*inputs!$E$13*inputs!$E$15</f>
        <v>1284.7496429095622</v>
      </c>
      <c r="E33" s="21" t="str">
        <f t="shared" ca="1" si="0"/>
        <v>=D9*inputs!$E$11*inputs!$E$13*inputs!$E$15</v>
      </c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21"/>
      <c r="CS33" s="21"/>
      <c r="CT33" s="21"/>
      <c r="CU33" s="21"/>
      <c r="CV33" s="21"/>
      <c r="CW33" s="21"/>
      <c r="CX33" s="21"/>
      <c r="CY33" s="21"/>
      <c r="CZ33" s="21"/>
      <c r="DA33" s="21"/>
      <c r="DB33" s="21"/>
      <c r="DC33" s="21"/>
      <c r="DD33" s="21"/>
      <c r="DE33" s="21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1"/>
      <c r="DQ33" s="21"/>
      <c r="DR33" s="21"/>
      <c r="DS33" s="21"/>
      <c r="DT33" s="21"/>
      <c r="DU33" s="21"/>
    </row>
    <row r="34" spans="1:125" s="12" customFormat="1" ht="16.05" customHeight="1" x14ac:dyDescent="0.3">
      <c r="A34" s="21" t="s">
        <v>16</v>
      </c>
      <c r="B34" s="21" t="s">
        <v>59</v>
      </c>
      <c r="C34" s="21" t="s">
        <v>117</v>
      </c>
      <c r="D34" s="42">
        <f>D10*inputs!$E$11*inputs!$E$13*inputs!$E$15</f>
        <v>1283.8503181595254</v>
      </c>
      <c r="E34" s="21" t="str">
        <f t="shared" ca="1" si="0"/>
        <v>=D10*inputs!$E$11*inputs!$E$13*inputs!$E$15</v>
      </c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1"/>
      <c r="BG34" s="21"/>
      <c r="BH34" s="21"/>
      <c r="BI34" s="21"/>
      <c r="BJ34" s="21"/>
      <c r="BK34" s="21"/>
      <c r="BL34" s="21"/>
      <c r="BM34" s="21"/>
      <c r="BN34" s="21"/>
      <c r="BO34" s="21"/>
      <c r="BP34" s="21"/>
      <c r="BQ34" s="21"/>
      <c r="BR34" s="21"/>
      <c r="BS34" s="21"/>
      <c r="BT34" s="21"/>
      <c r="BU34" s="21"/>
      <c r="BV34" s="21"/>
      <c r="BW34" s="21"/>
      <c r="BX34" s="21"/>
      <c r="BY34" s="21"/>
      <c r="BZ34" s="21"/>
      <c r="CA34" s="21"/>
      <c r="CB34" s="21"/>
      <c r="CC34" s="21"/>
      <c r="CD34" s="21"/>
      <c r="CE34" s="21"/>
      <c r="CF34" s="21"/>
      <c r="CG34" s="21"/>
      <c r="CH34" s="21"/>
      <c r="CI34" s="21"/>
      <c r="CJ34" s="21"/>
      <c r="CK34" s="21"/>
      <c r="CL34" s="21"/>
      <c r="CM34" s="21"/>
      <c r="CN34" s="21"/>
      <c r="CO34" s="21"/>
      <c r="CP34" s="21"/>
      <c r="CQ34" s="21"/>
      <c r="CR34" s="21"/>
      <c r="CS34" s="21"/>
      <c r="CT34" s="21"/>
      <c r="CU34" s="21"/>
      <c r="CV34" s="21"/>
      <c r="CW34" s="21"/>
      <c r="CX34" s="21"/>
      <c r="CY34" s="21"/>
      <c r="CZ34" s="21"/>
      <c r="DA34" s="21"/>
      <c r="DB34" s="21"/>
      <c r="DC34" s="21"/>
      <c r="DD34" s="21"/>
      <c r="DE34" s="21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1"/>
      <c r="DQ34" s="21"/>
      <c r="DR34" s="21"/>
      <c r="DS34" s="21"/>
      <c r="DT34" s="21"/>
      <c r="DU34" s="21"/>
    </row>
    <row r="35" spans="1:125" s="12" customFormat="1" ht="16.05" customHeight="1" x14ac:dyDescent="0.3">
      <c r="A35" s="21" t="s">
        <v>16</v>
      </c>
      <c r="B35" s="21" t="s">
        <v>59</v>
      </c>
      <c r="C35" s="21" t="s">
        <v>118</v>
      </c>
      <c r="D35" s="42">
        <f>D11*inputs!$E$11*inputs!$E$13*inputs!$E$15</f>
        <v>1282.9516229368137</v>
      </c>
      <c r="E35" s="21" t="str">
        <f t="shared" ca="1" si="0"/>
        <v>=D11*inputs!$E$11*inputs!$E$13*inputs!$E$15</v>
      </c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</row>
    <row r="36" spans="1:125" s="12" customFormat="1" ht="16.05" customHeight="1" x14ac:dyDescent="0.3">
      <c r="A36" s="21" t="s">
        <v>16</v>
      </c>
      <c r="B36" s="21" t="s">
        <v>59</v>
      </c>
      <c r="C36" s="21" t="s">
        <v>119</v>
      </c>
      <c r="D36" s="42">
        <f>D12*inputs!$E$11*inputs!$E$13*inputs!$E$15</f>
        <v>1282.0535568007581</v>
      </c>
      <c r="E36" s="21" t="str">
        <f t="shared" ca="1" si="0"/>
        <v>=D12*inputs!$E$11*inputs!$E$13*inputs!$E$15</v>
      </c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21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21"/>
      <c r="DU36" s="21"/>
    </row>
    <row r="37" spans="1:125" s="12" customFormat="1" ht="16.05" customHeight="1" x14ac:dyDescent="0.3">
      <c r="A37" s="21" t="s">
        <v>16</v>
      </c>
      <c r="B37" s="21" t="s">
        <v>59</v>
      </c>
      <c r="C37" s="21" t="s">
        <v>120</v>
      </c>
      <c r="D37" s="42">
        <f>D13*inputs!$E$11*inputs!$E$13*inputs!$E$15</f>
        <v>1281.1561193109974</v>
      </c>
      <c r="E37" s="21" t="str">
        <f t="shared" ca="1" si="0"/>
        <v>=D13*inputs!$E$11*inputs!$E$13*inputs!$E$15</v>
      </c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1"/>
      <c r="BO37" s="21"/>
      <c r="BP37" s="21"/>
      <c r="BQ37" s="21"/>
      <c r="BR37" s="21"/>
      <c r="BS37" s="21"/>
      <c r="BT37" s="21"/>
      <c r="BU37" s="21"/>
      <c r="BV37" s="21"/>
      <c r="BW37" s="21"/>
      <c r="BX37" s="21"/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1"/>
      <c r="CK37" s="21"/>
      <c r="CL37" s="21"/>
      <c r="CM37" s="21"/>
      <c r="CN37" s="21"/>
      <c r="CO37" s="21"/>
      <c r="CP37" s="21"/>
      <c r="CQ37" s="21"/>
      <c r="CR37" s="21"/>
      <c r="CS37" s="21"/>
      <c r="CT37" s="21"/>
      <c r="CU37" s="21"/>
      <c r="CV37" s="21"/>
      <c r="CW37" s="21"/>
      <c r="CX37" s="21"/>
      <c r="CY37" s="21"/>
      <c r="CZ37" s="21"/>
      <c r="DA37" s="21"/>
      <c r="DB37" s="21"/>
      <c r="DC37" s="21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1"/>
      <c r="DQ37" s="21"/>
      <c r="DR37" s="21"/>
      <c r="DS37" s="21"/>
      <c r="DT37" s="21"/>
      <c r="DU37" s="21"/>
    </row>
    <row r="38" spans="1:125" s="12" customFormat="1" ht="16.05" customHeight="1" x14ac:dyDescent="0.3">
      <c r="A38" s="21" t="s">
        <v>16</v>
      </c>
      <c r="B38" s="21" t="s">
        <v>63</v>
      </c>
      <c r="C38" s="21" t="s">
        <v>64</v>
      </c>
      <c r="D38" s="42">
        <f>D2*inputs!E10</f>
        <v>22672.979620520029</v>
      </c>
      <c r="E38" s="21" t="str">
        <f t="shared" ca="1" si="0"/>
        <v>=D2*inputs!E10</v>
      </c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</row>
    <row r="39" spans="1:125" s="12" customFormat="1" ht="16.05" customHeight="1" x14ac:dyDescent="0.3">
      <c r="A39" s="21" t="s">
        <v>16</v>
      </c>
      <c r="B39" s="21" t="s">
        <v>63</v>
      </c>
      <c r="C39" s="21" t="s">
        <v>65</v>
      </c>
      <c r="D39" s="42">
        <f>D3*inputs!E14</f>
        <v>64507.941810000004</v>
      </c>
      <c r="E39" s="21" t="str">
        <f t="shared" ca="1" si="0"/>
        <v>=D3*inputs!E14</v>
      </c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  <c r="CR39" s="21"/>
      <c r="CS39" s="21"/>
      <c r="CT39" s="21"/>
      <c r="CU39" s="21"/>
      <c r="CV39" s="21"/>
      <c r="CW39" s="21"/>
      <c r="CX39" s="21"/>
      <c r="CY39" s="21"/>
      <c r="CZ39" s="21"/>
      <c r="DA39" s="21"/>
      <c r="DB39" s="21"/>
      <c r="DC39" s="21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1"/>
      <c r="DQ39" s="21"/>
      <c r="DR39" s="21"/>
      <c r="DS39" s="21"/>
      <c r="DT39" s="21"/>
      <c r="DU39" s="21"/>
    </row>
    <row r="40" spans="1:125" s="12" customFormat="1" ht="16.05" customHeight="1" x14ac:dyDescent="0.3">
      <c r="A40" s="21" t="s">
        <v>16</v>
      </c>
      <c r="B40" s="21" t="s">
        <v>63</v>
      </c>
      <c r="C40" s="21" t="s">
        <v>121</v>
      </c>
      <c r="D40" s="42">
        <f>D4*inputs!$E$14*inputs!$E$16</f>
        <v>3223.1393125366503</v>
      </c>
      <c r="E40" s="21" t="str">
        <f t="shared" ca="1" si="0"/>
        <v>=D4*inputs!$E$14*inputs!$E$16</v>
      </c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21"/>
      <c r="CS40" s="21"/>
      <c r="CT40" s="21"/>
      <c r="CU40" s="21"/>
      <c r="CV40" s="21"/>
      <c r="CW40" s="21"/>
      <c r="CX40" s="21"/>
      <c r="CY40" s="21"/>
      <c r="CZ40" s="21"/>
      <c r="DA40" s="21"/>
      <c r="DB40" s="21"/>
      <c r="DC40" s="21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1"/>
      <c r="DQ40" s="21"/>
      <c r="DR40" s="21"/>
      <c r="DS40" s="21"/>
      <c r="DT40" s="21"/>
      <c r="DU40" s="21"/>
    </row>
    <row r="41" spans="1:125" s="12" customFormat="1" ht="16.05" customHeight="1" x14ac:dyDescent="0.3">
      <c r="A41" s="21" t="s">
        <v>16</v>
      </c>
      <c r="B41" s="21" t="s">
        <v>63</v>
      </c>
      <c r="C41" s="21" t="s">
        <v>122</v>
      </c>
      <c r="D41" s="42">
        <f>D5*inputs!$E$14*inputs!$E$16</f>
        <v>3220.8831150178748</v>
      </c>
      <c r="E41" s="21" t="str">
        <f t="shared" ca="1" si="0"/>
        <v>=D5*inputs!$E$14*inputs!$E$16</v>
      </c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</row>
    <row r="42" spans="1:125" s="12" customFormat="1" ht="16.05" customHeight="1" x14ac:dyDescent="0.3">
      <c r="A42" s="21" t="s">
        <v>16</v>
      </c>
      <c r="B42" s="21" t="s">
        <v>63</v>
      </c>
      <c r="C42" s="21" t="s">
        <v>123</v>
      </c>
      <c r="D42" s="42">
        <f>D6*inputs!$E$14*inputs!$E$16</f>
        <v>3218.6284968373625</v>
      </c>
      <c r="E42" s="21" t="str">
        <f t="shared" ca="1" si="0"/>
        <v>=D6*inputs!$E$14*inputs!$E$16</v>
      </c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  <c r="AY42" s="21"/>
      <c r="AZ42" s="21"/>
      <c r="BA42" s="21"/>
      <c r="BB42" s="21"/>
      <c r="BC42" s="21"/>
      <c r="BD42" s="21"/>
      <c r="BE42" s="21"/>
      <c r="BF42" s="21"/>
      <c r="BG42" s="21"/>
      <c r="BH42" s="21"/>
      <c r="BI42" s="21"/>
      <c r="BJ42" s="21"/>
      <c r="BK42" s="21"/>
      <c r="BL42" s="21"/>
      <c r="BM42" s="21"/>
      <c r="BN42" s="21"/>
      <c r="BO42" s="21"/>
      <c r="BP42" s="21"/>
      <c r="BQ42" s="21"/>
      <c r="BR42" s="21"/>
      <c r="BS42" s="21"/>
      <c r="BT42" s="21"/>
      <c r="BU42" s="21"/>
      <c r="BV42" s="21"/>
      <c r="BW42" s="21"/>
      <c r="BX42" s="21"/>
      <c r="BY42" s="21"/>
      <c r="BZ42" s="21"/>
      <c r="CA42" s="21"/>
      <c r="CB42" s="21"/>
      <c r="CC42" s="21"/>
      <c r="CD42" s="21"/>
      <c r="CE42" s="21"/>
      <c r="CF42" s="21"/>
      <c r="CG42" s="21"/>
      <c r="CH42" s="21"/>
      <c r="CI42" s="21"/>
      <c r="CJ42" s="21"/>
      <c r="CK42" s="21"/>
      <c r="CL42" s="21"/>
      <c r="CM42" s="21"/>
      <c r="CN42" s="21"/>
      <c r="CO42" s="21"/>
      <c r="CP42" s="21"/>
      <c r="CQ42" s="21"/>
      <c r="CR42" s="21"/>
      <c r="CS42" s="21"/>
      <c r="CT42" s="21"/>
      <c r="CU42" s="21"/>
      <c r="CV42" s="21"/>
      <c r="CW42" s="21"/>
      <c r="CX42" s="21"/>
      <c r="CY42" s="21"/>
      <c r="CZ42" s="21"/>
      <c r="DA42" s="21"/>
      <c r="DB42" s="21"/>
      <c r="DC42" s="21"/>
      <c r="DD42" s="21"/>
      <c r="DE42" s="21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1"/>
      <c r="DQ42" s="21"/>
      <c r="DR42" s="21"/>
      <c r="DS42" s="21"/>
      <c r="DT42" s="21"/>
      <c r="DU42" s="21"/>
    </row>
    <row r="43" spans="1:125" s="12" customFormat="1" ht="16.05" customHeight="1" x14ac:dyDescent="0.3">
      <c r="A43" s="21" t="s">
        <v>16</v>
      </c>
      <c r="B43" s="21" t="s">
        <v>63</v>
      </c>
      <c r="C43" s="21" t="s">
        <v>124</v>
      </c>
      <c r="D43" s="42">
        <f>D7*inputs!$E$14*inputs!$E$16</f>
        <v>3216.3754568895765</v>
      </c>
      <c r="E43" s="21" t="str">
        <f t="shared" ca="1" si="0"/>
        <v>=D7*inputs!$E$14*inputs!$E$16</v>
      </c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1"/>
      <c r="CC43" s="21"/>
      <c r="CD43" s="21"/>
      <c r="CE43" s="21"/>
      <c r="CF43" s="21"/>
      <c r="CG43" s="21"/>
      <c r="CH43" s="21"/>
      <c r="CI43" s="21"/>
      <c r="CJ43" s="21"/>
      <c r="CK43" s="21"/>
      <c r="CL43" s="21"/>
      <c r="CM43" s="21"/>
      <c r="CN43" s="21"/>
      <c r="CO43" s="21"/>
      <c r="CP43" s="21"/>
      <c r="CQ43" s="21"/>
      <c r="CR43" s="21"/>
      <c r="CS43" s="21"/>
      <c r="CT43" s="21"/>
      <c r="CU43" s="21"/>
      <c r="CV43" s="21"/>
      <c r="CW43" s="21"/>
      <c r="CX43" s="21"/>
      <c r="CY43" s="21"/>
      <c r="CZ43" s="21"/>
      <c r="DA43" s="21"/>
      <c r="DB43" s="21"/>
      <c r="DC43" s="21"/>
      <c r="DD43" s="21"/>
      <c r="DE43" s="21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1"/>
      <c r="DQ43" s="21"/>
      <c r="DR43" s="21"/>
      <c r="DS43" s="21"/>
      <c r="DT43" s="21"/>
      <c r="DU43" s="21"/>
    </row>
    <row r="44" spans="1:125" s="12" customFormat="1" ht="16.05" customHeight="1" x14ac:dyDescent="0.3">
      <c r="A44" s="21" t="s">
        <v>16</v>
      </c>
      <c r="B44" s="21" t="s">
        <v>63</v>
      </c>
      <c r="C44" s="21" t="s">
        <v>125</v>
      </c>
      <c r="D44" s="42">
        <f>D8*inputs!$E$14*inputs!$E$16</f>
        <v>3214.1239940697542</v>
      </c>
      <c r="E44" s="21" t="str">
        <f t="shared" ca="1" si="0"/>
        <v>=D8*inputs!$E$14*inputs!$E$16</v>
      </c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</row>
    <row r="45" spans="1:125" s="12" customFormat="1" ht="16.05" customHeight="1" x14ac:dyDescent="0.3">
      <c r="A45" s="21" t="s">
        <v>16</v>
      </c>
      <c r="B45" s="21" t="s">
        <v>63</v>
      </c>
      <c r="C45" s="21" t="s">
        <v>126</v>
      </c>
      <c r="D45" s="42">
        <f>D9*inputs!$E$14*inputs!$E$16</f>
        <v>3211.8741072739053</v>
      </c>
      <c r="E45" s="21" t="str">
        <f t="shared" ca="1" si="0"/>
        <v>=D9*inputs!$E$14*inputs!$E$16</v>
      </c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1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21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21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21"/>
      <c r="DU45" s="21"/>
    </row>
    <row r="46" spans="1:125" s="12" customFormat="1" ht="16.05" customHeight="1" x14ac:dyDescent="0.3">
      <c r="A46" s="21" t="s">
        <v>16</v>
      </c>
      <c r="B46" s="21" t="s">
        <v>63</v>
      </c>
      <c r="C46" s="21" t="s">
        <v>127</v>
      </c>
      <c r="D46" s="42">
        <f>D10*inputs!$E$14*inputs!$E$16</f>
        <v>3209.6257953988134</v>
      </c>
      <c r="E46" s="21" t="str">
        <f t="shared" ca="1" si="0"/>
        <v>=D10*inputs!$E$14*inputs!$E$16</v>
      </c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21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21"/>
      <c r="DU46" s="21"/>
    </row>
    <row r="47" spans="1:125" s="12" customFormat="1" ht="16.05" customHeight="1" x14ac:dyDescent="0.3">
      <c r="A47" s="21" t="s">
        <v>16</v>
      </c>
      <c r="B47" s="21" t="s">
        <v>63</v>
      </c>
      <c r="C47" s="21" t="s">
        <v>128</v>
      </c>
      <c r="D47" s="42">
        <f>D11*inputs!$E$14*inputs!$E$16</f>
        <v>3207.3790573420342</v>
      </c>
      <c r="E47" s="21" t="str">
        <f t="shared" ca="1" si="0"/>
        <v>=D11*inputs!$E$14*inputs!$E$16</v>
      </c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</row>
    <row r="48" spans="1:125" s="12" customFormat="1" ht="16.05" customHeight="1" x14ac:dyDescent="0.3">
      <c r="A48" s="21" t="s">
        <v>16</v>
      </c>
      <c r="B48" s="21" t="s">
        <v>63</v>
      </c>
      <c r="C48" s="21" t="s">
        <v>129</v>
      </c>
      <c r="D48" s="42">
        <f>D12*inputs!$E$14*inputs!$E$16</f>
        <v>3205.1338920018948</v>
      </c>
      <c r="E48" s="21" t="str">
        <f t="shared" ca="1" si="0"/>
        <v>=D12*inputs!$E$14*inputs!$E$16</v>
      </c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  <c r="BE48" s="21"/>
      <c r="BF48" s="21"/>
      <c r="BG48" s="21"/>
      <c r="BH48" s="21"/>
      <c r="BI48" s="21"/>
      <c r="BJ48" s="21"/>
      <c r="BK48" s="21"/>
      <c r="BL48" s="21"/>
      <c r="BM48" s="21"/>
      <c r="BN48" s="21"/>
      <c r="BO48" s="21"/>
      <c r="BP48" s="21"/>
      <c r="BQ48" s="21"/>
      <c r="BR48" s="21"/>
      <c r="BS48" s="21"/>
      <c r="BT48" s="21"/>
      <c r="BU48" s="21"/>
      <c r="BV48" s="21"/>
      <c r="BW48" s="21"/>
      <c r="BX48" s="21"/>
      <c r="BY48" s="21"/>
      <c r="BZ48" s="21"/>
      <c r="CA48" s="21"/>
      <c r="CB48" s="21"/>
      <c r="CC48" s="21"/>
      <c r="CD48" s="21"/>
      <c r="CE48" s="21"/>
      <c r="CF48" s="21"/>
      <c r="CG48" s="21"/>
      <c r="CH48" s="21"/>
      <c r="CI48" s="21"/>
      <c r="CJ48" s="21"/>
      <c r="CK48" s="21"/>
      <c r="CL48" s="21"/>
      <c r="CM48" s="21"/>
      <c r="CN48" s="21"/>
      <c r="CO48" s="21"/>
      <c r="CP48" s="21"/>
      <c r="CQ48" s="21"/>
      <c r="CR48" s="21"/>
      <c r="CS48" s="21"/>
      <c r="CT48" s="21"/>
      <c r="CU48" s="21"/>
      <c r="CV48" s="21"/>
      <c r="CW48" s="21"/>
      <c r="CX48" s="21"/>
      <c r="CY48" s="21"/>
      <c r="CZ48" s="21"/>
      <c r="DA48" s="21"/>
      <c r="DB48" s="21"/>
      <c r="DC48" s="21"/>
      <c r="DD48" s="21"/>
      <c r="DE48" s="21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1"/>
      <c r="DQ48" s="21"/>
      <c r="DR48" s="21"/>
      <c r="DS48" s="21"/>
      <c r="DT48" s="21"/>
      <c r="DU48" s="21"/>
    </row>
    <row r="49" spans="1:125" s="12" customFormat="1" ht="16.05" customHeight="1" x14ac:dyDescent="0.3">
      <c r="A49" s="21" t="s">
        <v>16</v>
      </c>
      <c r="B49" s="21" t="s">
        <v>63</v>
      </c>
      <c r="C49" s="21" t="s">
        <v>130</v>
      </c>
      <c r="D49" s="42">
        <f>D13*inputs!$E$14*inputs!$E$16</f>
        <v>3202.8902982774935</v>
      </c>
      <c r="E49" s="21" t="str">
        <f t="shared" ca="1" si="0"/>
        <v>=D13*inputs!$E$14*inputs!$E$16</v>
      </c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21"/>
      <c r="CN49" s="21"/>
      <c r="CO49" s="21"/>
      <c r="CP49" s="21"/>
      <c r="CQ49" s="21"/>
      <c r="CR49" s="21"/>
      <c r="CS49" s="21"/>
      <c r="CT49" s="21"/>
      <c r="CU49" s="21"/>
      <c r="CV49" s="21"/>
      <c r="CW49" s="21"/>
      <c r="CX49" s="21"/>
      <c r="CY49" s="21"/>
      <c r="CZ49" s="21"/>
      <c r="DA49" s="21"/>
      <c r="DB49" s="21"/>
      <c r="DC49" s="21"/>
      <c r="DD49" s="21"/>
      <c r="DE49" s="21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1"/>
      <c r="DQ49" s="21"/>
      <c r="DR49" s="21"/>
      <c r="DS49" s="21"/>
      <c r="DT49" s="21"/>
      <c r="DU49" s="21"/>
    </row>
    <row r="50" spans="1:125" s="12" customFormat="1" ht="16.05" customHeight="1" x14ac:dyDescent="0.3">
      <c r="A50" s="21" t="s">
        <v>16</v>
      </c>
      <c r="B50" s="21" t="s">
        <v>107</v>
      </c>
      <c r="C50" s="21" t="s">
        <v>150</v>
      </c>
      <c r="D50" s="43">
        <f>inputs!E24*(D2+D3)/100000</f>
        <v>71.108335970602909</v>
      </c>
      <c r="E50" s="21" t="str">
        <f t="shared" ca="1" si="0"/>
        <v>=inputs!E24*(D2+D3)/100000</v>
      </c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</row>
    <row r="51" spans="1:125" s="12" customFormat="1" x14ac:dyDescent="0.3">
      <c r="A51" s="21" t="s">
        <v>16</v>
      </c>
      <c r="B51" s="21" t="s">
        <v>190</v>
      </c>
      <c r="C51" s="21" t="s">
        <v>66</v>
      </c>
      <c r="D51" s="42">
        <f>(D14*inputs!E17*inputs!E18)/(inputs!E31^0)</f>
        <v>10261.142776829636</v>
      </c>
      <c r="E51" s="21" t="str">
        <f t="shared" ca="1" si="0"/>
        <v>=(D14*inputs!E17*inputs!E18)/(inputs!E31^0)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21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21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21"/>
      <c r="DU51" s="21"/>
    </row>
    <row r="52" spans="1:125" s="12" customFormat="1" x14ac:dyDescent="0.3">
      <c r="A52" s="21" t="s">
        <v>16</v>
      </c>
      <c r="B52" s="21" t="s">
        <v>190</v>
      </c>
      <c r="C52" s="21" t="s">
        <v>67</v>
      </c>
      <c r="D52" s="42">
        <f>(D15*inputs!E17*inputs!E18)/(inputs!E31^1)</f>
        <v>9920.4446434019428</v>
      </c>
      <c r="E52" s="21" t="str">
        <f t="shared" ca="1" si="0"/>
        <v>=(D15*inputs!E17*inputs!E18)/(inputs!E31^1)</v>
      </c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21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21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21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21"/>
      <c r="DU52" s="21"/>
    </row>
    <row r="53" spans="1:125" s="12" customFormat="1" x14ac:dyDescent="0.3">
      <c r="A53" s="21" t="s">
        <v>16</v>
      </c>
      <c r="B53" s="21" t="s">
        <v>190</v>
      </c>
      <c r="C53" s="21" t="s">
        <v>151</v>
      </c>
      <c r="D53" s="42">
        <f>(D16*inputs!$E$18)/(inputs!$E$31^2)</f>
        <v>1924.9515208061284</v>
      </c>
      <c r="E53" s="21" t="str">
        <f t="shared" ca="1" si="0"/>
        <v>=(D16*inputs!$E$18)/(inputs!$E$31^2)</v>
      </c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</row>
    <row r="54" spans="1:125" s="12" customFormat="1" x14ac:dyDescent="0.3">
      <c r="A54" s="21" t="s">
        <v>16</v>
      </c>
      <c r="B54" s="21" t="s">
        <v>190</v>
      </c>
      <c r="C54" s="21" t="s">
        <v>152</v>
      </c>
      <c r="D54" s="42">
        <f>(D17*inputs!$E$18)/(inputs!$E$31^3)</f>
        <v>1867.5767521762762</v>
      </c>
      <c r="E54" s="21" t="str">
        <f t="shared" ca="1" si="0"/>
        <v>=(D17*inputs!$E$18)/(inputs!$E$31^3)</v>
      </c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1"/>
      <c r="BL54" s="21"/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1"/>
      <c r="CC54" s="21"/>
      <c r="CD54" s="21"/>
      <c r="CE54" s="21"/>
      <c r="CF54" s="21"/>
      <c r="CG54" s="21"/>
      <c r="CH54" s="21"/>
      <c r="CI54" s="21"/>
      <c r="CJ54" s="21"/>
      <c r="CK54" s="21"/>
      <c r="CL54" s="21"/>
      <c r="CM54" s="21"/>
      <c r="CN54" s="21"/>
      <c r="CO54" s="21"/>
      <c r="CP54" s="21"/>
      <c r="CQ54" s="21"/>
      <c r="CR54" s="21"/>
      <c r="CS54" s="21"/>
      <c r="CT54" s="21"/>
      <c r="CU54" s="21"/>
      <c r="CV54" s="21"/>
      <c r="CW54" s="21"/>
      <c r="CX54" s="21"/>
      <c r="CY54" s="21"/>
      <c r="CZ54" s="21"/>
      <c r="DA54" s="21"/>
      <c r="DB54" s="21"/>
      <c r="DC54" s="21"/>
      <c r="DD54" s="21"/>
      <c r="DE54" s="21"/>
      <c r="DF54" s="21"/>
      <c r="DG54" s="21"/>
      <c r="DH54" s="21"/>
      <c r="DI54" s="21"/>
      <c r="DJ54" s="21"/>
      <c r="DK54" s="21"/>
      <c r="DL54" s="21"/>
      <c r="DM54" s="21"/>
      <c r="DN54" s="21"/>
      <c r="DO54" s="21"/>
      <c r="DP54" s="21"/>
      <c r="DQ54" s="21"/>
      <c r="DR54" s="21"/>
      <c r="DS54" s="21"/>
      <c r="DT54" s="21"/>
      <c r="DU54" s="21"/>
    </row>
    <row r="55" spans="1:125" s="12" customFormat="1" x14ac:dyDescent="0.3">
      <c r="A55" s="21" t="s">
        <v>16</v>
      </c>
      <c r="B55" s="21" t="s">
        <v>190</v>
      </c>
      <c r="C55" s="21" t="s">
        <v>166</v>
      </c>
      <c r="D55" s="42">
        <f>(D18*inputs!$E$18)/(inputs!$E$31^4)</f>
        <v>1811.9120858735466</v>
      </c>
      <c r="E55" s="21" t="str">
        <f t="shared" ca="1" si="0"/>
        <v>=(D18*inputs!$E$18)/(inputs!$E$31^4)</v>
      </c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1"/>
      <c r="BL55" s="21"/>
      <c r="BM55" s="21"/>
      <c r="BN55" s="21"/>
      <c r="BO55" s="21"/>
      <c r="BP55" s="21"/>
      <c r="BQ55" s="21"/>
      <c r="BR55" s="21"/>
      <c r="BS55" s="21"/>
      <c r="BT55" s="21"/>
      <c r="BU55" s="21"/>
      <c r="BV55" s="21"/>
      <c r="BW55" s="21"/>
      <c r="BX55" s="21"/>
      <c r="BY55" s="21"/>
      <c r="BZ55" s="21"/>
      <c r="CA55" s="21"/>
      <c r="CB55" s="21"/>
      <c r="CC55" s="21"/>
      <c r="CD55" s="21"/>
      <c r="CE55" s="21"/>
      <c r="CF55" s="21"/>
      <c r="CG55" s="21"/>
      <c r="CH55" s="21"/>
      <c r="CI55" s="21"/>
      <c r="CJ55" s="21"/>
      <c r="CK55" s="21"/>
      <c r="CL55" s="21"/>
      <c r="CM55" s="21"/>
      <c r="CN55" s="21"/>
      <c r="CO55" s="21"/>
      <c r="CP55" s="21"/>
      <c r="CQ55" s="21"/>
      <c r="CR55" s="21"/>
      <c r="CS55" s="21"/>
      <c r="CT55" s="21"/>
      <c r="CU55" s="21"/>
      <c r="CV55" s="21"/>
      <c r="CW55" s="21"/>
      <c r="CX55" s="21"/>
      <c r="CY55" s="21"/>
      <c r="CZ55" s="21"/>
      <c r="DA55" s="21"/>
      <c r="DB55" s="21"/>
      <c r="DC55" s="21"/>
      <c r="DD55" s="21"/>
      <c r="DE55" s="21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1"/>
      <c r="DQ55" s="21"/>
      <c r="DR55" s="21"/>
      <c r="DS55" s="21"/>
      <c r="DT55" s="21"/>
      <c r="DU55" s="21"/>
    </row>
    <row r="56" spans="1:125" s="12" customFormat="1" x14ac:dyDescent="0.3">
      <c r="A56" s="21" t="s">
        <v>16</v>
      </c>
      <c r="B56" s="21" t="s">
        <v>190</v>
      </c>
      <c r="C56" s="21" t="s">
        <v>167</v>
      </c>
      <c r="D56" s="42">
        <f>(D19*inputs!$E$18)/(inputs!$E$31^5)</f>
        <v>1757.9065508868307</v>
      </c>
      <c r="E56" s="21" t="str">
        <f t="shared" ca="1" si="0"/>
        <v>=(D19*inputs!$E$18)/(inputs!$E$31^5)</v>
      </c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</row>
    <row r="57" spans="1:125" s="12" customFormat="1" x14ac:dyDescent="0.3">
      <c r="A57" s="21" t="s">
        <v>16</v>
      </c>
      <c r="B57" s="21" t="s">
        <v>190</v>
      </c>
      <c r="C57" s="21" t="s">
        <v>168</v>
      </c>
      <c r="D57" s="42">
        <f>(D20*inputs!$E$18)/(inputs!$E$31^6)</f>
        <v>1705.5106954380678</v>
      </c>
      <c r="E57" s="21" t="str">
        <f t="shared" ca="1" si="0"/>
        <v>=(D20*inputs!$E$18)/(inputs!$E$31^6)</v>
      </c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1"/>
      <c r="CC57" s="21"/>
      <c r="CD57" s="21"/>
      <c r="CE57" s="21"/>
      <c r="CF57" s="21"/>
      <c r="CG57" s="21"/>
      <c r="CH57" s="21"/>
      <c r="CI57" s="21"/>
      <c r="CJ57" s="21"/>
      <c r="CK57" s="21"/>
      <c r="CL57" s="21"/>
      <c r="CM57" s="21"/>
      <c r="CN57" s="21"/>
      <c r="CO57" s="21"/>
      <c r="CP57" s="21"/>
      <c r="CQ57" s="21"/>
      <c r="CR57" s="21"/>
      <c r="CS57" s="21"/>
      <c r="CT57" s="21"/>
      <c r="CU57" s="21"/>
      <c r="CV57" s="21"/>
      <c r="CW57" s="21"/>
      <c r="CX57" s="21"/>
      <c r="CY57" s="21"/>
      <c r="CZ57" s="21"/>
      <c r="DA57" s="21"/>
      <c r="DB57" s="21"/>
      <c r="DC57" s="21"/>
      <c r="DD57" s="21"/>
      <c r="DE57" s="21"/>
      <c r="DF57" s="21"/>
      <c r="DG57" s="21"/>
      <c r="DH57" s="21"/>
      <c r="DI57" s="21"/>
      <c r="DJ57" s="21"/>
      <c r="DK57" s="21"/>
      <c r="DL57" s="21"/>
      <c r="DM57" s="21"/>
      <c r="DN57" s="21"/>
      <c r="DO57" s="21"/>
      <c r="DP57" s="21"/>
      <c r="DQ57" s="21"/>
      <c r="DR57" s="21"/>
      <c r="DS57" s="21"/>
      <c r="DT57" s="21"/>
      <c r="DU57" s="21"/>
    </row>
    <row r="58" spans="1:125" s="12" customFormat="1" x14ac:dyDescent="0.3">
      <c r="A58" s="21" t="s">
        <v>16</v>
      </c>
      <c r="B58" s="21" t="s">
        <v>190</v>
      </c>
      <c r="C58" s="21" t="s">
        <v>169</v>
      </c>
      <c r="D58" s="42">
        <f>(D21*inputs!$E$18)/(inputs!$E$31^7)</f>
        <v>1654.6765417002532</v>
      </c>
      <c r="E58" s="21" t="str">
        <f t="shared" ca="1" si="0"/>
        <v>=(D21*inputs!$E$18)/(inputs!$E$31^7)</v>
      </c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  <c r="BL58" s="21"/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1"/>
      <c r="CC58" s="21"/>
      <c r="CD58" s="21"/>
      <c r="CE58" s="21"/>
      <c r="CF58" s="21"/>
      <c r="CG58" s="21"/>
      <c r="CH58" s="21"/>
      <c r="CI58" s="21"/>
      <c r="CJ58" s="21"/>
      <c r="CK58" s="21"/>
      <c r="CL58" s="21"/>
      <c r="CM58" s="21"/>
      <c r="CN58" s="21"/>
      <c r="CO58" s="21"/>
      <c r="CP58" s="21"/>
      <c r="CQ58" s="21"/>
      <c r="CR58" s="21"/>
      <c r="CS58" s="21"/>
      <c r="CT58" s="21"/>
      <c r="CU58" s="21"/>
      <c r="CV58" s="21"/>
      <c r="CW58" s="21"/>
      <c r="CX58" s="21"/>
      <c r="CY58" s="21"/>
      <c r="CZ58" s="21"/>
      <c r="DA58" s="21"/>
      <c r="DB58" s="21"/>
      <c r="DC58" s="21"/>
      <c r="DD58" s="21"/>
      <c r="DE58" s="21"/>
      <c r="DF58" s="21"/>
      <c r="DG58" s="21"/>
      <c r="DH58" s="21"/>
      <c r="DI58" s="21"/>
      <c r="DJ58" s="21"/>
      <c r="DK58" s="21"/>
      <c r="DL58" s="21"/>
      <c r="DM58" s="21"/>
      <c r="DN58" s="21"/>
      <c r="DO58" s="21"/>
      <c r="DP58" s="21"/>
      <c r="DQ58" s="21"/>
      <c r="DR58" s="21"/>
      <c r="DS58" s="21"/>
      <c r="DT58" s="21"/>
      <c r="DU58" s="21"/>
    </row>
    <row r="59" spans="1:125" s="12" customFormat="1" x14ac:dyDescent="0.3">
      <c r="A59" s="21" t="s">
        <v>16</v>
      </c>
      <c r="B59" s="21" t="s">
        <v>190</v>
      </c>
      <c r="C59" s="21" t="s">
        <v>170</v>
      </c>
      <c r="D59" s="42">
        <f>(D22*inputs!$E$18)/(inputs!$E$31^8)</f>
        <v>1605.3575418651099</v>
      </c>
      <c r="E59" s="21" t="str">
        <f t="shared" ca="1" si="0"/>
        <v>=(D22*inputs!$E$18)/(inputs!$E$31^8)</v>
      </c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</row>
    <row r="60" spans="1:125" s="12" customFormat="1" x14ac:dyDescent="0.3">
      <c r="A60" s="21" t="s">
        <v>16</v>
      </c>
      <c r="B60" s="21" t="s">
        <v>190</v>
      </c>
      <c r="C60" s="21" t="s">
        <v>171</v>
      </c>
      <c r="D60" s="42">
        <f>(D23*inputs!$E$18)/(inputs!$E$31^9)</f>
        <v>1557.5085355201984</v>
      </c>
      <c r="E60" s="21" t="str">
        <f t="shared" ca="1" si="0"/>
        <v>=(D23*inputs!$E$18)/(inputs!$E$31^9)</v>
      </c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1"/>
      <c r="CC60" s="21"/>
      <c r="CD60" s="21"/>
      <c r="CE60" s="21"/>
      <c r="CF60" s="21"/>
      <c r="CG60" s="21"/>
      <c r="CH60" s="21"/>
      <c r="CI60" s="21"/>
      <c r="CJ60" s="21"/>
      <c r="CK60" s="21"/>
      <c r="CL60" s="21"/>
      <c r="CM60" s="21"/>
      <c r="CN60" s="21"/>
      <c r="CO60" s="21"/>
      <c r="CP60" s="21"/>
      <c r="CQ60" s="21"/>
      <c r="CR60" s="21"/>
      <c r="CS60" s="21"/>
      <c r="CT60" s="21"/>
      <c r="CU60" s="21"/>
      <c r="CV60" s="21"/>
      <c r="CW60" s="21"/>
      <c r="CX60" s="21"/>
      <c r="CY60" s="21"/>
      <c r="CZ60" s="21"/>
      <c r="DA60" s="21"/>
      <c r="DB60" s="21"/>
      <c r="DC60" s="21"/>
      <c r="DD60" s="21"/>
      <c r="DE60" s="21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1"/>
      <c r="DQ60" s="21"/>
      <c r="DR60" s="21"/>
      <c r="DS60" s="21"/>
      <c r="DT60" s="21"/>
      <c r="DU60" s="21"/>
    </row>
    <row r="61" spans="1:125" s="12" customFormat="1" x14ac:dyDescent="0.3">
      <c r="A61" s="21" t="s">
        <v>16</v>
      </c>
      <c r="B61" s="21" t="s">
        <v>190</v>
      </c>
      <c r="C61" s="21" t="s">
        <v>172</v>
      </c>
      <c r="D61" s="42">
        <f>(D24*inputs!$E$18)/(inputs!$E$31^10)</f>
        <v>1511.085708296441</v>
      </c>
      <c r="E61" s="21" t="str">
        <f t="shared" ca="1" si="0"/>
        <v>=(D24*inputs!$E$18)/(inputs!$E$31^10)</v>
      </c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1"/>
      <c r="CC61" s="21"/>
      <c r="CD61" s="21"/>
      <c r="CE61" s="21"/>
      <c r="CF61" s="21"/>
      <c r="CG61" s="21"/>
      <c r="CH61" s="21"/>
      <c r="CI61" s="21"/>
      <c r="CJ61" s="21"/>
      <c r="CK61" s="21"/>
      <c r="CL61" s="21"/>
      <c r="CM61" s="21"/>
      <c r="CN61" s="21"/>
      <c r="CO61" s="21"/>
      <c r="CP61" s="21"/>
      <c r="CQ61" s="21"/>
      <c r="CR61" s="21"/>
      <c r="CS61" s="21"/>
      <c r="CT61" s="21"/>
      <c r="CU61" s="21"/>
      <c r="CV61" s="21"/>
      <c r="CW61" s="21"/>
      <c r="CX61" s="21"/>
      <c r="CY61" s="21"/>
      <c r="CZ61" s="21"/>
      <c r="DA61" s="21"/>
      <c r="DB61" s="21"/>
      <c r="DC61" s="21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1"/>
      <c r="DQ61" s="21"/>
      <c r="DR61" s="21"/>
      <c r="DS61" s="21"/>
      <c r="DT61" s="21"/>
      <c r="DU61" s="21"/>
    </row>
    <row r="62" spans="1:125" s="12" customFormat="1" x14ac:dyDescent="0.3">
      <c r="A62" s="21" t="s">
        <v>16</v>
      </c>
      <c r="B62" s="21" t="s">
        <v>190</v>
      </c>
      <c r="C62" s="21" t="s">
        <v>173</v>
      </c>
      <c r="D62" s="42">
        <f>(D25*inputs!$E$18)/(inputs!$E$31^11)</f>
        <v>1466.0465517481878</v>
      </c>
      <c r="E62" s="21" t="str">
        <f t="shared" ca="1" si="0"/>
        <v>=(D25*inputs!$E$18)/(inputs!$E$31^11)</v>
      </c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</row>
    <row r="63" spans="1:125" s="12" customFormat="1" x14ac:dyDescent="0.3">
      <c r="A63" s="21" t="s">
        <v>16</v>
      </c>
      <c r="B63" s="21" t="s">
        <v>190</v>
      </c>
      <c r="C63" s="21" t="s">
        <v>71</v>
      </c>
      <c r="D63" s="42">
        <f>D26*inputs!E17*inputs!E19</f>
        <v>4262.5201686577657</v>
      </c>
      <c r="E63" s="21" t="str">
        <f t="shared" ca="1" si="0"/>
        <v>=D26*inputs!E17*inputs!E19</v>
      </c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21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21"/>
      <c r="DU63" s="21"/>
    </row>
    <row r="64" spans="1:125" s="12" customFormat="1" x14ac:dyDescent="0.3">
      <c r="A64" s="21" t="s">
        <v>16</v>
      </c>
      <c r="B64" s="21" t="s">
        <v>190</v>
      </c>
      <c r="C64" s="21" t="s">
        <v>69</v>
      </c>
      <c r="D64" s="42">
        <f>(D27*inputs!E17*inputs!E19)/(inputs!E31^1)</f>
        <v>4120.9927874737868</v>
      </c>
      <c r="E64" s="21" t="str">
        <f t="shared" ca="1" si="0"/>
        <v>=(D27*inputs!E17*inputs!E19)/(inputs!E31^1)</v>
      </c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21"/>
      <c r="CS64" s="21"/>
      <c r="CT64" s="21"/>
      <c r="CU64" s="21"/>
      <c r="CV64" s="21"/>
      <c r="CW64" s="21"/>
      <c r="CX64" s="21"/>
      <c r="CY64" s="21"/>
      <c r="CZ64" s="21"/>
      <c r="DA64" s="21"/>
      <c r="DB64" s="21"/>
      <c r="DC64" s="21"/>
      <c r="DD64" s="21"/>
      <c r="DE64" s="21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1"/>
      <c r="DQ64" s="21"/>
      <c r="DR64" s="21"/>
      <c r="DS64" s="21"/>
      <c r="DT64" s="21"/>
      <c r="DU64" s="21"/>
    </row>
    <row r="65" spans="1:125" s="12" customFormat="1" x14ac:dyDescent="0.3">
      <c r="A65" s="21" t="s">
        <v>16</v>
      </c>
      <c r="B65" s="21" t="s">
        <v>190</v>
      </c>
      <c r="C65" s="21" t="s">
        <v>70</v>
      </c>
      <c r="D65" s="42">
        <f>(D28*inputs!$E$19)/(inputs!$E$31^2)</f>
        <v>799.63263932476809</v>
      </c>
      <c r="E65" s="21" t="str">
        <f t="shared" ca="1" si="0"/>
        <v>=(D28*inputs!$E$19)/(inputs!$E$31^2)</v>
      </c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</row>
    <row r="66" spans="1:125" s="12" customFormat="1" x14ac:dyDescent="0.3">
      <c r="A66" s="21" t="s">
        <v>16</v>
      </c>
      <c r="B66" s="21" t="s">
        <v>190</v>
      </c>
      <c r="C66" s="21" t="s">
        <v>164</v>
      </c>
      <c r="D66" s="42">
        <f>(D29*inputs!$E$19)/(inputs!$E$31^3)</f>
        <v>775.79892861868041</v>
      </c>
      <c r="E66" s="21" t="str">
        <f t="shared" ca="1" si="0"/>
        <v>=(D29*inputs!$E$19)/(inputs!$E$31^3)</v>
      </c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  <c r="BX66" s="21"/>
      <c r="BY66" s="21"/>
      <c r="BZ66" s="21"/>
      <c r="CA66" s="21"/>
      <c r="CB66" s="21"/>
      <c r="CC66" s="21"/>
      <c r="CD66" s="21"/>
      <c r="CE66" s="21"/>
      <c r="CF66" s="21"/>
      <c r="CG66" s="21"/>
      <c r="CH66" s="21"/>
      <c r="CI66" s="21"/>
      <c r="CJ66" s="21"/>
      <c r="CK66" s="21"/>
      <c r="CL66" s="21"/>
      <c r="CM66" s="21"/>
      <c r="CN66" s="21"/>
      <c r="CO66" s="21"/>
      <c r="CP66" s="21"/>
      <c r="CQ66" s="21"/>
      <c r="CR66" s="21"/>
      <c r="CS66" s="21"/>
      <c r="CT66" s="21"/>
      <c r="CU66" s="21"/>
      <c r="CV66" s="21"/>
      <c r="CW66" s="21"/>
      <c r="CX66" s="21"/>
      <c r="CY66" s="21"/>
      <c r="CZ66" s="21"/>
      <c r="DA66" s="21"/>
      <c r="DB66" s="21"/>
      <c r="DC66" s="21"/>
      <c r="DD66" s="21"/>
      <c r="DE66" s="21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1"/>
      <c r="DQ66" s="21"/>
      <c r="DR66" s="21"/>
      <c r="DS66" s="21"/>
      <c r="DT66" s="21"/>
      <c r="DU66" s="21"/>
    </row>
    <row r="67" spans="1:125" s="12" customFormat="1" x14ac:dyDescent="0.3">
      <c r="A67" s="21" t="s">
        <v>16</v>
      </c>
      <c r="B67" s="21" t="s">
        <v>190</v>
      </c>
      <c r="C67" s="21" t="s">
        <v>165</v>
      </c>
      <c r="D67" s="42">
        <f>(D30*inputs!$E$19)/(inputs!$E$31^4)</f>
        <v>752.67560132878384</v>
      </c>
      <c r="E67" s="21" t="str">
        <f t="shared" ref="E67:E131" ca="1" si="1">_xlfn.FORMULATEXT(D67)</f>
        <v>=(D30*inputs!$E$19)/(inputs!$E$31^4)</v>
      </c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  <c r="BQ67" s="21"/>
      <c r="BR67" s="21"/>
      <c r="BS67" s="21"/>
      <c r="BT67" s="21"/>
      <c r="BU67" s="21"/>
      <c r="BV67" s="21"/>
      <c r="BW67" s="21"/>
      <c r="BX67" s="21"/>
      <c r="BY67" s="21"/>
      <c r="BZ67" s="21"/>
      <c r="CA67" s="21"/>
      <c r="CB67" s="21"/>
      <c r="CC67" s="21"/>
      <c r="CD67" s="21"/>
      <c r="CE67" s="21"/>
      <c r="CF67" s="21"/>
      <c r="CG67" s="21"/>
      <c r="CH67" s="21"/>
      <c r="CI67" s="21"/>
      <c r="CJ67" s="21"/>
      <c r="CK67" s="21"/>
      <c r="CL67" s="21"/>
      <c r="CM67" s="21"/>
      <c r="CN67" s="21"/>
      <c r="CO67" s="21"/>
      <c r="CP67" s="21"/>
      <c r="CQ67" s="21"/>
      <c r="CR67" s="21"/>
      <c r="CS67" s="21"/>
      <c r="CT67" s="21"/>
      <c r="CU67" s="21"/>
      <c r="CV67" s="21"/>
      <c r="CW67" s="21"/>
      <c r="CX67" s="21"/>
      <c r="CY67" s="21"/>
      <c r="CZ67" s="21"/>
      <c r="DA67" s="21"/>
      <c r="DB67" s="21"/>
      <c r="DC67" s="21"/>
      <c r="DD67" s="21"/>
      <c r="DE67" s="21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1"/>
      <c r="DQ67" s="21"/>
      <c r="DR67" s="21"/>
      <c r="DS67" s="21"/>
      <c r="DT67" s="21"/>
      <c r="DU67" s="21"/>
    </row>
    <row r="68" spans="1:125" s="12" customFormat="1" x14ac:dyDescent="0.3">
      <c r="A68" s="21" t="s">
        <v>16</v>
      </c>
      <c r="B68" s="21" t="s">
        <v>190</v>
      </c>
      <c r="C68" s="21" t="s">
        <v>174</v>
      </c>
      <c r="D68" s="42">
        <f>(D31*inputs!$E$19)/(inputs!$E$31^5)</f>
        <v>730.24148389112031</v>
      </c>
      <c r="E68" s="21" t="str">
        <f t="shared" ca="1" si="1"/>
        <v>=(D31*inputs!$E$19)/(inputs!$E$31^5)</v>
      </c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</row>
    <row r="69" spans="1:125" s="12" customFormat="1" x14ac:dyDescent="0.3">
      <c r="A69" s="21" t="s">
        <v>16</v>
      </c>
      <c r="B69" s="21" t="s">
        <v>190</v>
      </c>
      <c r="C69" s="21" t="s">
        <v>175</v>
      </c>
      <c r="D69" s="42">
        <f>(D32*inputs!$E$19)/(inputs!$E$31^6)</f>
        <v>708.47603383727812</v>
      </c>
      <c r="E69" s="21" t="str">
        <f t="shared" ca="1" si="1"/>
        <v>=(D32*inputs!$E$19)/(inputs!$E$31^6)</v>
      </c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  <c r="BO69" s="21"/>
      <c r="BP69" s="21"/>
      <c r="BQ69" s="21"/>
      <c r="BR69" s="21"/>
      <c r="BS69" s="21"/>
      <c r="BT69" s="21"/>
      <c r="BU69" s="21"/>
      <c r="BV69" s="21"/>
      <c r="BW69" s="21"/>
      <c r="BX69" s="21"/>
      <c r="BY69" s="21"/>
      <c r="BZ69" s="21"/>
      <c r="CA69" s="21"/>
      <c r="CB69" s="21"/>
      <c r="CC69" s="21"/>
      <c r="CD69" s="21"/>
      <c r="CE69" s="21"/>
      <c r="CF69" s="21"/>
      <c r="CG69" s="21"/>
      <c r="CH69" s="21"/>
      <c r="CI69" s="21"/>
      <c r="CJ69" s="21"/>
      <c r="CK69" s="21"/>
      <c r="CL69" s="21"/>
      <c r="CM69" s="21"/>
      <c r="CN69" s="21"/>
      <c r="CO69" s="21"/>
      <c r="CP69" s="21"/>
      <c r="CQ69" s="21"/>
      <c r="CR69" s="21"/>
      <c r="CS69" s="21"/>
      <c r="CT69" s="21"/>
      <c r="CU69" s="21"/>
      <c r="CV69" s="21"/>
      <c r="CW69" s="21"/>
      <c r="CX69" s="21"/>
      <c r="CY69" s="21"/>
      <c r="CZ69" s="21"/>
      <c r="DA69" s="21"/>
      <c r="DB69" s="21"/>
      <c r="DC69" s="21"/>
      <c r="DD69" s="21"/>
      <c r="DE69" s="21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1"/>
      <c r="DQ69" s="21"/>
      <c r="DR69" s="21"/>
      <c r="DS69" s="21"/>
      <c r="DT69" s="21"/>
      <c r="DU69" s="21"/>
    </row>
    <row r="70" spans="1:125" s="12" customFormat="1" x14ac:dyDescent="0.3">
      <c r="A70" s="21" t="s">
        <v>16</v>
      </c>
      <c r="B70" s="21" t="s">
        <v>190</v>
      </c>
      <c r="C70" s="21" t="s">
        <v>176</v>
      </c>
      <c r="D70" s="42">
        <f>(D33*inputs!$E$19)/(inputs!$E$31^7)</f>
        <v>687.35932098406988</v>
      </c>
      <c r="E70" s="21" t="str">
        <f t="shared" ca="1" si="1"/>
        <v>=(D33*inputs!$E$19)/(inputs!$E$31^7)</v>
      </c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21"/>
      <c r="CS70" s="21"/>
      <c r="CT70" s="21"/>
      <c r="CU70" s="21"/>
      <c r="CV70" s="21"/>
      <c r="CW70" s="21"/>
      <c r="CX70" s="21"/>
      <c r="CY70" s="21"/>
      <c r="CZ70" s="21"/>
      <c r="DA70" s="21"/>
      <c r="DB70" s="21"/>
      <c r="DC70" s="21"/>
      <c r="DD70" s="21"/>
      <c r="DE70" s="21"/>
      <c r="DF70" s="21"/>
      <c r="DG70" s="21"/>
      <c r="DH70" s="21"/>
      <c r="DI70" s="21"/>
      <c r="DJ70" s="21"/>
      <c r="DK70" s="21"/>
      <c r="DL70" s="21"/>
      <c r="DM70" s="21"/>
      <c r="DN70" s="21"/>
      <c r="DO70" s="21"/>
      <c r="DP70" s="21"/>
      <c r="DQ70" s="21"/>
      <c r="DR70" s="21"/>
      <c r="DS70" s="21"/>
      <c r="DT70" s="21"/>
      <c r="DU70" s="21"/>
    </row>
    <row r="71" spans="1:125" s="12" customFormat="1" x14ac:dyDescent="0.3">
      <c r="A71" s="21" t="s">
        <v>16</v>
      </c>
      <c r="B71" s="21" t="s">
        <v>190</v>
      </c>
      <c r="C71" s="21" t="s">
        <v>177</v>
      </c>
      <c r="D71" s="42">
        <f>(D34*inputs!$E$19)/(inputs!$E$31^8)</f>
        <v>666.87200918386509</v>
      </c>
      <c r="E71" s="21" t="str">
        <f t="shared" ca="1" si="1"/>
        <v>=(D34*inputs!$E$19)/(inputs!$E$31^8)</v>
      </c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</row>
    <row r="72" spans="1:125" s="12" customFormat="1" x14ac:dyDescent="0.3">
      <c r="A72" s="21" t="s">
        <v>16</v>
      </c>
      <c r="B72" s="21" t="s">
        <v>190</v>
      </c>
      <c r="C72" s="21" t="s">
        <v>178</v>
      </c>
      <c r="D72" s="42">
        <f>(D35*inputs!$E$19)/(inputs!$E$31^9)</f>
        <v>646.99533861887028</v>
      </c>
      <c r="E72" s="21" t="str">
        <f t="shared" ca="1" si="1"/>
        <v>=(D35*inputs!$E$19)/(inputs!$E$31^9)</v>
      </c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1"/>
      <c r="CC72" s="21"/>
      <c r="CD72" s="21"/>
      <c r="CE72" s="21"/>
      <c r="CF72" s="21"/>
      <c r="CG72" s="21"/>
      <c r="CH72" s="21"/>
      <c r="CI72" s="21"/>
      <c r="CJ72" s="21"/>
      <c r="CK72" s="21"/>
      <c r="CL72" s="21"/>
      <c r="CM72" s="21"/>
      <c r="CN72" s="21"/>
      <c r="CO72" s="21"/>
      <c r="CP72" s="21"/>
      <c r="CQ72" s="21"/>
      <c r="CR72" s="21"/>
      <c r="CS72" s="21"/>
      <c r="CT72" s="21"/>
      <c r="CU72" s="21"/>
      <c r="CV72" s="21"/>
      <c r="CW72" s="21"/>
      <c r="CX72" s="21"/>
      <c r="CY72" s="21"/>
      <c r="CZ72" s="21"/>
      <c r="DA72" s="21"/>
      <c r="DB72" s="21"/>
      <c r="DC72" s="21"/>
      <c r="DD72" s="21"/>
      <c r="DE72" s="21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1"/>
      <c r="DQ72" s="21"/>
      <c r="DR72" s="21"/>
      <c r="DS72" s="21"/>
      <c r="DT72" s="21"/>
      <c r="DU72" s="21"/>
    </row>
    <row r="73" spans="1:125" s="12" customFormat="1" x14ac:dyDescent="0.3">
      <c r="A73" s="21" t="s">
        <v>16</v>
      </c>
      <c r="B73" s="21" t="s">
        <v>190</v>
      </c>
      <c r="C73" s="21" t="s">
        <v>179</v>
      </c>
      <c r="D73" s="42">
        <f>(D36*inputs!$E$19)/(inputs!$E$31^10)</f>
        <v>627.71110862314276</v>
      </c>
      <c r="E73" s="21" t="str">
        <f t="shared" ca="1" si="1"/>
        <v>=(D36*inputs!$E$19)/(inputs!$E$31^10)</v>
      </c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1"/>
      <c r="CC73" s="21"/>
      <c r="CD73" s="21"/>
      <c r="CE73" s="21"/>
      <c r="CF73" s="21"/>
      <c r="CG73" s="21"/>
      <c r="CH73" s="21"/>
      <c r="CI73" s="21"/>
      <c r="CJ73" s="21"/>
      <c r="CK73" s="21"/>
      <c r="CL73" s="21"/>
      <c r="CM73" s="21"/>
      <c r="CN73" s="21"/>
      <c r="CO73" s="21"/>
      <c r="CP73" s="21"/>
      <c r="CQ73" s="21"/>
      <c r="CR73" s="21"/>
      <c r="CS73" s="21"/>
      <c r="CT73" s="21"/>
      <c r="CU73" s="21"/>
      <c r="CV73" s="21"/>
      <c r="CW73" s="21"/>
      <c r="CX73" s="21"/>
      <c r="CY73" s="21"/>
      <c r="CZ73" s="21"/>
      <c r="DA73" s="21"/>
      <c r="DB73" s="21"/>
      <c r="DC73" s="21"/>
      <c r="DD73" s="21"/>
      <c r="DE73" s="21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1"/>
      <c r="DQ73" s="21"/>
      <c r="DR73" s="21"/>
      <c r="DS73" s="21"/>
      <c r="DT73" s="21"/>
      <c r="DU73" s="21"/>
    </row>
    <row r="74" spans="1:125" s="12" customFormat="1" x14ac:dyDescent="0.3">
      <c r="A74" s="21" t="s">
        <v>16</v>
      </c>
      <c r="B74" s="21" t="s">
        <v>190</v>
      </c>
      <c r="C74" s="21" t="s">
        <v>180</v>
      </c>
      <c r="D74" s="42">
        <f>(D37*inputs!$E$19)/(inputs!$E$31^11)</f>
        <v>609.0016610166083</v>
      </c>
      <c r="E74" s="21" t="str">
        <f t="shared" ca="1" si="1"/>
        <v>=(D37*inputs!$E$19)/(inputs!$E$31^11)</v>
      </c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  <c r="BK74" s="21"/>
      <c r="BL74" s="21"/>
      <c r="BM74" s="21"/>
      <c r="BN74" s="21"/>
      <c r="BO74" s="21"/>
      <c r="BP74" s="21"/>
      <c r="BQ74" s="21"/>
      <c r="BR74" s="21"/>
      <c r="BS74" s="21"/>
      <c r="BT74" s="21"/>
      <c r="BU74" s="21"/>
      <c r="BV74" s="21"/>
      <c r="BW74" s="21"/>
      <c r="BX74" s="21"/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I74" s="21"/>
      <c r="CJ74" s="21"/>
      <c r="CK74" s="21"/>
      <c r="CL74" s="21"/>
      <c r="CM74" s="21"/>
      <c r="CN74" s="21"/>
      <c r="CO74" s="21"/>
      <c r="CP74" s="21"/>
      <c r="CQ74" s="21"/>
      <c r="CR74" s="21"/>
      <c r="CS74" s="21"/>
      <c r="CT74" s="21"/>
      <c r="CU74" s="21"/>
      <c r="CV74" s="21"/>
      <c r="CW74" s="21"/>
      <c r="CX74" s="21"/>
      <c r="CY74" s="21"/>
      <c r="CZ74" s="21"/>
      <c r="DA74" s="21"/>
      <c r="DB74" s="21"/>
      <c r="DC74" s="21"/>
      <c r="DD74" s="21"/>
      <c r="DE74" s="21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1"/>
      <c r="DQ74" s="21"/>
      <c r="DR74" s="21"/>
      <c r="DS74" s="21"/>
      <c r="DT74" s="21"/>
      <c r="DU74" s="21"/>
    </row>
    <row r="75" spans="1:125" s="12" customFormat="1" x14ac:dyDescent="0.3">
      <c r="A75" s="21" t="s">
        <v>16</v>
      </c>
      <c r="B75" s="21" t="s">
        <v>190</v>
      </c>
      <c r="C75" s="21" t="s">
        <v>72</v>
      </c>
      <c r="D75" s="42">
        <f>D38*inputs!E17*inputs!E20</f>
        <v>753.87657238229099</v>
      </c>
      <c r="E75" s="21" t="str">
        <f t="shared" ca="1" si="1"/>
        <v>=D38*inputs!E17*inputs!E20</v>
      </c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1"/>
      <c r="BT75" s="21"/>
      <c r="BU75" s="21"/>
      <c r="BV75" s="21"/>
      <c r="BW75" s="21"/>
      <c r="BX75" s="21"/>
      <c r="BY75" s="21"/>
      <c r="BZ75" s="21"/>
      <c r="CA75" s="21"/>
      <c r="CB75" s="21"/>
      <c r="CC75" s="21"/>
      <c r="CD75" s="21"/>
      <c r="CE75" s="21"/>
      <c r="CF75" s="21"/>
      <c r="CG75" s="21"/>
      <c r="CH75" s="21"/>
      <c r="CI75" s="21"/>
      <c r="CJ75" s="21"/>
      <c r="CK75" s="21"/>
      <c r="CL75" s="21"/>
      <c r="CM75" s="21"/>
      <c r="CN75" s="21"/>
      <c r="CO75" s="21"/>
      <c r="CP75" s="21"/>
      <c r="CQ75" s="21"/>
      <c r="CR75" s="21"/>
      <c r="CS75" s="21"/>
      <c r="CT75" s="21"/>
      <c r="CU75" s="21"/>
      <c r="CV75" s="21"/>
      <c r="CW75" s="21"/>
      <c r="CX75" s="21"/>
      <c r="CY75" s="21"/>
      <c r="CZ75" s="21"/>
      <c r="DA75" s="21"/>
      <c r="DB75" s="21"/>
      <c r="DC75" s="21"/>
      <c r="DD75" s="21"/>
      <c r="DE75" s="21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1"/>
      <c r="DQ75" s="21"/>
      <c r="DR75" s="21"/>
      <c r="DS75" s="21"/>
      <c r="DT75" s="21"/>
      <c r="DU75" s="21"/>
    </row>
    <row r="76" spans="1:125" s="12" customFormat="1" x14ac:dyDescent="0.3">
      <c r="A76" s="21" t="s">
        <v>16</v>
      </c>
      <c r="B76" s="21" t="s">
        <v>190</v>
      </c>
      <c r="C76" s="21" t="s">
        <v>73</v>
      </c>
      <c r="D76" s="42">
        <f>(D39*inputs!E17*inputs!E20)/(inputs!E31^1)</f>
        <v>2082.4165681383497</v>
      </c>
      <c r="E76" s="21" t="str">
        <f t="shared" ca="1" si="1"/>
        <v>=(D39*inputs!E17*inputs!E20)/(inputs!E31^1)</v>
      </c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21"/>
      <c r="CS76" s="21"/>
      <c r="CT76" s="21"/>
      <c r="CU76" s="21"/>
      <c r="CV76" s="21"/>
      <c r="CW76" s="21"/>
      <c r="CX76" s="21"/>
      <c r="CY76" s="21"/>
      <c r="CZ76" s="21"/>
      <c r="DA76" s="21"/>
      <c r="DB76" s="21"/>
      <c r="DC76" s="21"/>
      <c r="DD76" s="21"/>
      <c r="DE76" s="21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1"/>
      <c r="DQ76" s="21"/>
      <c r="DR76" s="21"/>
      <c r="DS76" s="21"/>
      <c r="DT76" s="21"/>
      <c r="DU76" s="21"/>
    </row>
    <row r="77" spans="1:125" s="12" customFormat="1" x14ac:dyDescent="0.3">
      <c r="A77" s="21" t="s">
        <v>16</v>
      </c>
      <c r="B77" s="21" t="s">
        <v>190</v>
      </c>
      <c r="C77" s="21" t="s">
        <v>74</v>
      </c>
      <c r="D77" s="42">
        <f>(D40*inputs!$E$20)/(inputs!$E$31^2)</f>
        <v>404.06968476517534</v>
      </c>
      <c r="E77" s="21" t="str">
        <f t="shared" ca="1" si="1"/>
        <v>=(D40*inputs!$E$20)/(inputs!$E$31^2)</v>
      </c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  <c r="BQ77" s="21"/>
      <c r="BR77" s="21"/>
      <c r="BS77" s="21"/>
      <c r="BT77" s="21"/>
      <c r="BU77" s="21"/>
      <c r="BV77" s="21"/>
      <c r="BW77" s="21"/>
      <c r="BX77" s="21"/>
      <c r="BY77" s="21"/>
      <c r="BZ77" s="21"/>
      <c r="CA77" s="21"/>
      <c r="CB77" s="21"/>
      <c r="CC77" s="21"/>
      <c r="CD77" s="21"/>
      <c r="CE77" s="21"/>
      <c r="CF77" s="21"/>
      <c r="CG77" s="21"/>
      <c r="CH77" s="21"/>
      <c r="CI77" s="21"/>
      <c r="CJ77" s="21"/>
      <c r="CK77" s="21"/>
      <c r="CL77" s="21"/>
      <c r="CM77" s="21"/>
      <c r="CN77" s="21"/>
      <c r="CO77" s="21"/>
      <c r="CP77" s="21"/>
      <c r="CQ77" s="21"/>
      <c r="CR77" s="21"/>
      <c r="CS77" s="21"/>
      <c r="CT77" s="21"/>
      <c r="CU77" s="21"/>
      <c r="CV77" s="21"/>
      <c r="CW77" s="21"/>
      <c r="CX77" s="21"/>
      <c r="CY77" s="21"/>
      <c r="CZ77" s="21"/>
      <c r="DA77" s="21"/>
      <c r="DB77" s="21"/>
      <c r="DC77" s="21"/>
      <c r="DD77" s="21"/>
      <c r="DE77" s="21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1"/>
      <c r="DQ77" s="21"/>
      <c r="DR77" s="21"/>
      <c r="DS77" s="21"/>
      <c r="DT77" s="21"/>
      <c r="DU77" s="21"/>
    </row>
    <row r="78" spans="1:125" s="12" customFormat="1" x14ac:dyDescent="0.3">
      <c r="A78" s="21" t="s">
        <v>16</v>
      </c>
      <c r="B78" s="21" t="s">
        <v>190</v>
      </c>
      <c r="C78" s="21" t="s">
        <v>75</v>
      </c>
      <c r="D78" s="42">
        <f>(D41*inputs!$E$20)/(inputs!$E$31^3)</f>
        <v>392.02605435518421</v>
      </c>
      <c r="E78" s="21" t="str">
        <f t="shared" ca="1" si="1"/>
        <v>=(D41*inputs!$E$20)/(inputs!$E$31^3)</v>
      </c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1"/>
      <c r="BI78" s="21"/>
      <c r="BJ78" s="21"/>
      <c r="BK78" s="21"/>
      <c r="BL78" s="21"/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1"/>
      <c r="CC78" s="21"/>
      <c r="CD78" s="21"/>
      <c r="CE78" s="21"/>
      <c r="CF78" s="21"/>
      <c r="CG78" s="21"/>
      <c r="CH78" s="21"/>
      <c r="CI78" s="21"/>
      <c r="CJ78" s="21"/>
      <c r="CK78" s="21"/>
      <c r="CL78" s="21"/>
      <c r="CM78" s="21"/>
      <c r="CN78" s="21"/>
      <c r="CO78" s="21"/>
      <c r="CP78" s="21"/>
      <c r="CQ78" s="21"/>
      <c r="CR78" s="21"/>
      <c r="CS78" s="21"/>
      <c r="CT78" s="21"/>
      <c r="CU78" s="21"/>
      <c r="CV78" s="21"/>
      <c r="CW78" s="21"/>
      <c r="CX78" s="21"/>
      <c r="CY78" s="21"/>
      <c r="CZ78" s="21"/>
      <c r="DA78" s="21"/>
      <c r="DB78" s="21"/>
      <c r="DC78" s="21"/>
      <c r="DD78" s="21"/>
      <c r="DE78" s="21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1"/>
      <c r="DQ78" s="21"/>
      <c r="DR78" s="21"/>
      <c r="DS78" s="21"/>
      <c r="DT78" s="21"/>
      <c r="DU78" s="21"/>
    </row>
    <row r="79" spans="1:125" s="12" customFormat="1" x14ac:dyDescent="0.3">
      <c r="A79" s="21" t="s">
        <v>16</v>
      </c>
      <c r="B79" s="21" t="s">
        <v>190</v>
      </c>
      <c r="C79" s="21" t="s">
        <v>76</v>
      </c>
      <c r="D79" s="42">
        <f>(D42*inputs!$E$20)/(inputs!$E$31^4)</f>
        <v>380.34139428848124</v>
      </c>
      <c r="E79" s="21" t="str">
        <f t="shared" ca="1" si="1"/>
        <v>=(D42*inputs!$E$20)/(inputs!$E$31^4)</v>
      </c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1"/>
      <c r="CC79" s="21"/>
      <c r="CD79" s="21"/>
      <c r="CE79" s="21"/>
      <c r="CF79" s="21"/>
      <c r="CG79" s="21"/>
      <c r="CH79" s="21"/>
      <c r="CI79" s="21"/>
      <c r="CJ79" s="21"/>
      <c r="CK79" s="21"/>
      <c r="CL79" s="21"/>
      <c r="CM79" s="21"/>
      <c r="CN79" s="21"/>
      <c r="CO79" s="21"/>
      <c r="CP79" s="21"/>
      <c r="CQ79" s="21"/>
      <c r="CR79" s="21"/>
      <c r="CS79" s="21"/>
      <c r="CT79" s="21"/>
      <c r="CU79" s="21"/>
      <c r="CV79" s="21"/>
      <c r="CW79" s="21"/>
      <c r="CX79" s="21"/>
      <c r="CY79" s="21"/>
      <c r="CZ79" s="21"/>
      <c r="DA79" s="21"/>
      <c r="DB79" s="21"/>
      <c r="DC79" s="21"/>
      <c r="DD79" s="21"/>
      <c r="DE79" s="21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1"/>
      <c r="DQ79" s="21"/>
      <c r="DR79" s="21"/>
      <c r="DS79" s="21"/>
      <c r="DT79" s="21"/>
      <c r="DU79" s="21"/>
    </row>
    <row r="80" spans="1:125" s="12" customFormat="1" x14ac:dyDescent="0.3">
      <c r="A80" s="21" t="s">
        <v>16</v>
      </c>
      <c r="B80" s="21" t="s">
        <v>190</v>
      </c>
      <c r="C80" s="21" t="s">
        <v>77</v>
      </c>
      <c r="D80" s="42">
        <f>(D43*inputs!$E$20)/(inputs!$E$31^5)</f>
        <v>369.00500515774689</v>
      </c>
      <c r="E80" s="21" t="str">
        <f t="shared" ca="1" si="1"/>
        <v>=(D43*inputs!$E$20)/(inputs!$E$31^5)</v>
      </c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1"/>
      <c r="CC80" s="21"/>
      <c r="CD80" s="21"/>
      <c r="CE80" s="21"/>
      <c r="CF80" s="21"/>
      <c r="CG80" s="21"/>
      <c r="CH80" s="21"/>
      <c r="CI80" s="21"/>
      <c r="CJ80" s="21"/>
      <c r="CK80" s="21"/>
      <c r="CL80" s="21"/>
      <c r="CM80" s="21"/>
      <c r="CN80" s="21"/>
      <c r="CO80" s="21"/>
      <c r="CP80" s="21"/>
      <c r="CQ80" s="21"/>
      <c r="CR80" s="21"/>
      <c r="CS80" s="21"/>
      <c r="CT80" s="21"/>
      <c r="CU80" s="21"/>
      <c r="CV80" s="21"/>
      <c r="CW80" s="21"/>
      <c r="CX80" s="21"/>
      <c r="CY80" s="21"/>
      <c r="CZ80" s="21"/>
      <c r="DA80" s="21"/>
      <c r="DB80" s="21"/>
      <c r="DC80" s="21"/>
      <c r="DD80" s="21"/>
      <c r="DE80" s="21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1"/>
      <c r="DQ80" s="21"/>
      <c r="DR80" s="21"/>
      <c r="DS80" s="21"/>
      <c r="DT80" s="21"/>
      <c r="DU80" s="21"/>
    </row>
    <row r="81" spans="1:125" s="12" customFormat="1" x14ac:dyDescent="0.3">
      <c r="A81" s="21" t="s">
        <v>16</v>
      </c>
      <c r="B81" s="21" t="s">
        <v>190</v>
      </c>
      <c r="C81" s="21" t="s">
        <v>78</v>
      </c>
      <c r="D81" s="42">
        <f>(D44*inputs!$E$20)/(inputs!$E$31^6)</f>
        <v>358.0065064603267</v>
      </c>
      <c r="E81" s="21" t="str">
        <f t="shared" ca="1" si="1"/>
        <v>=(D44*inputs!$E$20)/(inputs!$E$31^6)</v>
      </c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1"/>
      <c r="CC81" s="21"/>
      <c r="CD81" s="21"/>
      <c r="CE81" s="21"/>
      <c r="CF81" s="21"/>
      <c r="CG81" s="21"/>
      <c r="CH81" s="21"/>
      <c r="CI81" s="21"/>
      <c r="CJ81" s="21"/>
      <c r="CK81" s="21"/>
      <c r="CL81" s="21"/>
      <c r="CM81" s="21"/>
      <c r="CN81" s="21"/>
      <c r="CO81" s="21"/>
      <c r="CP81" s="21"/>
      <c r="CQ81" s="21"/>
      <c r="CR81" s="21"/>
      <c r="CS81" s="21"/>
      <c r="CT81" s="21"/>
      <c r="CU81" s="21"/>
      <c r="CV81" s="21"/>
      <c r="CW81" s="21"/>
      <c r="CX81" s="21"/>
      <c r="CY81" s="21"/>
      <c r="CZ81" s="21"/>
      <c r="DA81" s="21"/>
      <c r="DB81" s="21"/>
      <c r="DC81" s="21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1"/>
      <c r="DQ81" s="21"/>
      <c r="DR81" s="21"/>
      <c r="DS81" s="21"/>
      <c r="DT81" s="21"/>
      <c r="DU81" s="21"/>
    </row>
    <row r="82" spans="1:125" s="12" customFormat="1" x14ac:dyDescent="0.3">
      <c r="A82" s="21" t="s">
        <v>16</v>
      </c>
      <c r="B82" s="21" t="s">
        <v>190</v>
      </c>
      <c r="C82" s="21" t="s">
        <v>79</v>
      </c>
      <c r="D82" s="42">
        <f>(D45*inputs!$E$20)/(inputs!$E$31^7)</f>
        <v>347.33582709301402</v>
      </c>
      <c r="E82" s="21" t="str">
        <f t="shared" ca="1" si="1"/>
        <v>=(D45*inputs!$E$20)/(inputs!$E$31^7)</v>
      </c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1"/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1"/>
      <c r="CC82" s="21"/>
      <c r="CD82" s="21"/>
      <c r="CE82" s="21"/>
      <c r="CF82" s="21"/>
      <c r="CG82" s="21"/>
      <c r="CH82" s="21"/>
      <c r="CI82" s="21"/>
      <c r="CJ82" s="21"/>
      <c r="CK82" s="21"/>
      <c r="CL82" s="21"/>
      <c r="CM82" s="21"/>
      <c r="CN82" s="21"/>
      <c r="CO82" s="21"/>
      <c r="CP82" s="21"/>
      <c r="CQ82" s="21"/>
      <c r="CR82" s="21"/>
      <c r="CS82" s="21"/>
      <c r="CT82" s="21"/>
      <c r="CU82" s="21"/>
      <c r="CV82" s="21"/>
      <c r="CW82" s="21"/>
      <c r="CX82" s="21"/>
      <c r="CY82" s="21"/>
      <c r="CZ82" s="21"/>
      <c r="DA82" s="21"/>
      <c r="DB82" s="21"/>
      <c r="DC82" s="21"/>
      <c r="DD82" s="21"/>
      <c r="DE82" s="21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1"/>
      <c r="DQ82" s="21"/>
      <c r="DR82" s="21"/>
      <c r="DS82" s="21"/>
      <c r="DT82" s="21"/>
      <c r="DU82" s="21"/>
    </row>
    <row r="83" spans="1:125" s="12" customFormat="1" x14ac:dyDescent="0.3">
      <c r="A83" s="21" t="s">
        <v>16</v>
      </c>
      <c r="B83" s="21" t="s">
        <v>190</v>
      </c>
      <c r="C83" s="21" t="s">
        <v>80</v>
      </c>
      <c r="D83" s="42">
        <f>(D46*inputs!$E$20)/(inputs!$E$31^8)</f>
        <v>336.98319613014456</v>
      </c>
      <c r="E83" s="21" t="str">
        <f t="shared" ca="1" si="1"/>
        <v>=(D46*inputs!$E$20)/(inputs!$E$31^8)</v>
      </c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1"/>
      <c r="CC83" s="21"/>
      <c r="CD83" s="21"/>
      <c r="CE83" s="21"/>
      <c r="CF83" s="21"/>
      <c r="CG83" s="21"/>
      <c r="CH83" s="21"/>
      <c r="CI83" s="21"/>
      <c r="CJ83" s="21"/>
      <c r="CK83" s="21"/>
      <c r="CL83" s="21"/>
      <c r="CM83" s="21"/>
      <c r="CN83" s="21"/>
      <c r="CO83" s="21"/>
      <c r="CP83" s="21"/>
      <c r="CQ83" s="21"/>
      <c r="CR83" s="21"/>
      <c r="CS83" s="21"/>
      <c r="CT83" s="21"/>
      <c r="CU83" s="21"/>
      <c r="CV83" s="21"/>
      <c r="CW83" s="21"/>
      <c r="CX83" s="21"/>
      <c r="CY83" s="21"/>
      <c r="CZ83" s="21"/>
      <c r="DA83" s="21"/>
      <c r="DB83" s="21"/>
      <c r="DC83" s="21"/>
      <c r="DD83" s="21"/>
      <c r="DE83" s="21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1"/>
      <c r="DQ83" s="21"/>
      <c r="DR83" s="21"/>
      <c r="DS83" s="21"/>
      <c r="DT83" s="21"/>
      <c r="DU83" s="21"/>
    </row>
    <row r="84" spans="1:125" s="12" customFormat="1" x14ac:dyDescent="0.3">
      <c r="A84" s="21" t="s">
        <v>16</v>
      </c>
      <c r="B84" s="21" t="s">
        <v>190</v>
      </c>
      <c r="C84" s="21" t="s">
        <v>81</v>
      </c>
      <c r="D84" s="42">
        <f>(D47*inputs!$E$20)/(inputs!$E$31^9)</f>
        <v>326.93913387655681</v>
      </c>
      <c r="E84" s="21" t="str">
        <f t="shared" ca="1" si="1"/>
        <v>=(D47*inputs!$E$20)/(inputs!$E$31^9)</v>
      </c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1"/>
      <c r="CC84" s="21"/>
      <c r="CD84" s="21"/>
      <c r="CE84" s="21"/>
      <c r="CF84" s="21"/>
      <c r="CG84" s="21"/>
      <c r="CH84" s="21"/>
      <c r="CI84" s="21"/>
      <c r="CJ84" s="21"/>
      <c r="CK84" s="21"/>
      <c r="CL84" s="21"/>
      <c r="CM84" s="21"/>
      <c r="CN84" s="21"/>
      <c r="CO84" s="21"/>
      <c r="CP84" s="21"/>
      <c r="CQ84" s="21"/>
      <c r="CR84" s="21"/>
      <c r="CS84" s="21"/>
      <c r="CT84" s="21"/>
      <c r="CU84" s="21"/>
      <c r="CV84" s="21"/>
      <c r="CW84" s="21"/>
      <c r="CX84" s="21"/>
      <c r="CY84" s="21"/>
      <c r="CZ84" s="21"/>
      <c r="DA84" s="21"/>
      <c r="DB84" s="21"/>
      <c r="DC84" s="21"/>
      <c r="DD84" s="21"/>
      <c r="DE84" s="21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1"/>
      <c r="DQ84" s="21"/>
      <c r="DR84" s="21"/>
      <c r="DS84" s="21"/>
      <c r="DT84" s="21"/>
      <c r="DU84" s="21"/>
    </row>
    <row r="85" spans="1:125" s="12" customFormat="1" x14ac:dyDescent="0.3">
      <c r="A85" s="21" t="s">
        <v>16</v>
      </c>
      <c r="B85" s="21" t="s">
        <v>190</v>
      </c>
      <c r="C85" s="21" t="s">
        <v>82</v>
      </c>
      <c r="D85" s="42">
        <f>(D48*inputs!$E$20)/(inputs!$E$31^10)</f>
        <v>317.1944431872264</v>
      </c>
      <c r="E85" s="21" t="str">
        <f t="shared" ca="1" si="1"/>
        <v>=(D48*inputs!$E$20)/(inputs!$E$31^10)</v>
      </c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  <c r="CA85" s="21"/>
      <c r="CB85" s="21"/>
      <c r="CC85" s="21"/>
      <c r="CD85" s="21"/>
      <c r="CE85" s="21"/>
      <c r="CF85" s="21"/>
      <c r="CG85" s="21"/>
      <c r="CH85" s="21"/>
      <c r="CI85" s="21"/>
      <c r="CJ85" s="21"/>
      <c r="CK85" s="21"/>
      <c r="CL85" s="21"/>
      <c r="CM85" s="21"/>
      <c r="CN85" s="21"/>
      <c r="CO85" s="21"/>
      <c r="CP85" s="21"/>
      <c r="CQ85" s="21"/>
      <c r="CR85" s="21"/>
      <c r="CS85" s="21"/>
      <c r="CT85" s="21"/>
      <c r="CU85" s="21"/>
      <c r="CV85" s="21"/>
      <c r="CW85" s="21"/>
      <c r="CX85" s="21"/>
      <c r="CY85" s="21"/>
      <c r="CZ85" s="21"/>
      <c r="DA85" s="21"/>
      <c r="DB85" s="21"/>
      <c r="DC85" s="21"/>
      <c r="DD85" s="21"/>
      <c r="DE85" s="21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1"/>
      <c r="DQ85" s="21"/>
      <c r="DR85" s="21"/>
      <c r="DS85" s="21"/>
      <c r="DT85" s="21"/>
      <c r="DU85" s="21"/>
    </row>
    <row r="86" spans="1:125" s="12" customFormat="1" x14ac:dyDescent="0.3">
      <c r="A86" s="21" t="s">
        <v>16</v>
      </c>
      <c r="B86" s="21" t="s">
        <v>190</v>
      </c>
      <c r="C86" s="21" t="s">
        <v>83</v>
      </c>
      <c r="D86" s="42">
        <f>(D49*inputs!$E$20)/(inputs!$E$31^11)</f>
        <v>307.74020104562652</v>
      </c>
      <c r="E86" s="21" t="str">
        <f t="shared" ca="1" si="1"/>
        <v>=(D49*inputs!$E$20)/(inputs!$E$31^11)</v>
      </c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  <c r="BQ86" s="21"/>
      <c r="BR86" s="21"/>
      <c r="BS86" s="21"/>
      <c r="BT86" s="21"/>
      <c r="BU86" s="21"/>
      <c r="BV86" s="21"/>
      <c r="BW86" s="21"/>
      <c r="BX86" s="21"/>
      <c r="BY86" s="21"/>
      <c r="BZ86" s="21"/>
      <c r="CA86" s="21"/>
      <c r="CB86" s="21"/>
      <c r="CC86" s="21"/>
      <c r="CD86" s="21"/>
      <c r="CE86" s="21"/>
      <c r="CF86" s="21"/>
      <c r="CG86" s="21"/>
      <c r="CH86" s="21"/>
      <c r="CI86" s="21"/>
      <c r="CJ86" s="21"/>
      <c r="CK86" s="21"/>
      <c r="CL86" s="21"/>
      <c r="CM86" s="21"/>
      <c r="CN86" s="21"/>
      <c r="CO86" s="21"/>
      <c r="CP86" s="21"/>
      <c r="CQ86" s="21"/>
      <c r="CR86" s="21"/>
      <c r="CS86" s="21"/>
      <c r="CT86" s="21"/>
      <c r="CU86" s="21"/>
      <c r="CV86" s="21"/>
      <c r="CW86" s="21"/>
      <c r="CX86" s="21"/>
      <c r="CY86" s="21"/>
      <c r="CZ86" s="21"/>
      <c r="DA86" s="21"/>
      <c r="DB86" s="21"/>
      <c r="DC86" s="21"/>
      <c r="DD86" s="21"/>
      <c r="DE86" s="21"/>
      <c r="DF86" s="21"/>
      <c r="DG86" s="21"/>
      <c r="DH86" s="21"/>
      <c r="DI86" s="21"/>
      <c r="DJ86" s="21"/>
      <c r="DK86" s="21"/>
      <c r="DL86" s="21"/>
      <c r="DM86" s="21"/>
      <c r="DN86" s="21"/>
      <c r="DO86" s="21"/>
      <c r="DP86" s="21"/>
      <c r="DQ86" s="21"/>
      <c r="DR86" s="21"/>
      <c r="DS86" s="21"/>
      <c r="DT86" s="21"/>
      <c r="DU86" s="21"/>
    </row>
    <row r="87" spans="1:125" s="12" customFormat="1" x14ac:dyDescent="0.3">
      <c r="A87" s="21" t="s">
        <v>16</v>
      </c>
      <c r="B87" s="21" t="s">
        <v>190</v>
      </c>
      <c r="C87" s="21" t="s">
        <v>153</v>
      </c>
      <c r="D87" s="42">
        <f>D50*inputs!E25</f>
        <v>4266.5001582361747</v>
      </c>
      <c r="E87" s="21" t="str">
        <f t="shared" ca="1" si="1"/>
        <v>=D50*inputs!E25</v>
      </c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  <c r="BY87" s="21"/>
      <c r="BZ87" s="21"/>
      <c r="CA87" s="21"/>
      <c r="CB87" s="21"/>
      <c r="CC87" s="21"/>
      <c r="CD87" s="21"/>
      <c r="CE87" s="21"/>
      <c r="CF87" s="21"/>
      <c r="CG87" s="21"/>
      <c r="CH87" s="21"/>
      <c r="CI87" s="21"/>
      <c r="CJ87" s="21"/>
      <c r="CK87" s="21"/>
      <c r="CL87" s="21"/>
      <c r="CM87" s="21"/>
      <c r="CN87" s="21"/>
      <c r="CO87" s="21"/>
      <c r="CP87" s="21"/>
      <c r="CQ87" s="21"/>
      <c r="CR87" s="21"/>
      <c r="CS87" s="21"/>
      <c r="CT87" s="21"/>
      <c r="CU87" s="21"/>
      <c r="CV87" s="21"/>
      <c r="CW87" s="21"/>
      <c r="CX87" s="21"/>
      <c r="CY87" s="21"/>
      <c r="CZ87" s="21"/>
      <c r="DA87" s="21"/>
      <c r="DB87" s="21"/>
      <c r="DC87" s="21"/>
      <c r="DD87" s="21"/>
      <c r="DE87" s="21"/>
      <c r="DF87" s="21"/>
      <c r="DG87" s="21"/>
      <c r="DH87" s="21"/>
      <c r="DI87" s="21"/>
      <c r="DJ87" s="21"/>
      <c r="DK87" s="21"/>
      <c r="DL87" s="21"/>
      <c r="DM87" s="21"/>
      <c r="DN87" s="21"/>
      <c r="DO87" s="21"/>
      <c r="DP87" s="21"/>
      <c r="DQ87" s="21"/>
      <c r="DR87" s="21"/>
      <c r="DS87" s="21"/>
      <c r="DT87" s="21"/>
      <c r="DU87" s="21"/>
    </row>
    <row r="88" spans="1:125" s="12" customFormat="1" x14ac:dyDescent="0.3">
      <c r="A88" s="21" t="s">
        <v>16</v>
      </c>
      <c r="B88" s="21" t="s">
        <v>84</v>
      </c>
      <c r="C88" s="21" t="s">
        <v>85</v>
      </c>
      <c r="D88" s="42">
        <f>D51*(inputs!$E$26*inputs!$E$27)</f>
        <v>36796457.997711077</v>
      </c>
      <c r="E88" s="21" t="str">
        <f t="shared" ca="1" si="1"/>
        <v>=D51*(inputs!$E$26*inputs!$E$27)</v>
      </c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  <c r="BY88" s="21"/>
      <c r="BZ88" s="21"/>
      <c r="CA88" s="21"/>
      <c r="CB88" s="21"/>
      <c r="CC88" s="21"/>
      <c r="CD88" s="21"/>
      <c r="CE88" s="21"/>
      <c r="CF88" s="21"/>
      <c r="CG88" s="21"/>
      <c r="CH88" s="21"/>
      <c r="CI88" s="21"/>
      <c r="CJ88" s="21"/>
      <c r="CK88" s="21"/>
      <c r="CL88" s="21"/>
      <c r="CM88" s="21"/>
      <c r="CN88" s="21"/>
      <c r="CO88" s="21"/>
      <c r="CP88" s="21"/>
      <c r="CQ88" s="21"/>
      <c r="CR88" s="21"/>
      <c r="CS88" s="21"/>
      <c r="CT88" s="21"/>
      <c r="CU88" s="21"/>
      <c r="CV88" s="21"/>
      <c r="CW88" s="21"/>
      <c r="CX88" s="21"/>
      <c r="CY88" s="21"/>
      <c r="CZ88" s="21"/>
      <c r="DA88" s="21"/>
      <c r="DB88" s="21"/>
      <c r="DC88" s="21"/>
      <c r="DD88" s="21"/>
      <c r="DE88" s="21"/>
      <c r="DF88" s="21"/>
      <c r="DG88" s="21"/>
      <c r="DH88" s="21"/>
      <c r="DI88" s="21"/>
      <c r="DJ88" s="21"/>
      <c r="DK88" s="21"/>
      <c r="DL88" s="21"/>
      <c r="DM88" s="21"/>
      <c r="DN88" s="21"/>
      <c r="DO88" s="21"/>
      <c r="DP88" s="21"/>
      <c r="DQ88" s="21"/>
      <c r="DR88" s="21"/>
      <c r="DS88" s="21"/>
      <c r="DT88" s="21"/>
      <c r="DU88" s="21"/>
    </row>
    <row r="89" spans="1:125" s="12" customFormat="1" x14ac:dyDescent="0.3">
      <c r="A89" s="21" t="s">
        <v>16</v>
      </c>
      <c r="B89" s="21" t="s">
        <v>84</v>
      </c>
      <c r="C89" s="21" t="s">
        <v>86</v>
      </c>
      <c r="D89" s="42">
        <f>D52*(inputs!$E$26*inputs!$E$27)</f>
        <v>35574714.491239369</v>
      </c>
      <c r="E89" s="21" t="str">
        <f t="shared" ca="1" si="1"/>
        <v>=D52*(inputs!$E$26*inputs!$E$27)</v>
      </c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/>
      <c r="BP89" s="21"/>
      <c r="BQ89" s="21"/>
      <c r="BR89" s="21"/>
      <c r="BS89" s="21"/>
      <c r="BT89" s="21"/>
      <c r="BU89" s="21"/>
      <c r="BV89" s="21"/>
      <c r="BW89" s="21"/>
      <c r="BX89" s="21"/>
      <c r="BY89" s="21"/>
      <c r="BZ89" s="21"/>
      <c r="CA89" s="21"/>
      <c r="CB89" s="21"/>
      <c r="CC89" s="21"/>
      <c r="CD89" s="21"/>
      <c r="CE89" s="21"/>
      <c r="CF89" s="21"/>
      <c r="CG89" s="21"/>
      <c r="CH89" s="21"/>
      <c r="CI89" s="21"/>
      <c r="CJ89" s="21"/>
      <c r="CK89" s="21"/>
      <c r="CL89" s="21"/>
      <c r="CM89" s="21"/>
      <c r="CN89" s="21"/>
      <c r="CO89" s="21"/>
      <c r="CP89" s="21"/>
      <c r="CQ89" s="21"/>
      <c r="CR89" s="21"/>
      <c r="CS89" s="21"/>
      <c r="CT89" s="21"/>
      <c r="CU89" s="21"/>
      <c r="CV89" s="21"/>
      <c r="CW89" s="21"/>
      <c r="CX89" s="21"/>
      <c r="CY89" s="21"/>
      <c r="CZ89" s="21"/>
      <c r="DA89" s="21"/>
      <c r="DB89" s="21"/>
      <c r="DC89" s="21"/>
      <c r="DD89" s="21"/>
      <c r="DE89" s="21"/>
      <c r="DF89" s="21"/>
      <c r="DG89" s="21"/>
      <c r="DH89" s="21"/>
      <c r="DI89" s="21"/>
      <c r="DJ89" s="21"/>
      <c r="DK89" s="21"/>
      <c r="DL89" s="21"/>
      <c r="DM89" s="21"/>
      <c r="DN89" s="21"/>
      <c r="DO89" s="21"/>
      <c r="DP89" s="21"/>
      <c r="DQ89" s="21"/>
      <c r="DR89" s="21"/>
      <c r="DS89" s="21"/>
      <c r="DT89" s="21"/>
      <c r="DU89" s="21"/>
    </row>
    <row r="90" spans="1:125" s="12" customFormat="1" x14ac:dyDescent="0.3">
      <c r="A90" s="21" t="s">
        <v>16</v>
      </c>
      <c r="B90" s="21" t="s">
        <v>84</v>
      </c>
      <c r="C90" s="21" t="s">
        <v>163</v>
      </c>
      <c r="D90" s="42">
        <f>D53*(inputs!$E$26*inputs!$E$27)</f>
        <v>6902876.1536107762</v>
      </c>
      <c r="E90" s="21" t="str">
        <f t="shared" ca="1" si="1"/>
        <v>=D53*(inputs!$E$26*inputs!$E$27)</v>
      </c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21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21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21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21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21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21"/>
      <c r="DU90" s="21"/>
    </row>
    <row r="91" spans="1:125" s="12" customFormat="1" x14ac:dyDescent="0.3">
      <c r="A91" s="21" t="s">
        <v>16</v>
      </c>
      <c r="B91" s="21" t="s">
        <v>84</v>
      </c>
      <c r="C91" s="21" t="s">
        <v>181</v>
      </c>
      <c r="D91" s="42">
        <f>D54*(inputs!$E$26*inputs!$E$27)</f>
        <v>6697130.2333041262</v>
      </c>
      <c r="E91" s="21" t="str">
        <f t="shared" ca="1" si="1"/>
        <v>=D54*(inputs!$E$26*inputs!$E$27)</v>
      </c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  <c r="BS91" s="21"/>
      <c r="BT91" s="21"/>
      <c r="BU91" s="21"/>
      <c r="BV91" s="21"/>
      <c r="BW91" s="21"/>
      <c r="BX91" s="21"/>
      <c r="BY91" s="21"/>
      <c r="BZ91" s="21"/>
      <c r="CA91" s="21"/>
      <c r="CB91" s="21"/>
      <c r="CC91" s="21"/>
      <c r="CD91" s="21"/>
      <c r="CE91" s="21"/>
      <c r="CF91" s="21"/>
      <c r="CG91" s="21"/>
      <c r="CH91" s="21"/>
      <c r="CI91" s="21"/>
      <c r="CJ91" s="21"/>
      <c r="CK91" s="21"/>
      <c r="CL91" s="21"/>
      <c r="CM91" s="21"/>
      <c r="CN91" s="21"/>
      <c r="CO91" s="21"/>
      <c r="CP91" s="21"/>
      <c r="CQ91" s="21"/>
      <c r="CR91" s="21"/>
      <c r="CS91" s="21"/>
      <c r="CT91" s="21"/>
      <c r="CU91" s="21"/>
      <c r="CV91" s="21"/>
      <c r="CW91" s="21"/>
      <c r="CX91" s="21"/>
      <c r="CY91" s="21"/>
      <c r="CZ91" s="21"/>
      <c r="DA91" s="21"/>
      <c r="DB91" s="21"/>
      <c r="DC91" s="21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1"/>
      <c r="DQ91" s="21"/>
      <c r="DR91" s="21"/>
      <c r="DS91" s="21"/>
      <c r="DT91" s="21"/>
      <c r="DU91" s="21"/>
    </row>
    <row r="92" spans="1:125" s="12" customFormat="1" x14ac:dyDescent="0.3">
      <c r="A92" s="21" t="s">
        <v>16</v>
      </c>
      <c r="B92" s="21" t="s">
        <v>84</v>
      </c>
      <c r="C92" s="21" t="s">
        <v>182</v>
      </c>
      <c r="D92" s="42">
        <f>D55*(inputs!$E$26*inputs!$E$27)</f>
        <v>6497516.7399425386</v>
      </c>
      <c r="E92" s="21" t="str">
        <f t="shared" ca="1" si="1"/>
        <v>=D55*(inputs!$E$26*inputs!$E$27)</v>
      </c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  <c r="BQ92" s="21"/>
      <c r="BR92" s="21"/>
      <c r="BS92" s="21"/>
      <c r="BT92" s="21"/>
      <c r="BU92" s="21"/>
      <c r="BV92" s="21"/>
      <c r="BW92" s="21"/>
      <c r="BX92" s="21"/>
      <c r="BY92" s="21"/>
      <c r="BZ92" s="21"/>
      <c r="CA92" s="21"/>
      <c r="CB92" s="21"/>
      <c r="CC92" s="21"/>
      <c r="CD92" s="21"/>
      <c r="CE92" s="21"/>
      <c r="CF92" s="21"/>
      <c r="CG92" s="21"/>
      <c r="CH92" s="21"/>
      <c r="CI92" s="21"/>
      <c r="CJ92" s="21"/>
      <c r="CK92" s="21"/>
      <c r="CL92" s="21"/>
      <c r="CM92" s="21"/>
      <c r="CN92" s="21"/>
      <c r="CO92" s="21"/>
      <c r="CP92" s="21"/>
      <c r="CQ92" s="21"/>
      <c r="CR92" s="21"/>
      <c r="CS92" s="21"/>
      <c r="CT92" s="21"/>
      <c r="CU92" s="21"/>
      <c r="CV92" s="21"/>
      <c r="CW92" s="21"/>
      <c r="CX92" s="21"/>
      <c r="CY92" s="21"/>
      <c r="CZ92" s="21"/>
      <c r="DA92" s="21"/>
      <c r="DB92" s="21"/>
      <c r="DC92" s="21"/>
      <c r="DD92" s="21"/>
      <c r="DE92" s="21"/>
      <c r="DF92" s="21"/>
      <c r="DG92" s="21"/>
      <c r="DH92" s="21"/>
      <c r="DI92" s="21"/>
      <c r="DJ92" s="21"/>
      <c r="DK92" s="21"/>
      <c r="DL92" s="21"/>
      <c r="DM92" s="21"/>
      <c r="DN92" s="21"/>
      <c r="DO92" s="21"/>
      <c r="DP92" s="21"/>
      <c r="DQ92" s="21"/>
      <c r="DR92" s="21"/>
      <c r="DS92" s="21"/>
      <c r="DT92" s="21"/>
      <c r="DU92" s="21"/>
    </row>
    <row r="93" spans="1:125" s="12" customFormat="1" x14ac:dyDescent="0.3">
      <c r="A93" s="21" t="s">
        <v>16</v>
      </c>
      <c r="B93" s="21" t="s">
        <v>84</v>
      </c>
      <c r="C93" s="21" t="s">
        <v>183</v>
      </c>
      <c r="D93" s="42">
        <f>D56*(inputs!$E$26*inputs!$E$27)</f>
        <v>6303852.8914801748</v>
      </c>
      <c r="E93" s="21" t="str">
        <f t="shared" ca="1" si="1"/>
        <v>=D56*(inputs!$E$26*inputs!$E$27)</v>
      </c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  <c r="BO93" s="21"/>
      <c r="BP93" s="21"/>
      <c r="BQ93" s="21"/>
      <c r="BR93" s="21"/>
      <c r="BS93" s="21"/>
      <c r="BT93" s="21"/>
      <c r="BU93" s="21"/>
      <c r="BV93" s="21"/>
      <c r="BW93" s="21"/>
      <c r="BX93" s="21"/>
      <c r="BY93" s="21"/>
      <c r="BZ93" s="21"/>
      <c r="CA93" s="21"/>
      <c r="CB93" s="21"/>
      <c r="CC93" s="21"/>
      <c r="CD93" s="21"/>
      <c r="CE93" s="21"/>
      <c r="CF93" s="21"/>
      <c r="CG93" s="21"/>
      <c r="CH93" s="21"/>
      <c r="CI93" s="21"/>
      <c r="CJ93" s="21"/>
      <c r="CK93" s="21"/>
      <c r="CL93" s="21"/>
      <c r="CM93" s="21"/>
      <c r="CN93" s="21"/>
      <c r="CO93" s="21"/>
      <c r="CP93" s="21"/>
      <c r="CQ93" s="21"/>
      <c r="CR93" s="21"/>
      <c r="CS93" s="21"/>
      <c r="CT93" s="21"/>
      <c r="CU93" s="21"/>
      <c r="CV93" s="21"/>
      <c r="CW93" s="21"/>
      <c r="CX93" s="21"/>
      <c r="CY93" s="21"/>
      <c r="CZ93" s="21"/>
      <c r="DA93" s="21"/>
      <c r="DB93" s="21"/>
      <c r="DC93" s="21"/>
      <c r="DD93" s="21"/>
      <c r="DE93" s="21"/>
      <c r="DF93" s="21"/>
      <c r="DG93" s="21"/>
      <c r="DH93" s="21"/>
      <c r="DI93" s="21"/>
      <c r="DJ93" s="21"/>
      <c r="DK93" s="21"/>
      <c r="DL93" s="21"/>
      <c r="DM93" s="21"/>
      <c r="DN93" s="21"/>
      <c r="DO93" s="21"/>
      <c r="DP93" s="21"/>
      <c r="DQ93" s="21"/>
      <c r="DR93" s="21"/>
      <c r="DS93" s="21"/>
      <c r="DT93" s="21"/>
      <c r="DU93" s="21"/>
    </row>
    <row r="94" spans="1:125" s="12" customFormat="1" x14ac:dyDescent="0.3">
      <c r="A94" s="21" t="s">
        <v>16</v>
      </c>
      <c r="B94" s="21" t="s">
        <v>84</v>
      </c>
      <c r="C94" s="21" t="s">
        <v>184</v>
      </c>
      <c r="D94" s="42">
        <f>D57*(inputs!$E$26*inputs!$E$27)</f>
        <v>6115961.3538409108</v>
      </c>
      <c r="E94" s="21" t="str">
        <f t="shared" ca="1" si="1"/>
        <v>=D57*(inputs!$E$26*inputs!$E$27)</v>
      </c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  <c r="AZ94" s="21"/>
      <c r="BA94" s="21"/>
      <c r="BB94" s="21"/>
      <c r="BC94" s="21"/>
      <c r="BD94" s="21"/>
      <c r="BE94" s="21"/>
      <c r="BF94" s="21"/>
      <c r="BG94" s="21"/>
      <c r="BH94" s="21"/>
      <c r="BI94" s="21"/>
      <c r="BJ94" s="21"/>
      <c r="BK94" s="21"/>
      <c r="BL94" s="21"/>
      <c r="BM94" s="21"/>
      <c r="BN94" s="21"/>
      <c r="BO94" s="21"/>
      <c r="BP94" s="21"/>
      <c r="BQ94" s="21"/>
      <c r="BR94" s="21"/>
      <c r="BS94" s="21"/>
      <c r="BT94" s="21"/>
      <c r="BU94" s="21"/>
      <c r="BV94" s="21"/>
      <c r="BW94" s="21"/>
      <c r="BX94" s="21"/>
      <c r="BY94" s="21"/>
      <c r="BZ94" s="21"/>
      <c r="CA94" s="21"/>
      <c r="CB94" s="21"/>
      <c r="CC94" s="21"/>
      <c r="CD94" s="21"/>
      <c r="CE94" s="21"/>
      <c r="CF94" s="21"/>
      <c r="CG94" s="21"/>
      <c r="CH94" s="21"/>
      <c r="CI94" s="21"/>
      <c r="CJ94" s="21"/>
      <c r="CK94" s="21"/>
      <c r="CL94" s="21"/>
      <c r="CM94" s="21"/>
      <c r="CN94" s="21"/>
      <c r="CO94" s="21"/>
      <c r="CP94" s="21"/>
      <c r="CQ94" s="21"/>
      <c r="CR94" s="21"/>
      <c r="CS94" s="21"/>
      <c r="CT94" s="21"/>
      <c r="CU94" s="21"/>
      <c r="CV94" s="21"/>
      <c r="CW94" s="21"/>
      <c r="CX94" s="21"/>
      <c r="CY94" s="21"/>
      <c r="CZ94" s="21"/>
      <c r="DA94" s="21"/>
      <c r="DB94" s="21"/>
      <c r="DC94" s="21"/>
      <c r="DD94" s="21"/>
      <c r="DE94" s="21"/>
      <c r="DF94" s="21"/>
      <c r="DG94" s="21"/>
      <c r="DH94" s="21"/>
      <c r="DI94" s="21"/>
      <c r="DJ94" s="21"/>
      <c r="DK94" s="21"/>
      <c r="DL94" s="21"/>
      <c r="DM94" s="21"/>
      <c r="DN94" s="21"/>
      <c r="DO94" s="21"/>
      <c r="DP94" s="21"/>
      <c r="DQ94" s="21"/>
      <c r="DR94" s="21"/>
      <c r="DS94" s="21"/>
      <c r="DT94" s="21"/>
      <c r="DU94" s="21"/>
    </row>
    <row r="95" spans="1:125" s="12" customFormat="1" x14ac:dyDescent="0.3">
      <c r="A95" s="21" t="s">
        <v>16</v>
      </c>
      <c r="B95" s="21" t="s">
        <v>84</v>
      </c>
      <c r="C95" s="21" t="s">
        <v>185</v>
      </c>
      <c r="D95" s="42">
        <f>D58*(inputs!$E$26*inputs!$E$27)</f>
        <v>5933670.0785371084</v>
      </c>
      <c r="E95" s="21" t="str">
        <f t="shared" ca="1" si="1"/>
        <v>=D58*(inputs!$E$26*inputs!$E$27)</v>
      </c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  <c r="BR95" s="21"/>
      <c r="BS95" s="21"/>
      <c r="BT95" s="21"/>
      <c r="BU95" s="21"/>
      <c r="BV95" s="21"/>
      <c r="BW95" s="21"/>
      <c r="BX95" s="21"/>
      <c r="BY95" s="21"/>
      <c r="BZ95" s="21"/>
      <c r="CA95" s="21"/>
      <c r="CB95" s="21"/>
      <c r="CC95" s="21"/>
      <c r="CD95" s="21"/>
      <c r="CE95" s="21"/>
      <c r="CF95" s="21"/>
      <c r="CG95" s="21"/>
      <c r="CH95" s="21"/>
      <c r="CI95" s="21"/>
      <c r="CJ95" s="21"/>
      <c r="CK95" s="21"/>
      <c r="CL95" s="21"/>
      <c r="CM95" s="21"/>
      <c r="CN95" s="21"/>
      <c r="CO95" s="21"/>
      <c r="CP95" s="21"/>
      <c r="CQ95" s="21"/>
      <c r="CR95" s="21"/>
      <c r="CS95" s="21"/>
      <c r="CT95" s="21"/>
      <c r="CU95" s="21"/>
      <c r="CV95" s="21"/>
      <c r="CW95" s="21"/>
      <c r="CX95" s="21"/>
      <c r="CY95" s="21"/>
      <c r="CZ95" s="21"/>
      <c r="DA95" s="21"/>
      <c r="DB95" s="21"/>
      <c r="DC95" s="21"/>
      <c r="DD95" s="21"/>
      <c r="DE95" s="21"/>
      <c r="DF95" s="21"/>
      <c r="DG95" s="21"/>
      <c r="DH95" s="21"/>
      <c r="DI95" s="21"/>
      <c r="DJ95" s="21"/>
      <c r="DK95" s="21"/>
      <c r="DL95" s="21"/>
      <c r="DM95" s="21"/>
      <c r="DN95" s="21"/>
      <c r="DO95" s="21"/>
      <c r="DP95" s="21"/>
      <c r="DQ95" s="21"/>
      <c r="DR95" s="21"/>
      <c r="DS95" s="21"/>
      <c r="DT95" s="21"/>
      <c r="DU95" s="21"/>
    </row>
    <row r="96" spans="1:125" s="12" customFormat="1" x14ac:dyDescent="0.3">
      <c r="A96" s="21" t="s">
        <v>16</v>
      </c>
      <c r="B96" s="21" t="s">
        <v>84</v>
      </c>
      <c r="C96" s="21" t="s">
        <v>186</v>
      </c>
      <c r="D96" s="42">
        <f>D59*(inputs!$E$26*inputs!$E$27)</f>
        <v>5756812.1451282836</v>
      </c>
      <c r="E96" s="21" t="str">
        <f t="shared" ca="1" si="1"/>
        <v>=D59*(inputs!$E$26*inputs!$E$27)</v>
      </c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  <c r="BR96" s="21"/>
      <c r="BS96" s="21"/>
      <c r="BT96" s="21"/>
      <c r="BU96" s="21"/>
      <c r="BV96" s="21"/>
      <c r="BW96" s="21"/>
      <c r="BX96" s="21"/>
      <c r="BY96" s="21"/>
      <c r="BZ96" s="21"/>
      <c r="CA96" s="21"/>
      <c r="CB96" s="21"/>
      <c r="CC96" s="21"/>
      <c r="CD96" s="21"/>
      <c r="CE96" s="21"/>
      <c r="CF96" s="21"/>
      <c r="CG96" s="21"/>
      <c r="CH96" s="21"/>
      <c r="CI96" s="21"/>
      <c r="CJ96" s="21"/>
      <c r="CK96" s="21"/>
      <c r="CL96" s="21"/>
      <c r="CM96" s="21"/>
      <c r="CN96" s="21"/>
      <c r="CO96" s="21"/>
      <c r="CP96" s="21"/>
      <c r="CQ96" s="21"/>
      <c r="CR96" s="21"/>
      <c r="CS96" s="21"/>
      <c r="CT96" s="21"/>
      <c r="CU96" s="21"/>
      <c r="CV96" s="21"/>
      <c r="CW96" s="21"/>
      <c r="CX96" s="21"/>
      <c r="CY96" s="21"/>
      <c r="CZ96" s="21"/>
      <c r="DA96" s="21"/>
      <c r="DB96" s="21"/>
      <c r="DC96" s="21"/>
      <c r="DD96" s="21"/>
      <c r="DE96" s="21"/>
      <c r="DF96" s="21"/>
      <c r="DG96" s="21"/>
      <c r="DH96" s="21"/>
      <c r="DI96" s="21"/>
      <c r="DJ96" s="21"/>
      <c r="DK96" s="21"/>
      <c r="DL96" s="21"/>
      <c r="DM96" s="21"/>
      <c r="DN96" s="21"/>
      <c r="DO96" s="21"/>
      <c r="DP96" s="21"/>
      <c r="DQ96" s="21"/>
      <c r="DR96" s="21"/>
      <c r="DS96" s="21"/>
      <c r="DT96" s="21"/>
      <c r="DU96" s="21"/>
    </row>
    <row r="97" spans="1:125" s="12" customFormat="1" x14ac:dyDescent="0.3">
      <c r="A97" s="21" t="s">
        <v>16</v>
      </c>
      <c r="B97" s="21" t="s">
        <v>84</v>
      </c>
      <c r="C97" s="21" t="s">
        <v>187</v>
      </c>
      <c r="D97" s="42">
        <f>D60*(inputs!$E$26*inputs!$E$27)</f>
        <v>5585225.608375431</v>
      </c>
      <c r="E97" s="21" t="str">
        <f t="shared" ca="1" si="1"/>
        <v>=D60*(inputs!$E$26*inputs!$E$27)</v>
      </c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  <c r="BQ97" s="21"/>
      <c r="BR97" s="21"/>
      <c r="BS97" s="21"/>
      <c r="BT97" s="21"/>
      <c r="BU97" s="21"/>
      <c r="BV97" s="21"/>
      <c r="BW97" s="21"/>
      <c r="BX97" s="21"/>
      <c r="BY97" s="21"/>
      <c r="BZ97" s="21"/>
      <c r="CA97" s="21"/>
      <c r="CB97" s="21"/>
      <c r="CC97" s="21"/>
      <c r="CD97" s="21"/>
      <c r="CE97" s="21"/>
      <c r="CF97" s="21"/>
      <c r="CG97" s="21"/>
      <c r="CH97" s="21"/>
      <c r="CI97" s="21"/>
      <c r="CJ97" s="21"/>
      <c r="CK97" s="21"/>
      <c r="CL97" s="21"/>
      <c r="CM97" s="21"/>
      <c r="CN97" s="21"/>
      <c r="CO97" s="21"/>
      <c r="CP97" s="21"/>
      <c r="CQ97" s="21"/>
      <c r="CR97" s="21"/>
      <c r="CS97" s="21"/>
      <c r="CT97" s="21"/>
      <c r="CU97" s="21"/>
      <c r="CV97" s="21"/>
      <c r="CW97" s="21"/>
      <c r="CX97" s="21"/>
      <c r="CY97" s="21"/>
      <c r="CZ97" s="21"/>
      <c r="DA97" s="21"/>
      <c r="DB97" s="21"/>
      <c r="DC97" s="21"/>
      <c r="DD97" s="21"/>
      <c r="DE97" s="21"/>
      <c r="DF97" s="21"/>
      <c r="DG97" s="21"/>
      <c r="DH97" s="21"/>
      <c r="DI97" s="21"/>
      <c r="DJ97" s="21"/>
      <c r="DK97" s="21"/>
      <c r="DL97" s="21"/>
      <c r="DM97" s="21"/>
      <c r="DN97" s="21"/>
      <c r="DO97" s="21"/>
      <c r="DP97" s="21"/>
      <c r="DQ97" s="21"/>
      <c r="DR97" s="21"/>
      <c r="DS97" s="21"/>
      <c r="DT97" s="21"/>
      <c r="DU97" s="21"/>
    </row>
    <row r="98" spans="1:125" s="12" customFormat="1" x14ac:dyDescent="0.3">
      <c r="A98" s="21" t="s">
        <v>16</v>
      </c>
      <c r="B98" s="21" t="s">
        <v>84</v>
      </c>
      <c r="C98" s="21" t="s">
        <v>188</v>
      </c>
      <c r="D98" s="42">
        <f>D61*(inputs!$E$26*inputs!$E$27)</f>
        <v>5418753.3499510372</v>
      </c>
      <c r="E98" s="21" t="str">
        <f t="shared" ca="1" si="1"/>
        <v>=D61*(inputs!$E$26*inputs!$E$27)</v>
      </c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  <c r="AZ98" s="21"/>
      <c r="BA98" s="21"/>
      <c r="BB98" s="21"/>
      <c r="BC98" s="21"/>
      <c r="BD98" s="21"/>
      <c r="BE98" s="21"/>
      <c r="BF98" s="21"/>
      <c r="BG98" s="21"/>
      <c r="BH98" s="21"/>
      <c r="BI98" s="21"/>
      <c r="BJ98" s="21"/>
      <c r="BK98" s="21"/>
      <c r="BL98" s="21"/>
      <c r="BM98" s="21"/>
      <c r="BN98" s="21"/>
      <c r="BO98" s="21"/>
      <c r="BP98" s="21"/>
      <c r="BQ98" s="21"/>
      <c r="BR98" s="21"/>
      <c r="BS98" s="21"/>
      <c r="BT98" s="21"/>
      <c r="BU98" s="21"/>
      <c r="BV98" s="21"/>
      <c r="BW98" s="21"/>
      <c r="BX98" s="21"/>
      <c r="BY98" s="21"/>
      <c r="BZ98" s="21"/>
      <c r="CA98" s="21"/>
      <c r="CB98" s="21"/>
      <c r="CC98" s="21"/>
      <c r="CD98" s="21"/>
      <c r="CE98" s="21"/>
      <c r="CF98" s="21"/>
      <c r="CG98" s="21"/>
      <c r="CH98" s="21"/>
      <c r="CI98" s="21"/>
      <c r="CJ98" s="21"/>
      <c r="CK98" s="21"/>
      <c r="CL98" s="21"/>
      <c r="CM98" s="21"/>
      <c r="CN98" s="21"/>
      <c r="CO98" s="21"/>
      <c r="CP98" s="21"/>
      <c r="CQ98" s="21"/>
      <c r="CR98" s="21"/>
      <c r="CS98" s="21"/>
      <c r="CT98" s="21"/>
      <c r="CU98" s="21"/>
      <c r="CV98" s="21"/>
      <c r="CW98" s="21"/>
      <c r="CX98" s="21"/>
      <c r="CY98" s="21"/>
      <c r="CZ98" s="21"/>
      <c r="DA98" s="21"/>
      <c r="DB98" s="21"/>
      <c r="DC98" s="21"/>
      <c r="DD98" s="21"/>
      <c r="DE98" s="21"/>
      <c r="DF98" s="21"/>
      <c r="DG98" s="21"/>
      <c r="DH98" s="21"/>
      <c r="DI98" s="21"/>
      <c r="DJ98" s="21"/>
      <c r="DK98" s="21"/>
      <c r="DL98" s="21"/>
      <c r="DM98" s="21"/>
      <c r="DN98" s="21"/>
      <c r="DO98" s="21"/>
      <c r="DP98" s="21"/>
      <c r="DQ98" s="21"/>
      <c r="DR98" s="21"/>
      <c r="DS98" s="21"/>
      <c r="DT98" s="21"/>
      <c r="DU98" s="21"/>
    </row>
    <row r="99" spans="1:125" s="12" customFormat="1" x14ac:dyDescent="0.3">
      <c r="A99" s="21" t="s">
        <v>16</v>
      </c>
      <c r="B99" s="21" t="s">
        <v>84</v>
      </c>
      <c r="C99" s="21" t="s">
        <v>189</v>
      </c>
      <c r="D99" s="42">
        <f>D62*(inputs!$E$26*inputs!$E$27)</f>
        <v>5257242.9345690012</v>
      </c>
      <c r="E99" s="21" t="str">
        <f t="shared" ca="1" si="1"/>
        <v>=D62*(inputs!$E$26*inputs!$E$27)</v>
      </c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  <c r="BR99" s="21"/>
      <c r="BS99" s="21"/>
      <c r="BT99" s="21"/>
      <c r="BU99" s="21"/>
      <c r="BV99" s="21"/>
      <c r="BW99" s="21"/>
      <c r="BX99" s="21"/>
      <c r="BY99" s="21"/>
      <c r="BZ99" s="21"/>
      <c r="CA99" s="21"/>
      <c r="CB99" s="21"/>
      <c r="CC99" s="21"/>
      <c r="CD99" s="21"/>
      <c r="CE99" s="21"/>
      <c r="CF99" s="21"/>
      <c r="CG99" s="21"/>
      <c r="CH99" s="21"/>
      <c r="CI99" s="21"/>
      <c r="CJ99" s="21"/>
      <c r="CK99" s="21"/>
      <c r="CL99" s="21"/>
      <c r="CM99" s="21"/>
      <c r="CN99" s="21"/>
      <c r="CO99" s="21"/>
      <c r="CP99" s="21"/>
      <c r="CQ99" s="21"/>
      <c r="CR99" s="21"/>
      <c r="CS99" s="21"/>
      <c r="CT99" s="21"/>
      <c r="CU99" s="21"/>
      <c r="CV99" s="21"/>
      <c r="CW99" s="21"/>
      <c r="CX99" s="21"/>
      <c r="CY99" s="21"/>
      <c r="CZ99" s="21"/>
      <c r="DA99" s="21"/>
      <c r="DB99" s="21"/>
      <c r="DC99" s="21"/>
      <c r="DD99" s="21"/>
      <c r="DE99" s="21"/>
      <c r="DF99" s="21"/>
      <c r="DG99" s="21"/>
      <c r="DH99" s="21"/>
      <c r="DI99" s="21"/>
      <c r="DJ99" s="21"/>
      <c r="DK99" s="21"/>
      <c r="DL99" s="21"/>
      <c r="DM99" s="21"/>
      <c r="DN99" s="21"/>
      <c r="DO99" s="21"/>
      <c r="DP99" s="21"/>
      <c r="DQ99" s="21"/>
      <c r="DR99" s="21"/>
      <c r="DS99" s="21"/>
      <c r="DT99" s="21"/>
      <c r="DU99" s="21"/>
    </row>
    <row r="100" spans="1:125" s="12" customFormat="1" x14ac:dyDescent="0.3">
      <c r="A100" s="21" t="s">
        <v>16</v>
      </c>
      <c r="B100" s="21" t="s">
        <v>84</v>
      </c>
      <c r="C100" s="21" t="s">
        <v>87</v>
      </c>
      <c r="D100" s="42">
        <f>D63*(inputs!$E$26*inputs!$E$27)</f>
        <v>15285397.324806748</v>
      </c>
      <c r="E100" s="21" t="str">
        <f t="shared" ca="1" si="1"/>
        <v>=D63*(inputs!$E$26*inputs!$E$27)</v>
      </c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  <c r="BR100" s="21"/>
      <c r="BS100" s="21"/>
      <c r="BT100" s="21"/>
      <c r="BU100" s="21"/>
      <c r="BV100" s="21"/>
      <c r="BW100" s="21"/>
      <c r="BX100" s="21"/>
      <c r="BY100" s="21"/>
      <c r="BZ100" s="21"/>
      <c r="CA100" s="21"/>
      <c r="CB100" s="21"/>
      <c r="CC100" s="21"/>
      <c r="CD100" s="21"/>
      <c r="CE100" s="21"/>
      <c r="CF100" s="21"/>
      <c r="CG100" s="21"/>
      <c r="CH100" s="21"/>
      <c r="CI100" s="21"/>
      <c r="CJ100" s="21"/>
      <c r="CK100" s="21"/>
      <c r="CL100" s="21"/>
      <c r="CM100" s="21"/>
      <c r="CN100" s="21"/>
      <c r="CO100" s="21"/>
      <c r="CP100" s="21"/>
      <c r="CQ100" s="21"/>
      <c r="CR100" s="21"/>
      <c r="CS100" s="21"/>
      <c r="CT100" s="21"/>
      <c r="CU100" s="21"/>
      <c r="CV100" s="21"/>
      <c r="CW100" s="21"/>
      <c r="CX100" s="21"/>
      <c r="CY100" s="21"/>
      <c r="CZ100" s="21"/>
      <c r="DA100" s="21"/>
      <c r="DB100" s="21"/>
      <c r="DC100" s="21"/>
      <c r="DD100" s="21"/>
      <c r="DE100" s="21"/>
      <c r="DF100" s="21"/>
      <c r="DG100" s="21"/>
      <c r="DH100" s="21"/>
      <c r="DI100" s="21"/>
      <c r="DJ100" s="21"/>
      <c r="DK100" s="21"/>
      <c r="DL100" s="21"/>
      <c r="DM100" s="21"/>
      <c r="DN100" s="21"/>
      <c r="DO100" s="21"/>
      <c r="DP100" s="21"/>
      <c r="DQ100" s="21"/>
      <c r="DR100" s="21"/>
      <c r="DS100" s="21"/>
      <c r="DT100" s="21"/>
      <c r="DU100" s="21"/>
    </row>
    <row r="101" spans="1:125" s="12" customFormat="1" x14ac:dyDescent="0.3">
      <c r="A101" s="21" t="s">
        <v>16</v>
      </c>
      <c r="B101" s="21" t="s">
        <v>84</v>
      </c>
      <c r="C101" s="21" t="s">
        <v>88</v>
      </c>
      <c r="D101" s="42">
        <f>D64*(inputs!$E$26*inputs!$E$27)</f>
        <v>14777880.135880999</v>
      </c>
      <c r="E101" s="21" t="str">
        <f t="shared" ca="1" si="1"/>
        <v>=D64*(inputs!$E$26*inputs!$E$27)</v>
      </c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  <c r="BR101" s="21"/>
      <c r="BS101" s="21"/>
      <c r="BT101" s="21"/>
      <c r="BU101" s="21"/>
      <c r="BV101" s="21"/>
      <c r="BW101" s="21"/>
      <c r="BX101" s="21"/>
      <c r="BY101" s="21"/>
      <c r="BZ101" s="21"/>
      <c r="CA101" s="21"/>
      <c r="CB101" s="21"/>
      <c r="CC101" s="21"/>
      <c r="CD101" s="21"/>
      <c r="CE101" s="21"/>
      <c r="CF101" s="21"/>
      <c r="CG101" s="21"/>
      <c r="CH101" s="21"/>
      <c r="CI101" s="21"/>
      <c r="CJ101" s="21"/>
      <c r="CK101" s="21"/>
      <c r="CL101" s="21"/>
      <c r="CM101" s="21"/>
      <c r="CN101" s="21"/>
      <c r="CO101" s="21"/>
      <c r="CP101" s="21"/>
      <c r="CQ101" s="21"/>
      <c r="CR101" s="21"/>
      <c r="CS101" s="21"/>
      <c r="CT101" s="21"/>
      <c r="CU101" s="21"/>
      <c r="CV101" s="21"/>
      <c r="CW101" s="21"/>
      <c r="CX101" s="21"/>
      <c r="CY101" s="21"/>
      <c r="CZ101" s="21"/>
      <c r="DA101" s="21"/>
      <c r="DB101" s="21"/>
      <c r="DC101" s="21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1"/>
      <c r="DQ101" s="21"/>
      <c r="DR101" s="21"/>
      <c r="DS101" s="21"/>
      <c r="DT101" s="21"/>
      <c r="DU101" s="21"/>
    </row>
    <row r="102" spans="1:125" s="12" customFormat="1" x14ac:dyDescent="0.3">
      <c r="A102" s="21" t="s">
        <v>16</v>
      </c>
      <c r="B102" s="21" t="s">
        <v>84</v>
      </c>
      <c r="C102" s="21" t="s">
        <v>89</v>
      </c>
      <c r="D102" s="42">
        <f>D65*(inputs!$E$26*inputs!$E$27)</f>
        <v>2867482.6446186183</v>
      </c>
      <c r="E102" s="21" t="str">
        <f t="shared" ca="1" si="1"/>
        <v>=D65*(inputs!$E$26*inputs!$E$27)</v>
      </c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  <c r="AY102" s="21"/>
      <c r="AZ102" s="21"/>
      <c r="BA102" s="21"/>
      <c r="BB102" s="21"/>
      <c r="BC102" s="21"/>
      <c r="BD102" s="21"/>
      <c r="BE102" s="21"/>
      <c r="BF102" s="21"/>
      <c r="BG102" s="21"/>
      <c r="BH102" s="21"/>
      <c r="BI102" s="21"/>
      <c r="BJ102" s="21"/>
      <c r="BK102" s="21"/>
      <c r="BL102" s="21"/>
      <c r="BM102" s="21"/>
      <c r="BN102" s="21"/>
      <c r="BO102" s="21"/>
      <c r="BP102" s="21"/>
      <c r="BQ102" s="21"/>
      <c r="BR102" s="21"/>
      <c r="BS102" s="21"/>
      <c r="BT102" s="21"/>
      <c r="BU102" s="21"/>
      <c r="BV102" s="21"/>
      <c r="BW102" s="21"/>
      <c r="BX102" s="21"/>
      <c r="BY102" s="21"/>
      <c r="BZ102" s="21"/>
      <c r="CA102" s="21"/>
      <c r="CB102" s="21"/>
      <c r="CC102" s="21"/>
      <c r="CD102" s="21"/>
      <c r="CE102" s="21"/>
      <c r="CF102" s="21"/>
      <c r="CG102" s="21"/>
      <c r="CH102" s="21"/>
      <c r="CI102" s="21"/>
      <c r="CJ102" s="21"/>
      <c r="CK102" s="21"/>
      <c r="CL102" s="21"/>
      <c r="CM102" s="21"/>
      <c r="CN102" s="21"/>
      <c r="CO102" s="21"/>
      <c r="CP102" s="21"/>
      <c r="CQ102" s="21"/>
      <c r="CR102" s="21"/>
      <c r="CS102" s="21"/>
      <c r="CT102" s="21"/>
      <c r="CU102" s="21"/>
      <c r="CV102" s="21"/>
      <c r="CW102" s="21"/>
      <c r="CX102" s="21"/>
      <c r="CY102" s="21"/>
      <c r="CZ102" s="21"/>
      <c r="DA102" s="21"/>
      <c r="DB102" s="21"/>
      <c r="DC102" s="21"/>
      <c r="DD102" s="21"/>
      <c r="DE102" s="21"/>
      <c r="DF102" s="21"/>
      <c r="DG102" s="21"/>
      <c r="DH102" s="21"/>
      <c r="DI102" s="21"/>
      <c r="DJ102" s="21"/>
      <c r="DK102" s="21"/>
      <c r="DL102" s="21"/>
      <c r="DM102" s="21"/>
      <c r="DN102" s="21"/>
      <c r="DO102" s="21"/>
      <c r="DP102" s="21"/>
      <c r="DQ102" s="21"/>
      <c r="DR102" s="21"/>
      <c r="DS102" s="21"/>
      <c r="DT102" s="21"/>
      <c r="DU102" s="21"/>
    </row>
    <row r="103" spans="1:125" s="12" customFormat="1" x14ac:dyDescent="0.3">
      <c r="A103" s="21" t="s">
        <v>16</v>
      </c>
      <c r="B103" s="21" t="s">
        <v>84</v>
      </c>
      <c r="C103" s="21" t="s">
        <v>154</v>
      </c>
      <c r="D103" s="42">
        <f>D66*(inputs!$E$26*inputs!$E$27)</f>
        <v>2782014.958026588</v>
      </c>
      <c r="E103" s="21" t="str">
        <f t="shared" ca="1" si="1"/>
        <v>=D66*(inputs!$E$26*inputs!$E$27)</v>
      </c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  <c r="BQ103" s="21"/>
      <c r="BR103" s="21"/>
      <c r="BS103" s="21"/>
      <c r="BT103" s="21"/>
      <c r="BU103" s="21"/>
      <c r="BV103" s="21"/>
      <c r="BW103" s="21"/>
      <c r="BX103" s="21"/>
      <c r="BY103" s="21"/>
      <c r="BZ103" s="21"/>
      <c r="CA103" s="21"/>
      <c r="CB103" s="21"/>
      <c r="CC103" s="21"/>
      <c r="CD103" s="21"/>
      <c r="CE103" s="21"/>
      <c r="CF103" s="21"/>
      <c r="CG103" s="21"/>
      <c r="CH103" s="21"/>
      <c r="CI103" s="21"/>
      <c r="CJ103" s="21"/>
      <c r="CK103" s="21"/>
      <c r="CL103" s="21"/>
      <c r="CM103" s="21"/>
      <c r="CN103" s="21"/>
      <c r="CO103" s="21"/>
      <c r="CP103" s="21"/>
      <c r="CQ103" s="21"/>
      <c r="CR103" s="21"/>
      <c r="CS103" s="21"/>
      <c r="CT103" s="21"/>
      <c r="CU103" s="21"/>
      <c r="CV103" s="21"/>
      <c r="CW103" s="21"/>
      <c r="CX103" s="21"/>
      <c r="CY103" s="21"/>
      <c r="CZ103" s="21"/>
      <c r="DA103" s="21"/>
      <c r="DB103" s="21"/>
      <c r="DC103" s="21"/>
      <c r="DD103" s="21"/>
      <c r="DE103" s="21"/>
      <c r="DF103" s="21"/>
      <c r="DG103" s="21"/>
      <c r="DH103" s="21"/>
      <c r="DI103" s="21"/>
      <c r="DJ103" s="21"/>
      <c r="DK103" s="21"/>
      <c r="DL103" s="21"/>
      <c r="DM103" s="21"/>
      <c r="DN103" s="21"/>
      <c r="DO103" s="21"/>
      <c r="DP103" s="21"/>
      <c r="DQ103" s="21"/>
      <c r="DR103" s="21"/>
      <c r="DS103" s="21"/>
      <c r="DT103" s="21"/>
      <c r="DU103" s="21"/>
    </row>
    <row r="104" spans="1:125" s="12" customFormat="1" x14ac:dyDescent="0.3">
      <c r="A104" s="21" t="s">
        <v>16</v>
      </c>
      <c r="B104" s="21" t="s">
        <v>84</v>
      </c>
      <c r="C104" s="21" t="s">
        <v>155</v>
      </c>
      <c r="D104" s="42">
        <f>D67*(inputs!$E$26*inputs!$E$27)</f>
        <v>2699094.7063650191</v>
      </c>
      <c r="E104" s="21" t="str">
        <f t="shared" ca="1" si="1"/>
        <v>=D67*(inputs!$E$26*inputs!$E$27)</v>
      </c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  <c r="BR104" s="21"/>
      <c r="BS104" s="21"/>
      <c r="BT104" s="21"/>
      <c r="BU104" s="21"/>
      <c r="BV104" s="21"/>
      <c r="BW104" s="21"/>
      <c r="BX104" s="21"/>
      <c r="BY104" s="21"/>
      <c r="BZ104" s="21"/>
      <c r="CA104" s="21"/>
      <c r="CB104" s="21"/>
      <c r="CC104" s="21"/>
      <c r="CD104" s="21"/>
      <c r="CE104" s="21"/>
      <c r="CF104" s="21"/>
      <c r="CG104" s="21"/>
      <c r="CH104" s="21"/>
      <c r="CI104" s="21"/>
      <c r="CJ104" s="21"/>
      <c r="CK104" s="21"/>
      <c r="CL104" s="21"/>
      <c r="CM104" s="21"/>
      <c r="CN104" s="21"/>
      <c r="CO104" s="21"/>
      <c r="CP104" s="21"/>
      <c r="CQ104" s="21"/>
      <c r="CR104" s="21"/>
      <c r="CS104" s="21"/>
      <c r="CT104" s="21"/>
      <c r="CU104" s="21"/>
      <c r="CV104" s="21"/>
      <c r="CW104" s="21"/>
      <c r="CX104" s="21"/>
      <c r="CY104" s="21"/>
      <c r="CZ104" s="21"/>
      <c r="DA104" s="21"/>
      <c r="DB104" s="21"/>
      <c r="DC104" s="21"/>
      <c r="DD104" s="21"/>
      <c r="DE104" s="21"/>
      <c r="DF104" s="21"/>
      <c r="DG104" s="21"/>
      <c r="DH104" s="21"/>
      <c r="DI104" s="21"/>
      <c r="DJ104" s="21"/>
      <c r="DK104" s="21"/>
      <c r="DL104" s="21"/>
      <c r="DM104" s="21"/>
      <c r="DN104" s="21"/>
      <c r="DO104" s="21"/>
      <c r="DP104" s="21"/>
      <c r="DQ104" s="21"/>
      <c r="DR104" s="21"/>
      <c r="DS104" s="21"/>
      <c r="DT104" s="21"/>
      <c r="DU104" s="21"/>
    </row>
    <row r="105" spans="1:125" s="12" customFormat="1" x14ac:dyDescent="0.3">
      <c r="A105" s="21" t="s">
        <v>16</v>
      </c>
      <c r="B105" s="21" t="s">
        <v>84</v>
      </c>
      <c r="C105" s="21" t="s">
        <v>156</v>
      </c>
      <c r="D105" s="42">
        <f>D68*(inputs!$E$26*inputs!$E$27)</f>
        <v>2618645.9612335572</v>
      </c>
      <c r="E105" s="21" t="str">
        <f t="shared" ca="1" si="1"/>
        <v>=D68*(inputs!$E$26*inputs!$E$27)</v>
      </c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1"/>
      <c r="BL105" s="21"/>
      <c r="BM105" s="21"/>
      <c r="BN105" s="21"/>
      <c r="BO105" s="21"/>
      <c r="BP105" s="21"/>
      <c r="BQ105" s="21"/>
      <c r="BR105" s="21"/>
      <c r="BS105" s="21"/>
      <c r="BT105" s="21"/>
      <c r="BU105" s="21"/>
      <c r="BV105" s="21"/>
      <c r="BW105" s="21"/>
      <c r="BX105" s="21"/>
      <c r="BY105" s="21"/>
      <c r="BZ105" s="21"/>
      <c r="CA105" s="21"/>
      <c r="CB105" s="21"/>
      <c r="CC105" s="21"/>
      <c r="CD105" s="21"/>
      <c r="CE105" s="21"/>
      <c r="CF105" s="21"/>
      <c r="CG105" s="21"/>
      <c r="CH105" s="21"/>
      <c r="CI105" s="21"/>
      <c r="CJ105" s="21"/>
      <c r="CK105" s="21"/>
      <c r="CL105" s="21"/>
      <c r="CM105" s="21"/>
      <c r="CN105" s="21"/>
      <c r="CO105" s="21"/>
      <c r="CP105" s="21"/>
      <c r="CQ105" s="21"/>
      <c r="CR105" s="21"/>
      <c r="CS105" s="21"/>
      <c r="CT105" s="21"/>
      <c r="CU105" s="21"/>
      <c r="CV105" s="21"/>
      <c r="CW105" s="21"/>
      <c r="CX105" s="21"/>
      <c r="CY105" s="21"/>
      <c r="CZ105" s="21"/>
      <c r="DA105" s="21"/>
      <c r="DB105" s="21"/>
      <c r="DC105" s="21"/>
      <c r="DD105" s="21"/>
      <c r="DE105" s="21"/>
      <c r="DF105" s="21"/>
      <c r="DG105" s="21"/>
      <c r="DH105" s="21"/>
      <c r="DI105" s="21"/>
      <c r="DJ105" s="21"/>
      <c r="DK105" s="21"/>
      <c r="DL105" s="21"/>
      <c r="DM105" s="21"/>
      <c r="DN105" s="21"/>
      <c r="DO105" s="21"/>
      <c r="DP105" s="21"/>
      <c r="DQ105" s="21"/>
      <c r="DR105" s="21"/>
      <c r="DS105" s="21"/>
      <c r="DT105" s="21"/>
      <c r="DU105" s="21"/>
    </row>
    <row r="106" spans="1:125" s="12" customFormat="1" x14ac:dyDescent="0.3">
      <c r="A106" s="21" t="s">
        <v>16</v>
      </c>
      <c r="B106" s="21" t="s">
        <v>84</v>
      </c>
      <c r="C106" s="21" t="s">
        <v>157</v>
      </c>
      <c r="D106" s="42">
        <f>D69*(inputs!$E$26*inputs!$E$27)</f>
        <v>2540595.0573404795</v>
      </c>
      <c r="E106" s="21" t="str">
        <f t="shared" ca="1" si="1"/>
        <v>=D69*(inputs!$E$26*inputs!$E$27)</v>
      </c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  <c r="AY106" s="21"/>
      <c r="AZ106" s="21"/>
      <c r="BA106" s="21"/>
      <c r="BB106" s="21"/>
      <c r="BC106" s="21"/>
      <c r="BD106" s="21"/>
      <c r="BE106" s="21"/>
      <c r="BF106" s="21"/>
      <c r="BG106" s="21"/>
      <c r="BH106" s="21"/>
      <c r="BI106" s="21"/>
      <c r="BJ106" s="21"/>
      <c r="BK106" s="21"/>
      <c r="BL106" s="21"/>
      <c r="BM106" s="21"/>
      <c r="BN106" s="21"/>
      <c r="BO106" s="21"/>
      <c r="BP106" s="21"/>
      <c r="BQ106" s="21"/>
      <c r="BR106" s="21"/>
      <c r="BS106" s="21"/>
      <c r="BT106" s="21"/>
      <c r="BU106" s="21"/>
      <c r="BV106" s="21"/>
      <c r="BW106" s="21"/>
      <c r="BX106" s="21"/>
      <c r="BY106" s="21"/>
      <c r="BZ106" s="21"/>
      <c r="CA106" s="21"/>
      <c r="CB106" s="21"/>
      <c r="CC106" s="21"/>
      <c r="CD106" s="21"/>
      <c r="CE106" s="21"/>
      <c r="CF106" s="21"/>
      <c r="CG106" s="21"/>
      <c r="CH106" s="21"/>
      <c r="CI106" s="21"/>
      <c r="CJ106" s="21"/>
      <c r="CK106" s="21"/>
      <c r="CL106" s="21"/>
      <c r="CM106" s="21"/>
      <c r="CN106" s="21"/>
      <c r="CO106" s="21"/>
      <c r="CP106" s="21"/>
      <c r="CQ106" s="21"/>
      <c r="CR106" s="21"/>
      <c r="CS106" s="21"/>
      <c r="CT106" s="21"/>
      <c r="CU106" s="21"/>
      <c r="CV106" s="21"/>
      <c r="CW106" s="21"/>
      <c r="CX106" s="21"/>
      <c r="CY106" s="21"/>
      <c r="CZ106" s="21"/>
      <c r="DA106" s="21"/>
      <c r="DB106" s="21"/>
      <c r="DC106" s="21"/>
      <c r="DD106" s="21"/>
      <c r="DE106" s="21"/>
      <c r="DF106" s="21"/>
      <c r="DG106" s="21"/>
      <c r="DH106" s="21"/>
      <c r="DI106" s="21"/>
      <c r="DJ106" s="21"/>
      <c r="DK106" s="21"/>
      <c r="DL106" s="21"/>
      <c r="DM106" s="21"/>
      <c r="DN106" s="21"/>
      <c r="DO106" s="21"/>
      <c r="DP106" s="21"/>
      <c r="DQ106" s="21"/>
      <c r="DR106" s="21"/>
      <c r="DS106" s="21"/>
      <c r="DT106" s="21"/>
      <c r="DU106" s="21"/>
    </row>
    <row r="107" spans="1:125" s="12" customFormat="1" x14ac:dyDescent="0.3">
      <c r="A107" s="21" t="s">
        <v>16</v>
      </c>
      <c r="B107" s="21" t="s">
        <v>84</v>
      </c>
      <c r="C107" s="21" t="s">
        <v>158</v>
      </c>
      <c r="D107" s="42">
        <f>D70*(inputs!$E$26*inputs!$E$27)</f>
        <v>2464870.5250488748</v>
      </c>
      <c r="E107" s="21" t="str">
        <f t="shared" ca="1" si="1"/>
        <v>=D70*(inputs!$E$26*inputs!$E$27)</v>
      </c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1"/>
      <c r="BT107" s="21"/>
      <c r="BU107" s="21"/>
      <c r="BV107" s="21"/>
      <c r="BW107" s="21"/>
      <c r="BX107" s="21"/>
      <c r="BY107" s="21"/>
      <c r="BZ107" s="21"/>
      <c r="CA107" s="21"/>
      <c r="CB107" s="21"/>
      <c r="CC107" s="21"/>
      <c r="CD107" s="21"/>
      <c r="CE107" s="21"/>
      <c r="CF107" s="21"/>
      <c r="CG107" s="21"/>
      <c r="CH107" s="21"/>
      <c r="CI107" s="21"/>
      <c r="CJ107" s="21"/>
      <c r="CK107" s="21"/>
      <c r="CL107" s="21"/>
      <c r="CM107" s="21"/>
      <c r="CN107" s="21"/>
      <c r="CO107" s="21"/>
      <c r="CP107" s="21"/>
      <c r="CQ107" s="21"/>
      <c r="CR107" s="21"/>
      <c r="CS107" s="21"/>
      <c r="CT107" s="21"/>
      <c r="CU107" s="21"/>
      <c r="CV107" s="21"/>
      <c r="CW107" s="21"/>
      <c r="CX107" s="21"/>
      <c r="CY107" s="21"/>
      <c r="CZ107" s="21"/>
      <c r="DA107" s="21"/>
      <c r="DB107" s="21"/>
      <c r="DC107" s="21"/>
      <c r="DD107" s="21"/>
      <c r="DE107" s="21"/>
      <c r="DF107" s="21"/>
      <c r="DG107" s="21"/>
      <c r="DH107" s="21"/>
      <c r="DI107" s="21"/>
      <c r="DJ107" s="21"/>
      <c r="DK107" s="21"/>
      <c r="DL107" s="21"/>
      <c r="DM107" s="21"/>
      <c r="DN107" s="21"/>
      <c r="DO107" s="21"/>
      <c r="DP107" s="21"/>
      <c r="DQ107" s="21"/>
      <c r="DR107" s="21"/>
      <c r="DS107" s="21"/>
      <c r="DT107" s="21"/>
      <c r="DU107" s="21"/>
    </row>
    <row r="108" spans="1:125" s="12" customFormat="1" x14ac:dyDescent="0.3">
      <c r="A108" s="21" t="s">
        <v>16</v>
      </c>
      <c r="B108" s="21" t="s">
        <v>84</v>
      </c>
      <c r="C108" s="21" t="s">
        <v>159</v>
      </c>
      <c r="D108" s="42">
        <f>D71*(inputs!$E$26*inputs!$E$27)</f>
        <v>2391403.02493334</v>
      </c>
      <c r="E108" s="21" t="str">
        <f t="shared" ca="1" si="1"/>
        <v>=D71*(inputs!$E$26*inputs!$E$27)</v>
      </c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  <c r="BO108" s="21"/>
      <c r="BP108" s="21"/>
      <c r="BQ108" s="21"/>
      <c r="BR108" s="21"/>
      <c r="BS108" s="21"/>
      <c r="BT108" s="21"/>
      <c r="BU108" s="21"/>
      <c r="BV108" s="21"/>
      <c r="BW108" s="21"/>
      <c r="BX108" s="21"/>
      <c r="BY108" s="21"/>
      <c r="BZ108" s="21"/>
      <c r="CA108" s="21"/>
      <c r="CB108" s="21"/>
      <c r="CC108" s="21"/>
      <c r="CD108" s="21"/>
      <c r="CE108" s="21"/>
      <c r="CF108" s="21"/>
      <c r="CG108" s="21"/>
      <c r="CH108" s="21"/>
      <c r="CI108" s="21"/>
      <c r="CJ108" s="21"/>
      <c r="CK108" s="21"/>
      <c r="CL108" s="21"/>
      <c r="CM108" s="21"/>
      <c r="CN108" s="21"/>
      <c r="CO108" s="21"/>
      <c r="CP108" s="21"/>
      <c r="CQ108" s="21"/>
      <c r="CR108" s="21"/>
      <c r="CS108" s="21"/>
      <c r="CT108" s="21"/>
      <c r="CU108" s="21"/>
      <c r="CV108" s="21"/>
      <c r="CW108" s="21"/>
      <c r="CX108" s="21"/>
      <c r="CY108" s="21"/>
      <c r="CZ108" s="21"/>
      <c r="DA108" s="21"/>
      <c r="DB108" s="21"/>
      <c r="DC108" s="21"/>
      <c r="DD108" s="21"/>
      <c r="DE108" s="21"/>
      <c r="DF108" s="21"/>
      <c r="DG108" s="21"/>
      <c r="DH108" s="21"/>
      <c r="DI108" s="21"/>
      <c r="DJ108" s="21"/>
      <c r="DK108" s="21"/>
      <c r="DL108" s="21"/>
      <c r="DM108" s="21"/>
      <c r="DN108" s="21"/>
      <c r="DO108" s="21"/>
      <c r="DP108" s="21"/>
      <c r="DQ108" s="21"/>
      <c r="DR108" s="21"/>
      <c r="DS108" s="21"/>
      <c r="DT108" s="21"/>
      <c r="DU108" s="21"/>
    </row>
    <row r="109" spans="1:125" s="12" customFormat="1" x14ac:dyDescent="0.3">
      <c r="A109" s="21" t="s">
        <v>16</v>
      </c>
      <c r="B109" s="21" t="s">
        <v>84</v>
      </c>
      <c r="C109" s="21" t="s">
        <v>160</v>
      </c>
      <c r="D109" s="42">
        <f>D72*(inputs!$E$26*inputs!$E$27)</f>
        <v>2320125.2842872688</v>
      </c>
      <c r="E109" s="21" t="str">
        <f t="shared" ca="1" si="1"/>
        <v>=D72*(inputs!$E$26*inputs!$E$27)</v>
      </c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  <c r="BO109" s="21"/>
      <c r="BP109" s="21"/>
      <c r="BQ109" s="21"/>
      <c r="BR109" s="21"/>
      <c r="BS109" s="21"/>
      <c r="BT109" s="21"/>
      <c r="BU109" s="21"/>
      <c r="BV109" s="21"/>
      <c r="BW109" s="21"/>
      <c r="BX109" s="21"/>
      <c r="BY109" s="21"/>
      <c r="BZ109" s="21"/>
      <c r="CA109" s="21"/>
      <c r="CB109" s="21"/>
      <c r="CC109" s="21"/>
      <c r="CD109" s="21"/>
      <c r="CE109" s="21"/>
      <c r="CF109" s="21"/>
      <c r="CG109" s="21"/>
      <c r="CH109" s="21"/>
      <c r="CI109" s="21"/>
      <c r="CJ109" s="21"/>
      <c r="CK109" s="21"/>
      <c r="CL109" s="21"/>
      <c r="CM109" s="21"/>
      <c r="CN109" s="21"/>
      <c r="CO109" s="21"/>
      <c r="CP109" s="21"/>
      <c r="CQ109" s="21"/>
      <c r="CR109" s="21"/>
      <c r="CS109" s="21"/>
      <c r="CT109" s="21"/>
      <c r="CU109" s="21"/>
      <c r="CV109" s="21"/>
      <c r="CW109" s="21"/>
      <c r="CX109" s="21"/>
      <c r="CY109" s="21"/>
      <c r="CZ109" s="21"/>
      <c r="DA109" s="21"/>
      <c r="DB109" s="21"/>
      <c r="DC109" s="21"/>
      <c r="DD109" s="21"/>
      <c r="DE109" s="21"/>
      <c r="DF109" s="21"/>
      <c r="DG109" s="21"/>
      <c r="DH109" s="21"/>
      <c r="DI109" s="21"/>
      <c r="DJ109" s="21"/>
      <c r="DK109" s="21"/>
      <c r="DL109" s="21"/>
      <c r="DM109" s="21"/>
      <c r="DN109" s="21"/>
      <c r="DO109" s="21"/>
      <c r="DP109" s="21"/>
      <c r="DQ109" s="21"/>
      <c r="DR109" s="21"/>
      <c r="DS109" s="21"/>
      <c r="DT109" s="21"/>
      <c r="DU109" s="21"/>
    </row>
    <row r="110" spans="1:125" s="12" customFormat="1" x14ac:dyDescent="0.3">
      <c r="A110" s="21" t="s">
        <v>16</v>
      </c>
      <c r="B110" s="21" t="s">
        <v>84</v>
      </c>
      <c r="C110" s="21" t="s">
        <v>161</v>
      </c>
      <c r="D110" s="42">
        <f>D73*(inputs!$E$26*inputs!$E$27)</f>
        <v>2250972.0355225899</v>
      </c>
      <c r="E110" s="21" t="str">
        <f t="shared" ca="1" si="1"/>
        <v>=D73*(inputs!$E$26*inputs!$E$27)</v>
      </c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1"/>
      <c r="BI110" s="21"/>
      <c r="BJ110" s="21"/>
      <c r="BK110" s="21"/>
      <c r="BL110" s="21"/>
      <c r="BM110" s="21"/>
      <c r="BN110" s="21"/>
      <c r="BO110" s="21"/>
      <c r="BP110" s="21"/>
      <c r="BQ110" s="21"/>
      <c r="BR110" s="21"/>
      <c r="BS110" s="21"/>
      <c r="BT110" s="21"/>
      <c r="BU110" s="21"/>
      <c r="BV110" s="21"/>
      <c r="BW110" s="21"/>
      <c r="BX110" s="21"/>
      <c r="BY110" s="21"/>
      <c r="BZ110" s="21"/>
      <c r="CA110" s="21"/>
      <c r="CB110" s="21"/>
      <c r="CC110" s="21"/>
      <c r="CD110" s="21"/>
      <c r="CE110" s="21"/>
      <c r="CF110" s="21"/>
      <c r="CG110" s="21"/>
      <c r="CH110" s="21"/>
      <c r="CI110" s="21"/>
      <c r="CJ110" s="21"/>
      <c r="CK110" s="21"/>
      <c r="CL110" s="21"/>
      <c r="CM110" s="21"/>
      <c r="CN110" s="21"/>
      <c r="CO110" s="21"/>
      <c r="CP110" s="21"/>
      <c r="CQ110" s="21"/>
      <c r="CR110" s="21"/>
      <c r="CS110" s="21"/>
      <c r="CT110" s="21"/>
      <c r="CU110" s="21"/>
      <c r="CV110" s="21"/>
      <c r="CW110" s="21"/>
      <c r="CX110" s="21"/>
      <c r="CY110" s="21"/>
      <c r="CZ110" s="21"/>
      <c r="DA110" s="21"/>
      <c r="DB110" s="21"/>
      <c r="DC110" s="21"/>
      <c r="DD110" s="21"/>
      <c r="DE110" s="21"/>
      <c r="DF110" s="21"/>
      <c r="DG110" s="21"/>
      <c r="DH110" s="21"/>
      <c r="DI110" s="21"/>
      <c r="DJ110" s="21"/>
      <c r="DK110" s="21"/>
      <c r="DL110" s="21"/>
      <c r="DM110" s="21"/>
      <c r="DN110" s="21"/>
      <c r="DO110" s="21"/>
      <c r="DP110" s="21"/>
      <c r="DQ110" s="21"/>
      <c r="DR110" s="21"/>
      <c r="DS110" s="21"/>
      <c r="DT110" s="21"/>
      <c r="DU110" s="21"/>
    </row>
    <row r="111" spans="1:125" s="12" customFormat="1" x14ac:dyDescent="0.3">
      <c r="A111" s="21" t="s">
        <v>16</v>
      </c>
      <c r="B111" s="21" t="s">
        <v>84</v>
      </c>
      <c r="C111" s="21" t="s">
        <v>162</v>
      </c>
      <c r="D111" s="42">
        <f>D74*(inputs!$E$26*inputs!$E$27)</f>
        <v>2183879.9564055572</v>
      </c>
      <c r="E111" s="21" t="str">
        <f t="shared" ca="1" si="1"/>
        <v>=D74*(inputs!$E$26*inputs!$E$27)</v>
      </c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  <c r="BS111" s="21"/>
      <c r="BT111" s="21"/>
      <c r="BU111" s="21"/>
      <c r="BV111" s="21"/>
      <c r="BW111" s="21"/>
      <c r="BX111" s="21"/>
      <c r="BY111" s="21"/>
      <c r="BZ111" s="21"/>
      <c r="CA111" s="21"/>
      <c r="CB111" s="21"/>
      <c r="CC111" s="21"/>
      <c r="CD111" s="21"/>
      <c r="CE111" s="21"/>
      <c r="CF111" s="21"/>
      <c r="CG111" s="21"/>
      <c r="CH111" s="21"/>
      <c r="CI111" s="21"/>
      <c r="CJ111" s="21"/>
      <c r="CK111" s="21"/>
      <c r="CL111" s="21"/>
      <c r="CM111" s="21"/>
      <c r="CN111" s="21"/>
      <c r="CO111" s="21"/>
      <c r="CP111" s="21"/>
      <c r="CQ111" s="21"/>
      <c r="CR111" s="21"/>
      <c r="CS111" s="21"/>
      <c r="CT111" s="21"/>
      <c r="CU111" s="21"/>
      <c r="CV111" s="21"/>
      <c r="CW111" s="21"/>
      <c r="CX111" s="21"/>
      <c r="CY111" s="21"/>
      <c r="CZ111" s="21"/>
      <c r="DA111" s="21"/>
      <c r="DB111" s="21"/>
      <c r="DC111" s="21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1"/>
      <c r="DQ111" s="21"/>
      <c r="DR111" s="21"/>
      <c r="DS111" s="21"/>
      <c r="DT111" s="21"/>
      <c r="DU111" s="21"/>
    </row>
    <row r="112" spans="1:125" s="12" customFormat="1" x14ac:dyDescent="0.3">
      <c r="A112" s="21" t="s">
        <v>16</v>
      </c>
      <c r="B112" s="21" t="s">
        <v>84</v>
      </c>
      <c r="C112" s="21" t="s">
        <v>90</v>
      </c>
      <c r="D112" s="42">
        <f>D75*(inputs!$E$26*inputs!$E$27)</f>
        <v>2703401.3885628954</v>
      </c>
      <c r="E112" s="21" t="str">
        <f t="shared" ca="1" si="1"/>
        <v>=D75*(inputs!$E$26*inputs!$E$27)</v>
      </c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  <c r="BQ112" s="21"/>
      <c r="BR112" s="21"/>
      <c r="BS112" s="21"/>
      <c r="BT112" s="21"/>
      <c r="BU112" s="21"/>
      <c r="BV112" s="21"/>
      <c r="BW112" s="21"/>
      <c r="BX112" s="21"/>
      <c r="BY112" s="21"/>
      <c r="BZ112" s="21"/>
      <c r="CA112" s="21"/>
      <c r="CB112" s="21"/>
      <c r="CC112" s="21"/>
      <c r="CD112" s="21"/>
      <c r="CE112" s="21"/>
      <c r="CF112" s="21"/>
      <c r="CG112" s="21"/>
      <c r="CH112" s="21"/>
      <c r="CI112" s="21"/>
      <c r="CJ112" s="21"/>
      <c r="CK112" s="21"/>
      <c r="CL112" s="21"/>
      <c r="CM112" s="21"/>
      <c r="CN112" s="21"/>
      <c r="CO112" s="21"/>
      <c r="CP112" s="21"/>
      <c r="CQ112" s="21"/>
      <c r="CR112" s="21"/>
      <c r="CS112" s="21"/>
      <c r="CT112" s="21"/>
      <c r="CU112" s="21"/>
      <c r="CV112" s="21"/>
      <c r="CW112" s="21"/>
      <c r="CX112" s="21"/>
      <c r="CY112" s="21"/>
      <c r="CZ112" s="21"/>
      <c r="DA112" s="21"/>
      <c r="DB112" s="21"/>
      <c r="DC112" s="21"/>
      <c r="DD112" s="21"/>
      <c r="DE112" s="21"/>
      <c r="DF112" s="21"/>
      <c r="DG112" s="21"/>
      <c r="DH112" s="21"/>
      <c r="DI112" s="21"/>
      <c r="DJ112" s="21"/>
      <c r="DK112" s="21"/>
      <c r="DL112" s="21"/>
      <c r="DM112" s="21"/>
      <c r="DN112" s="21"/>
      <c r="DO112" s="21"/>
      <c r="DP112" s="21"/>
      <c r="DQ112" s="21"/>
      <c r="DR112" s="21"/>
      <c r="DS112" s="21"/>
      <c r="DT112" s="21"/>
      <c r="DU112" s="21"/>
    </row>
    <row r="113" spans="1:125" s="12" customFormat="1" x14ac:dyDescent="0.3">
      <c r="A113" s="21" t="s">
        <v>16</v>
      </c>
      <c r="B113" s="21" t="s">
        <v>84</v>
      </c>
      <c r="C113" s="21" t="s">
        <v>91</v>
      </c>
      <c r="D113" s="42">
        <f>D76*(inputs!$E$26*inputs!$E$27)</f>
        <v>7467545.8133441219</v>
      </c>
      <c r="E113" s="21" t="str">
        <f t="shared" ca="1" si="1"/>
        <v>=D76*(inputs!$E$26*inputs!$E$27)</v>
      </c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  <c r="BQ113" s="21"/>
      <c r="BR113" s="21"/>
      <c r="BS113" s="21"/>
      <c r="BT113" s="21"/>
      <c r="BU113" s="21"/>
      <c r="BV113" s="21"/>
      <c r="BW113" s="21"/>
      <c r="BX113" s="21"/>
      <c r="BY113" s="21"/>
      <c r="BZ113" s="21"/>
      <c r="CA113" s="21"/>
      <c r="CB113" s="21"/>
      <c r="CC113" s="21"/>
      <c r="CD113" s="21"/>
      <c r="CE113" s="21"/>
      <c r="CF113" s="21"/>
      <c r="CG113" s="21"/>
      <c r="CH113" s="21"/>
      <c r="CI113" s="21"/>
      <c r="CJ113" s="21"/>
      <c r="CK113" s="21"/>
      <c r="CL113" s="21"/>
      <c r="CM113" s="21"/>
      <c r="CN113" s="21"/>
      <c r="CO113" s="21"/>
      <c r="CP113" s="21"/>
      <c r="CQ113" s="21"/>
      <c r="CR113" s="21"/>
      <c r="CS113" s="21"/>
      <c r="CT113" s="21"/>
      <c r="CU113" s="21"/>
      <c r="CV113" s="21"/>
      <c r="CW113" s="21"/>
      <c r="CX113" s="21"/>
      <c r="CY113" s="21"/>
      <c r="CZ113" s="21"/>
      <c r="DA113" s="21"/>
      <c r="DB113" s="21"/>
      <c r="DC113" s="21"/>
      <c r="DD113" s="21"/>
      <c r="DE113" s="21"/>
      <c r="DF113" s="21"/>
      <c r="DG113" s="21"/>
      <c r="DH113" s="21"/>
      <c r="DI113" s="21"/>
      <c r="DJ113" s="21"/>
      <c r="DK113" s="21"/>
      <c r="DL113" s="21"/>
      <c r="DM113" s="21"/>
      <c r="DN113" s="21"/>
      <c r="DO113" s="21"/>
      <c r="DP113" s="21"/>
      <c r="DQ113" s="21"/>
      <c r="DR113" s="21"/>
      <c r="DS113" s="21"/>
      <c r="DT113" s="21"/>
      <c r="DU113" s="21"/>
    </row>
    <row r="114" spans="1:125" s="12" customFormat="1" x14ac:dyDescent="0.3">
      <c r="A114" s="21" t="s">
        <v>16</v>
      </c>
      <c r="B114" s="21" t="s">
        <v>84</v>
      </c>
      <c r="C114" s="21" t="s">
        <v>92</v>
      </c>
      <c r="D114" s="42">
        <f>D77*(inputs!$E$26*inputs!$E$27)</f>
        <v>1448993.8895679188</v>
      </c>
      <c r="E114" s="21" t="str">
        <f t="shared" ca="1" si="1"/>
        <v>=D77*(inputs!$E$26*inputs!$E$27)</v>
      </c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  <c r="AZ114" s="21"/>
      <c r="BA114" s="21"/>
      <c r="BB114" s="21"/>
      <c r="BC114" s="21"/>
      <c r="BD114" s="21"/>
      <c r="BE114" s="21"/>
      <c r="BF114" s="21"/>
      <c r="BG114" s="21"/>
      <c r="BH114" s="21"/>
      <c r="BI114" s="21"/>
      <c r="BJ114" s="21"/>
      <c r="BK114" s="21"/>
      <c r="BL114" s="21"/>
      <c r="BM114" s="21"/>
      <c r="BN114" s="21"/>
      <c r="BO114" s="21"/>
      <c r="BP114" s="21"/>
      <c r="BQ114" s="21"/>
      <c r="BR114" s="21"/>
      <c r="BS114" s="21"/>
      <c r="BT114" s="21"/>
      <c r="BU114" s="21"/>
      <c r="BV114" s="21"/>
      <c r="BW114" s="21"/>
      <c r="BX114" s="21"/>
      <c r="BY114" s="21"/>
      <c r="BZ114" s="21"/>
      <c r="CA114" s="21"/>
      <c r="CB114" s="21"/>
      <c r="CC114" s="21"/>
      <c r="CD114" s="21"/>
      <c r="CE114" s="21"/>
      <c r="CF114" s="21"/>
      <c r="CG114" s="21"/>
      <c r="CH114" s="21"/>
      <c r="CI114" s="21"/>
      <c r="CJ114" s="21"/>
      <c r="CK114" s="21"/>
      <c r="CL114" s="21"/>
      <c r="CM114" s="21"/>
      <c r="CN114" s="21"/>
      <c r="CO114" s="21"/>
      <c r="CP114" s="21"/>
      <c r="CQ114" s="21"/>
      <c r="CR114" s="21"/>
      <c r="CS114" s="21"/>
      <c r="CT114" s="21"/>
      <c r="CU114" s="21"/>
      <c r="CV114" s="21"/>
      <c r="CW114" s="21"/>
      <c r="CX114" s="21"/>
      <c r="CY114" s="21"/>
      <c r="CZ114" s="21"/>
      <c r="DA114" s="21"/>
      <c r="DB114" s="21"/>
      <c r="DC114" s="21"/>
      <c r="DD114" s="21"/>
      <c r="DE114" s="21"/>
      <c r="DF114" s="21"/>
      <c r="DG114" s="21"/>
      <c r="DH114" s="21"/>
      <c r="DI114" s="21"/>
      <c r="DJ114" s="21"/>
      <c r="DK114" s="21"/>
      <c r="DL114" s="21"/>
      <c r="DM114" s="21"/>
      <c r="DN114" s="21"/>
      <c r="DO114" s="21"/>
      <c r="DP114" s="21"/>
      <c r="DQ114" s="21"/>
      <c r="DR114" s="21"/>
      <c r="DS114" s="21"/>
      <c r="DT114" s="21"/>
      <c r="DU114" s="21"/>
    </row>
    <row r="115" spans="1:125" s="12" customFormat="1" x14ac:dyDescent="0.3">
      <c r="A115" s="21" t="s">
        <v>16</v>
      </c>
      <c r="B115" s="21" t="s">
        <v>84</v>
      </c>
      <c r="C115" s="21" t="s">
        <v>93</v>
      </c>
      <c r="D115" s="42">
        <f>D78*(inputs!$E$26*inputs!$E$27)</f>
        <v>1405805.4309176905</v>
      </c>
      <c r="E115" s="21" t="str">
        <f t="shared" ca="1" si="1"/>
        <v>=D78*(inputs!$E$26*inputs!$E$27)</v>
      </c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  <c r="BQ115" s="21"/>
      <c r="BR115" s="21"/>
      <c r="BS115" s="21"/>
      <c r="BT115" s="21"/>
      <c r="BU115" s="21"/>
      <c r="BV115" s="21"/>
      <c r="BW115" s="21"/>
      <c r="BX115" s="21"/>
      <c r="BY115" s="21"/>
      <c r="BZ115" s="21"/>
      <c r="CA115" s="21"/>
      <c r="CB115" s="21"/>
      <c r="CC115" s="21"/>
      <c r="CD115" s="21"/>
      <c r="CE115" s="21"/>
      <c r="CF115" s="21"/>
      <c r="CG115" s="21"/>
      <c r="CH115" s="21"/>
      <c r="CI115" s="21"/>
      <c r="CJ115" s="21"/>
      <c r="CK115" s="21"/>
      <c r="CL115" s="21"/>
      <c r="CM115" s="21"/>
      <c r="CN115" s="21"/>
      <c r="CO115" s="21"/>
      <c r="CP115" s="21"/>
      <c r="CQ115" s="21"/>
      <c r="CR115" s="21"/>
      <c r="CS115" s="21"/>
      <c r="CT115" s="21"/>
      <c r="CU115" s="21"/>
      <c r="CV115" s="21"/>
      <c r="CW115" s="21"/>
      <c r="CX115" s="21"/>
      <c r="CY115" s="21"/>
      <c r="CZ115" s="21"/>
      <c r="DA115" s="21"/>
      <c r="DB115" s="21"/>
      <c r="DC115" s="21"/>
      <c r="DD115" s="21"/>
      <c r="DE115" s="21"/>
      <c r="DF115" s="21"/>
      <c r="DG115" s="21"/>
      <c r="DH115" s="21"/>
      <c r="DI115" s="21"/>
      <c r="DJ115" s="21"/>
      <c r="DK115" s="21"/>
      <c r="DL115" s="21"/>
      <c r="DM115" s="21"/>
      <c r="DN115" s="21"/>
      <c r="DO115" s="21"/>
      <c r="DP115" s="21"/>
      <c r="DQ115" s="21"/>
      <c r="DR115" s="21"/>
      <c r="DS115" s="21"/>
      <c r="DT115" s="21"/>
      <c r="DU115" s="21"/>
    </row>
    <row r="116" spans="1:125" s="12" customFormat="1" x14ac:dyDescent="0.3">
      <c r="A116" s="21" t="s">
        <v>16</v>
      </c>
      <c r="B116" s="21" t="s">
        <v>84</v>
      </c>
      <c r="C116" s="21" t="s">
        <v>94</v>
      </c>
      <c r="D116" s="42">
        <f>D79*(inputs!$E$26*inputs!$E$27)</f>
        <v>1363904.2399184937</v>
      </c>
      <c r="E116" s="21" t="str">
        <f t="shared" ca="1" si="1"/>
        <v>=D79*(inputs!$E$26*inputs!$E$27)</v>
      </c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  <c r="BQ116" s="21"/>
      <c r="BR116" s="21"/>
      <c r="BS116" s="21"/>
      <c r="BT116" s="21"/>
      <c r="BU116" s="21"/>
      <c r="BV116" s="21"/>
      <c r="BW116" s="21"/>
      <c r="BX116" s="21"/>
      <c r="BY116" s="21"/>
      <c r="BZ116" s="21"/>
      <c r="CA116" s="21"/>
      <c r="CB116" s="21"/>
      <c r="CC116" s="21"/>
      <c r="CD116" s="21"/>
      <c r="CE116" s="21"/>
      <c r="CF116" s="21"/>
      <c r="CG116" s="21"/>
      <c r="CH116" s="21"/>
      <c r="CI116" s="21"/>
      <c r="CJ116" s="21"/>
      <c r="CK116" s="21"/>
      <c r="CL116" s="21"/>
      <c r="CM116" s="21"/>
      <c r="CN116" s="21"/>
      <c r="CO116" s="21"/>
      <c r="CP116" s="21"/>
      <c r="CQ116" s="21"/>
      <c r="CR116" s="21"/>
      <c r="CS116" s="21"/>
      <c r="CT116" s="21"/>
      <c r="CU116" s="21"/>
      <c r="CV116" s="21"/>
      <c r="CW116" s="21"/>
      <c r="CX116" s="21"/>
      <c r="CY116" s="21"/>
      <c r="CZ116" s="21"/>
      <c r="DA116" s="21"/>
      <c r="DB116" s="21"/>
      <c r="DC116" s="21"/>
      <c r="DD116" s="21"/>
      <c r="DE116" s="21"/>
      <c r="DF116" s="21"/>
      <c r="DG116" s="21"/>
      <c r="DH116" s="21"/>
      <c r="DI116" s="21"/>
      <c r="DJ116" s="21"/>
      <c r="DK116" s="21"/>
      <c r="DL116" s="21"/>
      <c r="DM116" s="21"/>
      <c r="DN116" s="21"/>
      <c r="DO116" s="21"/>
      <c r="DP116" s="21"/>
      <c r="DQ116" s="21"/>
      <c r="DR116" s="21"/>
      <c r="DS116" s="21"/>
      <c r="DT116" s="21"/>
      <c r="DU116" s="21"/>
    </row>
    <row r="117" spans="1:125" s="12" customFormat="1" x14ac:dyDescent="0.3">
      <c r="A117" s="21" t="s">
        <v>16</v>
      </c>
      <c r="B117" s="21" t="s">
        <v>84</v>
      </c>
      <c r="C117" s="21" t="s">
        <v>95</v>
      </c>
      <c r="D117" s="42">
        <f>D80*(inputs!$E$26*inputs!$E$27)</f>
        <v>1323251.9484956805</v>
      </c>
      <c r="E117" s="21" t="str">
        <f t="shared" ca="1" si="1"/>
        <v>=D80*(inputs!$E$26*inputs!$E$27)</v>
      </c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  <c r="BK117" s="21"/>
      <c r="BL117" s="21"/>
      <c r="BM117" s="21"/>
      <c r="BN117" s="21"/>
      <c r="BO117" s="21"/>
      <c r="BP117" s="21"/>
      <c r="BQ117" s="21"/>
      <c r="BR117" s="21"/>
      <c r="BS117" s="21"/>
      <c r="BT117" s="21"/>
      <c r="BU117" s="21"/>
      <c r="BV117" s="21"/>
      <c r="BW117" s="21"/>
      <c r="BX117" s="21"/>
      <c r="BY117" s="21"/>
      <c r="BZ117" s="21"/>
      <c r="CA117" s="21"/>
      <c r="CB117" s="21"/>
      <c r="CC117" s="21"/>
      <c r="CD117" s="21"/>
      <c r="CE117" s="21"/>
      <c r="CF117" s="21"/>
      <c r="CG117" s="21"/>
      <c r="CH117" s="21"/>
      <c r="CI117" s="21"/>
      <c r="CJ117" s="21"/>
      <c r="CK117" s="21"/>
      <c r="CL117" s="21"/>
      <c r="CM117" s="21"/>
      <c r="CN117" s="21"/>
      <c r="CO117" s="21"/>
      <c r="CP117" s="21"/>
      <c r="CQ117" s="21"/>
      <c r="CR117" s="21"/>
      <c r="CS117" s="21"/>
      <c r="CT117" s="21"/>
      <c r="CU117" s="21"/>
      <c r="CV117" s="21"/>
      <c r="CW117" s="21"/>
      <c r="CX117" s="21"/>
      <c r="CY117" s="21"/>
      <c r="CZ117" s="21"/>
      <c r="DA117" s="21"/>
      <c r="DB117" s="21"/>
      <c r="DC117" s="21"/>
      <c r="DD117" s="21"/>
      <c r="DE117" s="21"/>
      <c r="DF117" s="21"/>
      <c r="DG117" s="21"/>
      <c r="DH117" s="21"/>
      <c r="DI117" s="21"/>
      <c r="DJ117" s="21"/>
      <c r="DK117" s="21"/>
      <c r="DL117" s="21"/>
      <c r="DM117" s="21"/>
      <c r="DN117" s="21"/>
      <c r="DO117" s="21"/>
      <c r="DP117" s="21"/>
      <c r="DQ117" s="21"/>
      <c r="DR117" s="21"/>
      <c r="DS117" s="21"/>
      <c r="DT117" s="21"/>
      <c r="DU117" s="21"/>
    </row>
    <row r="118" spans="1:125" s="12" customFormat="1" x14ac:dyDescent="0.3">
      <c r="A118" s="21" t="s">
        <v>16</v>
      </c>
      <c r="B118" s="21" t="s">
        <v>84</v>
      </c>
      <c r="C118" s="21" t="s">
        <v>96</v>
      </c>
      <c r="D118" s="42">
        <f>D81*(inputs!$E$26*inputs!$E$27)</f>
        <v>1283811.3321667316</v>
      </c>
      <c r="E118" s="21" t="str">
        <f t="shared" ca="1" si="1"/>
        <v>=D81*(inputs!$E$26*inputs!$E$27)</v>
      </c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  <c r="BK118" s="21"/>
      <c r="BL118" s="21"/>
      <c r="BM118" s="21"/>
      <c r="BN118" s="21"/>
      <c r="BO118" s="21"/>
      <c r="BP118" s="21"/>
      <c r="BQ118" s="21"/>
      <c r="BR118" s="21"/>
      <c r="BS118" s="21"/>
      <c r="BT118" s="21"/>
      <c r="BU118" s="21"/>
      <c r="BV118" s="21"/>
      <c r="BW118" s="21"/>
      <c r="BX118" s="21"/>
      <c r="BY118" s="21"/>
      <c r="BZ118" s="21"/>
      <c r="CA118" s="21"/>
      <c r="CB118" s="21"/>
      <c r="CC118" s="21"/>
      <c r="CD118" s="21"/>
      <c r="CE118" s="21"/>
      <c r="CF118" s="21"/>
      <c r="CG118" s="21"/>
      <c r="CH118" s="21"/>
      <c r="CI118" s="21"/>
      <c r="CJ118" s="21"/>
      <c r="CK118" s="21"/>
      <c r="CL118" s="21"/>
      <c r="CM118" s="21"/>
      <c r="CN118" s="21"/>
      <c r="CO118" s="21"/>
      <c r="CP118" s="21"/>
      <c r="CQ118" s="21"/>
      <c r="CR118" s="21"/>
      <c r="CS118" s="21"/>
      <c r="CT118" s="21"/>
      <c r="CU118" s="21"/>
      <c r="CV118" s="21"/>
      <c r="CW118" s="21"/>
      <c r="CX118" s="21"/>
      <c r="CY118" s="21"/>
      <c r="CZ118" s="21"/>
      <c r="DA118" s="21"/>
      <c r="DB118" s="21"/>
      <c r="DC118" s="21"/>
      <c r="DD118" s="21"/>
      <c r="DE118" s="21"/>
      <c r="DF118" s="21"/>
      <c r="DG118" s="21"/>
      <c r="DH118" s="21"/>
      <c r="DI118" s="21"/>
      <c r="DJ118" s="21"/>
      <c r="DK118" s="21"/>
      <c r="DL118" s="21"/>
      <c r="DM118" s="21"/>
      <c r="DN118" s="21"/>
      <c r="DO118" s="21"/>
      <c r="DP118" s="21"/>
      <c r="DQ118" s="21"/>
      <c r="DR118" s="21"/>
      <c r="DS118" s="21"/>
      <c r="DT118" s="21"/>
      <c r="DU118" s="21"/>
    </row>
    <row r="119" spans="1:125" s="12" customFormat="1" x14ac:dyDescent="0.3">
      <c r="A119" s="21" t="s">
        <v>16</v>
      </c>
      <c r="B119" s="21" t="s">
        <v>84</v>
      </c>
      <c r="C119" s="21" t="s">
        <v>97</v>
      </c>
      <c r="D119" s="42">
        <f>D82*(inputs!$E$26*inputs!$E$27)</f>
        <v>1245546.2759555483</v>
      </c>
      <c r="E119" s="21" t="str">
        <f t="shared" ca="1" si="1"/>
        <v>=D82*(inputs!$E$26*inputs!$E$27)</v>
      </c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  <c r="BQ119" s="21"/>
      <c r="BR119" s="21"/>
      <c r="BS119" s="21"/>
      <c r="BT119" s="21"/>
      <c r="BU119" s="21"/>
      <c r="BV119" s="21"/>
      <c r="BW119" s="21"/>
      <c r="BX119" s="21"/>
      <c r="BY119" s="21"/>
      <c r="BZ119" s="21"/>
      <c r="CA119" s="21"/>
      <c r="CB119" s="21"/>
      <c r="CC119" s="21"/>
      <c r="CD119" s="21"/>
      <c r="CE119" s="21"/>
      <c r="CF119" s="21"/>
      <c r="CG119" s="21"/>
      <c r="CH119" s="21"/>
      <c r="CI119" s="21"/>
      <c r="CJ119" s="21"/>
      <c r="CK119" s="21"/>
      <c r="CL119" s="21"/>
      <c r="CM119" s="21"/>
      <c r="CN119" s="21"/>
      <c r="CO119" s="21"/>
      <c r="CP119" s="21"/>
      <c r="CQ119" s="21"/>
      <c r="CR119" s="21"/>
      <c r="CS119" s="21"/>
      <c r="CT119" s="21"/>
      <c r="CU119" s="21"/>
      <c r="CV119" s="21"/>
      <c r="CW119" s="21"/>
      <c r="CX119" s="21"/>
      <c r="CY119" s="21"/>
      <c r="CZ119" s="21"/>
      <c r="DA119" s="21"/>
      <c r="DB119" s="21"/>
      <c r="DC119" s="21"/>
      <c r="DD119" s="21"/>
      <c r="DE119" s="21"/>
      <c r="DF119" s="21"/>
      <c r="DG119" s="21"/>
      <c r="DH119" s="21"/>
      <c r="DI119" s="21"/>
      <c r="DJ119" s="21"/>
      <c r="DK119" s="21"/>
      <c r="DL119" s="21"/>
      <c r="DM119" s="21"/>
      <c r="DN119" s="21"/>
      <c r="DO119" s="21"/>
      <c r="DP119" s="21"/>
      <c r="DQ119" s="21"/>
      <c r="DR119" s="21"/>
      <c r="DS119" s="21"/>
      <c r="DT119" s="21"/>
      <c r="DU119" s="21"/>
    </row>
    <row r="120" spans="1:125" s="12" customFormat="1" x14ac:dyDescent="0.3">
      <c r="A120" s="21" t="s">
        <v>16</v>
      </c>
      <c r="B120" s="21" t="s">
        <v>84</v>
      </c>
      <c r="C120" s="21" t="s">
        <v>98</v>
      </c>
      <c r="D120" s="42">
        <f>D83*(inputs!$E$26*inputs!$E$27)</f>
        <v>1208421.7413226983</v>
      </c>
      <c r="E120" s="21" t="str">
        <f t="shared" ca="1" si="1"/>
        <v>=D83*(inputs!$E$26*inputs!$E$27)</v>
      </c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  <c r="BR120" s="21"/>
      <c r="BS120" s="21"/>
      <c r="BT120" s="21"/>
      <c r="BU120" s="21"/>
      <c r="BV120" s="21"/>
      <c r="BW120" s="21"/>
      <c r="BX120" s="21"/>
      <c r="BY120" s="21"/>
      <c r="BZ120" s="21"/>
      <c r="CA120" s="21"/>
      <c r="CB120" s="21"/>
      <c r="CC120" s="21"/>
      <c r="CD120" s="21"/>
      <c r="CE120" s="21"/>
      <c r="CF120" s="21"/>
      <c r="CG120" s="21"/>
      <c r="CH120" s="21"/>
      <c r="CI120" s="21"/>
      <c r="CJ120" s="21"/>
      <c r="CK120" s="21"/>
      <c r="CL120" s="21"/>
      <c r="CM120" s="21"/>
      <c r="CN120" s="21"/>
      <c r="CO120" s="21"/>
      <c r="CP120" s="21"/>
      <c r="CQ120" s="21"/>
      <c r="CR120" s="21"/>
      <c r="CS120" s="21"/>
      <c r="CT120" s="21"/>
      <c r="CU120" s="21"/>
      <c r="CV120" s="21"/>
      <c r="CW120" s="21"/>
      <c r="CX120" s="21"/>
      <c r="CY120" s="21"/>
      <c r="CZ120" s="21"/>
      <c r="DA120" s="21"/>
      <c r="DB120" s="21"/>
      <c r="DC120" s="21"/>
      <c r="DD120" s="21"/>
      <c r="DE120" s="21"/>
      <c r="DF120" s="21"/>
      <c r="DG120" s="21"/>
      <c r="DH120" s="21"/>
      <c r="DI120" s="21"/>
      <c r="DJ120" s="21"/>
      <c r="DK120" s="21"/>
      <c r="DL120" s="21"/>
      <c r="DM120" s="21"/>
      <c r="DN120" s="21"/>
      <c r="DO120" s="21"/>
      <c r="DP120" s="21"/>
      <c r="DQ120" s="21"/>
      <c r="DR120" s="21"/>
      <c r="DS120" s="21"/>
      <c r="DT120" s="21"/>
      <c r="DU120" s="21"/>
    </row>
    <row r="121" spans="1:125" s="12" customFormat="1" x14ac:dyDescent="0.3">
      <c r="A121" s="21" t="s">
        <v>16</v>
      </c>
      <c r="B121" s="21" t="s">
        <v>84</v>
      </c>
      <c r="C121" s="21" t="s">
        <v>99</v>
      </c>
      <c r="D121" s="42">
        <f>D84*(inputs!$E$26*inputs!$E$27)</f>
        <v>1172403.7340813328</v>
      </c>
      <c r="E121" s="21" t="str">
        <f t="shared" ca="1" si="1"/>
        <v>=D84*(inputs!$E$26*inputs!$E$27)</v>
      </c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  <c r="BR121" s="21"/>
      <c r="BS121" s="21"/>
      <c r="BT121" s="21"/>
      <c r="BU121" s="21"/>
      <c r="BV121" s="21"/>
      <c r="BW121" s="21"/>
      <c r="BX121" s="21"/>
      <c r="BY121" s="21"/>
      <c r="BZ121" s="21"/>
      <c r="CA121" s="21"/>
      <c r="CB121" s="21"/>
      <c r="CC121" s="21"/>
      <c r="CD121" s="21"/>
      <c r="CE121" s="21"/>
      <c r="CF121" s="21"/>
      <c r="CG121" s="21"/>
      <c r="CH121" s="21"/>
      <c r="CI121" s="21"/>
      <c r="CJ121" s="21"/>
      <c r="CK121" s="21"/>
      <c r="CL121" s="21"/>
      <c r="CM121" s="21"/>
      <c r="CN121" s="21"/>
      <c r="CO121" s="21"/>
      <c r="CP121" s="21"/>
      <c r="CQ121" s="21"/>
      <c r="CR121" s="21"/>
      <c r="CS121" s="21"/>
      <c r="CT121" s="21"/>
      <c r="CU121" s="21"/>
      <c r="CV121" s="21"/>
      <c r="CW121" s="21"/>
      <c r="CX121" s="21"/>
      <c r="CY121" s="21"/>
      <c r="CZ121" s="21"/>
      <c r="DA121" s="21"/>
      <c r="DB121" s="21"/>
      <c r="DC121" s="21"/>
      <c r="DD121" s="21"/>
      <c r="DE121" s="21"/>
      <c r="DF121" s="21"/>
      <c r="DG121" s="21"/>
      <c r="DH121" s="21"/>
      <c r="DI121" s="21"/>
      <c r="DJ121" s="21"/>
      <c r="DK121" s="21"/>
      <c r="DL121" s="21"/>
      <c r="DM121" s="21"/>
      <c r="DN121" s="21"/>
      <c r="DO121" s="21"/>
      <c r="DP121" s="21"/>
      <c r="DQ121" s="21"/>
      <c r="DR121" s="21"/>
      <c r="DS121" s="21"/>
      <c r="DT121" s="21"/>
      <c r="DU121" s="21"/>
    </row>
    <row r="122" spans="1:125" s="12" customFormat="1" x14ac:dyDescent="0.3">
      <c r="A122" s="21" t="s">
        <v>16</v>
      </c>
      <c r="B122" s="21" t="s">
        <v>84</v>
      </c>
      <c r="C122" s="21" t="s">
        <v>100</v>
      </c>
      <c r="D122" s="42">
        <f>D85*(inputs!$E$26*inputs!$E$27)</f>
        <v>1137459.2732693939</v>
      </c>
      <c r="E122" s="21" t="str">
        <f t="shared" ca="1" si="1"/>
        <v>=D85*(inputs!$E$26*inputs!$E$27)</v>
      </c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1"/>
      <c r="AV122" s="21"/>
      <c r="AW122" s="21"/>
      <c r="AX122" s="21"/>
      <c r="AY122" s="21"/>
      <c r="AZ122" s="21"/>
      <c r="BA122" s="21"/>
      <c r="BB122" s="21"/>
      <c r="BC122" s="21"/>
      <c r="BD122" s="21"/>
      <c r="BE122" s="21"/>
      <c r="BF122" s="21"/>
      <c r="BG122" s="21"/>
      <c r="BH122" s="21"/>
      <c r="BI122" s="21"/>
      <c r="BJ122" s="21"/>
      <c r="BK122" s="21"/>
      <c r="BL122" s="21"/>
      <c r="BM122" s="21"/>
      <c r="BN122" s="21"/>
      <c r="BO122" s="21"/>
      <c r="BP122" s="21"/>
      <c r="BQ122" s="21"/>
      <c r="BR122" s="21"/>
      <c r="BS122" s="21"/>
      <c r="BT122" s="21"/>
      <c r="BU122" s="21"/>
      <c r="BV122" s="21"/>
      <c r="BW122" s="21"/>
      <c r="BX122" s="21"/>
      <c r="BY122" s="21"/>
      <c r="BZ122" s="21"/>
      <c r="CA122" s="21"/>
      <c r="CB122" s="21"/>
      <c r="CC122" s="21"/>
      <c r="CD122" s="21"/>
      <c r="CE122" s="21"/>
      <c r="CF122" s="21"/>
      <c r="CG122" s="21"/>
      <c r="CH122" s="21"/>
      <c r="CI122" s="21"/>
      <c r="CJ122" s="21"/>
      <c r="CK122" s="21"/>
      <c r="CL122" s="21"/>
      <c r="CM122" s="21"/>
      <c r="CN122" s="21"/>
      <c r="CO122" s="21"/>
      <c r="CP122" s="21"/>
      <c r="CQ122" s="21"/>
      <c r="CR122" s="21"/>
      <c r="CS122" s="21"/>
      <c r="CT122" s="21"/>
      <c r="CU122" s="21"/>
      <c r="CV122" s="21"/>
      <c r="CW122" s="21"/>
      <c r="CX122" s="21"/>
      <c r="CY122" s="21"/>
      <c r="CZ122" s="21"/>
      <c r="DA122" s="21"/>
      <c r="DB122" s="21"/>
      <c r="DC122" s="21"/>
      <c r="DD122" s="21"/>
      <c r="DE122" s="21"/>
      <c r="DF122" s="21"/>
      <c r="DG122" s="21"/>
      <c r="DH122" s="21"/>
      <c r="DI122" s="21"/>
      <c r="DJ122" s="21"/>
      <c r="DK122" s="21"/>
      <c r="DL122" s="21"/>
      <c r="DM122" s="21"/>
      <c r="DN122" s="21"/>
      <c r="DO122" s="21"/>
      <c r="DP122" s="21"/>
      <c r="DQ122" s="21"/>
      <c r="DR122" s="21"/>
      <c r="DS122" s="21"/>
      <c r="DT122" s="21"/>
      <c r="DU122" s="21"/>
    </row>
    <row r="123" spans="1:125" s="12" customFormat="1" x14ac:dyDescent="0.3">
      <c r="A123" s="21" t="s">
        <v>16</v>
      </c>
      <c r="B123" s="21" t="s">
        <v>84</v>
      </c>
      <c r="C123" s="21" t="s">
        <v>101</v>
      </c>
      <c r="D123" s="42">
        <f>D86*(inputs!$E$26*inputs!$E$27)</f>
        <v>1103556.3609496166</v>
      </c>
      <c r="E123" s="21" t="str">
        <f t="shared" ca="1" si="1"/>
        <v>=D86*(inputs!$E$26*inputs!$E$27)</v>
      </c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  <c r="BO123" s="21"/>
      <c r="BP123" s="21"/>
      <c r="BQ123" s="21"/>
      <c r="BR123" s="21"/>
      <c r="BS123" s="21"/>
      <c r="BT123" s="21"/>
      <c r="BU123" s="21"/>
      <c r="BV123" s="21"/>
      <c r="BW123" s="21"/>
      <c r="BX123" s="21"/>
      <c r="BY123" s="21"/>
      <c r="BZ123" s="21"/>
      <c r="CA123" s="21"/>
      <c r="CB123" s="21"/>
      <c r="CC123" s="21"/>
      <c r="CD123" s="21"/>
      <c r="CE123" s="21"/>
      <c r="CF123" s="21"/>
      <c r="CG123" s="21"/>
      <c r="CH123" s="21"/>
      <c r="CI123" s="21"/>
      <c r="CJ123" s="21"/>
      <c r="CK123" s="21"/>
      <c r="CL123" s="21"/>
      <c r="CM123" s="21"/>
      <c r="CN123" s="21"/>
      <c r="CO123" s="21"/>
      <c r="CP123" s="21"/>
      <c r="CQ123" s="21"/>
      <c r="CR123" s="21"/>
      <c r="CS123" s="21"/>
      <c r="CT123" s="21"/>
      <c r="CU123" s="21"/>
      <c r="CV123" s="21"/>
      <c r="CW123" s="21"/>
      <c r="CX123" s="21"/>
      <c r="CY123" s="21"/>
      <c r="CZ123" s="21"/>
      <c r="DA123" s="21"/>
      <c r="DB123" s="21"/>
      <c r="DC123" s="21"/>
      <c r="DD123" s="21"/>
      <c r="DE123" s="21"/>
      <c r="DF123" s="21"/>
      <c r="DG123" s="21"/>
      <c r="DH123" s="21"/>
      <c r="DI123" s="21"/>
      <c r="DJ123" s="21"/>
      <c r="DK123" s="21"/>
      <c r="DL123" s="21"/>
      <c r="DM123" s="21"/>
      <c r="DN123" s="21"/>
      <c r="DO123" s="21"/>
      <c r="DP123" s="21"/>
      <c r="DQ123" s="21"/>
      <c r="DR123" s="21"/>
      <c r="DS123" s="21"/>
      <c r="DT123" s="21"/>
      <c r="DU123" s="21"/>
    </row>
    <row r="124" spans="1:125" s="12" customFormat="1" x14ac:dyDescent="0.3">
      <c r="A124" s="21" t="s">
        <v>16</v>
      </c>
      <c r="B124" s="21" t="s">
        <v>84</v>
      </c>
      <c r="C124" s="21" t="s">
        <v>755</v>
      </c>
      <c r="D124" s="42">
        <f>D87*(inputs!E26*inputs!E27)</f>
        <v>15299669.567434922</v>
      </c>
      <c r="E124" s="21" t="str">
        <f t="shared" ca="1" si="1"/>
        <v>=D87*(inputs!E26*inputs!E27)</v>
      </c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  <c r="BQ124" s="21"/>
      <c r="BR124" s="21"/>
      <c r="BS124" s="21"/>
      <c r="BT124" s="21"/>
      <c r="BU124" s="21"/>
      <c r="BV124" s="21"/>
      <c r="BW124" s="21"/>
      <c r="BX124" s="21"/>
      <c r="BY124" s="21"/>
      <c r="BZ124" s="21"/>
      <c r="CA124" s="21"/>
      <c r="CB124" s="21"/>
      <c r="CC124" s="21"/>
      <c r="CD124" s="21"/>
      <c r="CE124" s="21"/>
      <c r="CF124" s="21"/>
      <c r="CG124" s="21"/>
      <c r="CH124" s="21"/>
      <c r="CI124" s="21"/>
      <c r="CJ124" s="21"/>
      <c r="CK124" s="21"/>
      <c r="CL124" s="21"/>
      <c r="CM124" s="21"/>
      <c r="CN124" s="21"/>
      <c r="CO124" s="21"/>
      <c r="CP124" s="21"/>
      <c r="CQ124" s="21"/>
      <c r="CR124" s="21"/>
      <c r="CS124" s="21"/>
      <c r="CT124" s="21"/>
      <c r="CU124" s="21"/>
      <c r="CV124" s="21"/>
      <c r="CW124" s="21"/>
      <c r="CX124" s="21"/>
      <c r="CY124" s="21"/>
      <c r="CZ124" s="21"/>
      <c r="DA124" s="21"/>
      <c r="DB124" s="21"/>
      <c r="DC124" s="21"/>
      <c r="DD124" s="21"/>
      <c r="DE124" s="21"/>
      <c r="DF124" s="21"/>
      <c r="DG124" s="21"/>
      <c r="DH124" s="21"/>
      <c r="DI124" s="21"/>
      <c r="DJ124" s="21"/>
      <c r="DK124" s="21"/>
      <c r="DL124" s="21"/>
      <c r="DM124" s="21"/>
      <c r="DN124" s="21"/>
      <c r="DO124" s="21"/>
      <c r="DP124" s="21"/>
      <c r="DQ124" s="21"/>
      <c r="DR124" s="21"/>
      <c r="DS124" s="21"/>
      <c r="DT124" s="21"/>
      <c r="DU124" s="21"/>
    </row>
    <row r="125" spans="1:125" x14ac:dyDescent="0.3">
      <c r="A125" s="21" t="s">
        <v>16</v>
      </c>
      <c r="B125" s="21" t="s">
        <v>191</v>
      </c>
      <c r="C125" s="21" t="s">
        <v>824</v>
      </c>
      <c r="D125" s="21">
        <f>(D14+D26)*inputs!E28</f>
        <v>287234261.82110232</v>
      </c>
      <c r="E125" s="21" t="str">
        <f t="shared" ca="1" si="1"/>
        <v>=(D14+D26)*inputs!E28</v>
      </c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  <c r="BO125" s="21"/>
      <c r="BP125" s="21"/>
      <c r="BQ125" s="21"/>
      <c r="BR125" s="21"/>
      <c r="BS125" s="21"/>
      <c r="BT125" s="21"/>
      <c r="BU125" s="21"/>
      <c r="BV125" s="21"/>
      <c r="BW125" s="21"/>
      <c r="BX125" s="21"/>
      <c r="BY125" s="21"/>
      <c r="BZ125" s="21"/>
      <c r="CA125" s="21"/>
      <c r="CB125" s="21"/>
      <c r="CC125" s="21"/>
      <c r="CD125" s="21"/>
      <c r="CE125" s="21"/>
      <c r="CF125" s="21"/>
      <c r="CG125" s="21"/>
      <c r="CH125" s="21"/>
      <c r="CI125" s="21"/>
      <c r="CJ125" s="21"/>
      <c r="CK125" s="21"/>
      <c r="CL125" s="21"/>
      <c r="CM125" s="21"/>
      <c r="CN125" s="21"/>
      <c r="CO125" s="21"/>
      <c r="CP125" s="21"/>
      <c r="CQ125" s="21"/>
      <c r="CR125" s="21"/>
      <c r="CS125" s="21"/>
      <c r="CT125" s="21"/>
      <c r="CU125" s="21"/>
      <c r="CV125" s="21"/>
      <c r="CW125" s="21"/>
      <c r="CX125" s="21"/>
      <c r="CY125" s="21"/>
      <c r="CZ125" s="21"/>
      <c r="DA125" s="21"/>
      <c r="DB125" s="21"/>
      <c r="DC125" s="21"/>
      <c r="DD125" s="21"/>
      <c r="DE125" s="21"/>
      <c r="DF125" s="21"/>
      <c r="DG125" s="21"/>
      <c r="DH125" s="21"/>
      <c r="DI125" s="21"/>
      <c r="DJ125" s="21"/>
      <c r="DK125" s="21"/>
      <c r="DL125" s="21"/>
      <c r="DM125" s="21"/>
      <c r="DN125" s="21"/>
      <c r="DO125" s="21"/>
      <c r="DP125" s="21"/>
      <c r="DQ125" s="21"/>
      <c r="DR125" s="21"/>
      <c r="DS125" s="21"/>
      <c r="DT125" s="21"/>
      <c r="DU125" s="21"/>
    </row>
    <row r="126" spans="1:125" x14ac:dyDescent="0.3">
      <c r="A126" s="21" t="s">
        <v>16</v>
      </c>
      <c r="B126" s="21" t="s">
        <v>191</v>
      </c>
      <c r="C126" s="21" t="s">
        <v>825</v>
      </c>
      <c r="D126" s="42">
        <f>((D15+D27)*inputs!E28)/(inputs!E31^1)</f>
        <v>277697295.13159227</v>
      </c>
      <c r="E126" s="21" t="str">
        <f t="shared" ca="1" si="1"/>
        <v>=((D15+D27)*inputs!E28)/(inputs!E31^1)</v>
      </c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1"/>
      <c r="AV126" s="21"/>
      <c r="AW126" s="21"/>
      <c r="AX126" s="21"/>
      <c r="AY126" s="21"/>
      <c r="AZ126" s="21"/>
      <c r="BA126" s="21"/>
      <c r="BB126" s="21"/>
      <c r="BC126" s="21"/>
      <c r="BD126" s="21"/>
      <c r="BE126" s="21"/>
      <c r="BF126" s="21"/>
      <c r="BG126" s="21"/>
      <c r="BH126" s="21"/>
      <c r="BI126" s="21"/>
      <c r="BJ126" s="21"/>
      <c r="BK126" s="21"/>
      <c r="BL126" s="21"/>
      <c r="BM126" s="21"/>
      <c r="BN126" s="21"/>
      <c r="BO126" s="21"/>
      <c r="BP126" s="21"/>
      <c r="BQ126" s="21"/>
      <c r="BR126" s="21"/>
      <c r="BS126" s="21"/>
      <c r="BT126" s="21"/>
      <c r="BU126" s="21"/>
      <c r="BV126" s="21"/>
      <c r="BW126" s="21"/>
      <c r="BX126" s="21"/>
      <c r="BY126" s="21"/>
      <c r="BZ126" s="21"/>
      <c r="CA126" s="21"/>
      <c r="CB126" s="21"/>
      <c r="CC126" s="21"/>
      <c r="CD126" s="21"/>
      <c r="CE126" s="21"/>
      <c r="CF126" s="21"/>
      <c r="CG126" s="21"/>
      <c r="CH126" s="21"/>
      <c r="CI126" s="21"/>
      <c r="CJ126" s="21"/>
      <c r="CK126" s="21"/>
      <c r="CL126" s="21"/>
      <c r="CM126" s="21"/>
      <c r="CN126" s="21"/>
      <c r="CO126" s="21"/>
      <c r="CP126" s="21"/>
      <c r="CQ126" s="21"/>
      <c r="CR126" s="21"/>
      <c r="CS126" s="21"/>
      <c r="CT126" s="21"/>
      <c r="CU126" s="21"/>
      <c r="CV126" s="21"/>
      <c r="CW126" s="21"/>
      <c r="CX126" s="21"/>
      <c r="CY126" s="21"/>
      <c r="CZ126" s="21"/>
      <c r="DA126" s="21"/>
      <c r="DB126" s="21"/>
      <c r="DC126" s="21"/>
      <c r="DD126" s="21"/>
      <c r="DE126" s="21"/>
      <c r="DF126" s="21"/>
      <c r="DG126" s="21"/>
      <c r="DH126" s="21"/>
      <c r="DI126" s="21"/>
      <c r="DJ126" s="21"/>
      <c r="DK126" s="21"/>
      <c r="DL126" s="21"/>
      <c r="DM126" s="21"/>
      <c r="DN126" s="21"/>
      <c r="DO126" s="21"/>
      <c r="DP126" s="21"/>
      <c r="DQ126" s="21"/>
      <c r="DR126" s="21"/>
      <c r="DS126" s="21"/>
      <c r="DT126" s="21"/>
      <c r="DU126" s="21"/>
    </row>
    <row r="127" spans="1:125" s="12" customFormat="1" x14ac:dyDescent="0.3">
      <c r="A127" s="21" t="s">
        <v>16</v>
      </c>
      <c r="B127" s="21" t="s">
        <v>191</v>
      </c>
      <c r="C127" s="21" t="s">
        <v>826</v>
      </c>
      <c r="D127" s="20">
        <f>(($D$16+$D$28)*inputs!$E$28)/(inputs!$E$31^2)</f>
        <v>13471014.904126221</v>
      </c>
      <c r="E127" s="19" t="str">
        <f t="shared" ca="1" si="1"/>
        <v>=(($D$16+$D$28)*inputs!$E$28)/(inputs!$E$31^2)</v>
      </c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  <c r="BQ127" s="21"/>
      <c r="BR127" s="21"/>
      <c r="BS127" s="21"/>
      <c r="BT127" s="21"/>
      <c r="BU127" s="21"/>
      <c r="BV127" s="21"/>
      <c r="BW127" s="21"/>
      <c r="BX127" s="21"/>
      <c r="BY127" s="21"/>
      <c r="BZ127" s="21"/>
      <c r="CA127" s="21"/>
      <c r="CB127" s="21"/>
      <c r="CC127" s="21"/>
      <c r="CD127" s="21"/>
      <c r="CE127" s="21"/>
      <c r="CF127" s="21"/>
      <c r="CG127" s="21"/>
    </row>
    <row r="128" spans="1:125" s="12" customFormat="1" x14ac:dyDescent="0.3">
      <c r="A128" s="21" t="s">
        <v>16</v>
      </c>
      <c r="B128" s="21" t="s">
        <v>191</v>
      </c>
      <c r="C128" s="21" t="s">
        <v>827</v>
      </c>
      <c r="D128" s="20">
        <f>(($D$17+$D$29)*inputs!$E$28)/(inputs!$E$31^3)</f>
        <v>13069500.188051781</v>
      </c>
      <c r="E128" s="19" t="str">
        <f ca="1">_xlfn.FORMULATEXT(D128)</f>
        <v>=(($D$17+$D$29)*inputs!$E$28)/(inputs!$E$31^3)</v>
      </c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  <c r="BQ128" s="21"/>
      <c r="BR128" s="21"/>
      <c r="BS128" s="21"/>
      <c r="BT128" s="21"/>
      <c r="BU128" s="21"/>
      <c r="BV128" s="21"/>
      <c r="BW128" s="21"/>
      <c r="BX128" s="21"/>
      <c r="BY128" s="21"/>
      <c r="BZ128" s="21"/>
      <c r="CA128" s="21"/>
      <c r="CB128" s="21"/>
      <c r="CC128" s="21"/>
      <c r="CD128" s="21"/>
      <c r="CE128" s="21"/>
      <c r="CF128" s="21"/>
      <c r="CG128" s="21"/>
    </row>
    <row r="129" spans="1:85" s="12" customFormat="1" x14ac:dyDescent="0.3">
      <c r="A129" s="21" t="s">
        <v>16</v>
      </c>
      <c r="B129" s="21" t="s">
        <v>191</v>
      </c>
      <c r="C129" s="21" t="s">
        <v>828</v>
      </c>
      <c r="D129" s="20">
        <f>(($D$18+$D$30)*inputs!$E$28)/(inputs!$E$31^4)</f>
        <v>12679952.949437035</v>
      </c>
      <c r="E129" s="19" t="str">
        <f t="shared" ca="1" si="1"/>
        <v>=(($D$18+$D$30)*inputs!$E$28)/(inputs!$E$31^4)</v>
      </c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  <c r="BK129" s="21"/>
      <c r="BL129" s="21"/>
      <c r="BM129" s="21"/>
      <c r="BN129" s="21"/>
      <c r="BO129" s="21"/>
      <c r="BP129" s="21"/>
      <c r="BQ129" s="21"/>
      <c r="BR129" s="21"/>
      <c r="BS129" s="21"/>
      <c r="BT129" s="21"/>
      <c r="BU129" s="21"/>
      <c r="BV129" s="21"/>
      <c r="BW129" s="21"/>
      <c r="BX129" s="21"/>
      <c r="BY129" s="21"/>
      <c r="BZ129" s="21"/>
      <c r="CA129" s="21"/>
      <c r="CB129" s="21"/>
      <c r="CC129" s="21"/>
      <c r="CD129" s="21"/>
      <c r="CE129" s="21"/>
      <c r="CF129" s="21"/>
      <c r="CG129" s="21"/>
    </row>
    <row r="130" spans="1:85" s="12" customFormat="1" x14ac:dyDescent="0.3">
      <c r="A130" s="21" t="s">
        <v>16</v>
      </c>
      <c r="B130" s="21" t="s">
        <v>191</v>
      </c>
      <c r="C130" s="21" t="s">
        <v>829</v>
      </c>
      <c r="D130" s="20">
        <f>(($D$19+$D$31)*inputs!$E$28)/(inputs!$E$31^5)</f>
        <v>12302016.487740226</v>
      </c>
      <c r="E130" s="19" t="str">
        <f t="shared" ca="1" si="1"/>
        <v>=(($D$19+$D$31)*inputs!$E$28)/(inputs!$E$31^5)</v>
      </c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  <c r="AZ130" s="21"/>
      <c r="BA130" s="21"/>
      <c r="BB130" s="21"/>
      <c r="BC130" s="21"/>
      <c r="BD130" s="21"/>
      <c r="BE130" s="21"/>
      <c r="BF130" s="21"/>
      <c r="BG130" s="21"/>
      <c r="BH130" s="21"/>
      <c r="BI130" s="21"/>
      <c r="BJ130" s="21"/>
      <c r="BK130" s="21"/>
      <c r="BL130" s="21"/>
      <c r="BM130" s="21"/>
      <c r="BN130" s="21"/>
      <c r="BO130" s="21"/>
      <c r="BP130" s="21"/>
      <c r="BQ130" s="21"/>
      <c r="BR130" s="21"/>
      <c r="BS130" s="21"/>
      <c r="BT130" s="21"/>
      <c r="BU130" s="21"/>
      <c r="BV130" s="21"/>
      <c r="BW130" s="21"/>
      <c r="BX130" s="21"/>
      <c r="BY130" s="21"/>
      <c r="BZ130" s="21"/>
      <c r="CA130" s="21"/>
      <c r="CB130" s="21"/>
      <c r="CC130" s="21"/>
      <c r="CD130" s="21"/>
      <c r="CE130" s="21"/>
      <c r="CF130" s="21"/>
      <c r="CG130" s="21"/>
    </row>
    <row r="131" spans="1:85" s="12" customFormat="1" x14ac:dyDescent="0.3">
      <c r="A131" s="21" t="s">
        <v>16</v>
      </c>
      <c r="B131" s="21" t="s">
        <v>191</v>
      </c>
      <c r="C131" s="21" t="s">
        <v>830</v>
      </c>
      <c r="D131" s="20">
        <f>(($D$20+$D$32)*inputs!$E$28)/(inputs!$E$31^6)</f>
        <v>11935344.734173598</v>
      </c>
      <c r="E131" s="19" t="str">
        <f t="shared" ca="1" si="1"/>
        <v>=(($D$20+$D$32)*inputs!$E$28)/(inputs!$E$31^6)</v>
      </c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  <c r="BS131" s="21"/>
      <c r="BT131" s="21"/>
      <c r="BU131" s="21"/>
      <c r="BV131" s="21"/>
      <c r="BW131" s="21"/>
      <c r="BX131" s="21"/>
      <c r="BY131" s="21"/>
      <c r="BZ131" s="21"/>
      <c r="CA131" s="21"/>
      <c r="CB131" s="21"/>
      <c r="CC131" s="21"/>
      <c r="CD131" s="21"/>
      <c r="CE131" s="21"/>
      <c r="CF131" s="21"/>
      <c r="CG131" s="21"/>
    </row>
    <row r="132" spans="1:85" s="12" customFormat="1" x14ac:dyDescent="0.3">
      <c r="A132" s="21" t="s">
        <v>16</v>
      </c>
      <c r="B132" s="21" t="s">
        <v>191</v>
      </c>
      <c r="C132" s="21" t="s">
        <v>831</v>
      </c>
      <c r="D132" s="20">
        <f>(($D$21+$D$33)*inputs!$E$28)/(inputs!$E$31^7)</f>
        <v>11579601.934815221</v>
      </c>
      <c r="E132" s="19" t="str">
        <f t="shared" ref="E132:E148" ca="1" si="2">_xlfn.FORMULATEXT(D132)</f>
        <v>=(($D$21+$D$33)*inputs!$E$28)/(inputs!$E$31^7)</v>
      </c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  <c r="BO132" s="21"/>
      <c r="BP132" s="21"/>
      <c r="BQ132" s="21"/>
      <c r="BR132" s="21"/>
      <c r="BS132" s="21"/>
      <c r="BT132" s="21"/>
      <c r="BU132" s="21"/>
      <c r="BV132" s="21"/>
      <c r="BW132" s="21"/>
      <c r="BX132" s="21"/>
      <c r="BY132" s="21"/>
      <c r="BZ132" s="21"/>
      <c r="CA132" s="21"/>
      <c r="CB132" s="21"/>
      <c r="CC132" s="21"/>
      <c r="CD132" s="21"/>
      <c r="CE132" s="21"/>
      <c r="CF132" s="21"/>
      <c r="CG132" s="21"/>
    </row>
    <row r="133" spans="1:85" s="12" customFormat="1" x14ac:dyDescent="0.3">
      <c r="A133" s="21" t="s">
        <v>16</v>
      </c>
      <c r="B133" s="21" t="s">
        <v>191</v>
      </c>
      <c r="C133" s="21" t="s">
        <v>832</v>
      </c>
      <c r="D133" s="20">
        <f>(($D$22+$D$34)*inputs!$E$28)/(inputs!$E$31^8)</f>
        <v>11234462.343165873</v>
      </c>
      <c r="E133" s="19" t="str">
        <f t="shared" ca="1" si="2"/>
        <v>=(($D$22+$D$34)*inputs!$E$28)/(inputs!$E$31^8)</v>
      </c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  <c r="BK133" s="21"/>
      <c r="BL133" s="21"/>
      <c r="BM133" s="21"/>
      <c r="BN133" s="21"/>
      <c r="BO133" s="21"/>
      <c r="BP133" s="21"/>
      <c r="BQ133" s="21"/>
      <c r="BR133" s="21"/>
      <c r="BS133" s="21"/>
      <c r="BT133" s="21"/>
      <c r="BU133" s="21"/>
      <c r="BV133" s="21"/>
      <c r="BW133" s="21"/>
      <c r="BX133" s="21"/>
      <c r="BY133" s="21"/>
      <c r="BZ133" s="21"/>
      <c r="CA133" s="21"/>
      <c r="CB133" s="21"/>
      <c r="CC133" s="21"/>
      <c r="CD133" s="21"/>
      <c r="CE133" s="21"/>
      <c r="CF133" s="21"/>
      <c r="CG133" s="21"/>
    </row>
    <row r="134" spans="1:85" s="12" customFormat="1" x14ac:dyDescent="0.3">
      <c r="A134" s="21" t="s">
        <v>16</v>
      </c>
      <c r="B134" s="21" t="s">
        <v>191</v>
      </c>
      <c r="C134" s="21" t="s">
        <v>833</v>
      </c>
      <c r="D134" s="20">
        <f>(($D$23+$D$35)*inputs!$E$28)/(inputs!$E$31^9)</f>
        <v>10899609.921869569</v>
      </c>
      <c r="E134" s="19" t="str">
        <f t="shared" ca="1" si="2"/>
        <v>=(($D$23+$D$35)*inputs!$E$28)/(inputs!$E$31^9)</v>
      </c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  <c r="AU134" s="21"/>
      <c r="AV134" s="21"/>
      <c r="AW134" s="21"/>
      <c r="AX134" s="21"/>
      <c r="AY134" s="21"/>
      <c r="AZ134" s="21"/>
      <c r="BA134" s="21"/>
      <c r="BB134" s="21"/>
      <c r="BC134" s="21"/>
      <c r="BD134" s="21"/>
      <c r="BE134" s="21"/>
      <c r="BF134" s="21"/>
      <c r="BG134" s="21"/>
      <c r="BH134" s="21"/>
      <c r="BI134" s="21"/>
      <c r="BJ134" s="21"/>
      <c r="BK134" s="21"/>
      <c r="BL134" s="21"/>
      <c r="BM134" s="21"/>
      <c r="BN134" s="21"/>
      <c r="BO134" s="21"/>
      <c r="BP134" s="21"/>
      <c r="BQ134" s="21"/>
      <c r="BR134" s="21"/>
      <c r="BS134" s="21"/>
      <c r="BT134" s="21"/>
      <c r="BU134" s="21"/>
      <c r="BV134" s="21"/>
      <c r="BW134" s="21"/>
      <c r="BX134" s="21"/>
      <c r="BY134" s="21"/>
      <c r="BZ134" s="21"/>
      <c r="CA134" s="21"/>
      <c r="CB134" s="21"/>
      <c r="CC134" s="21"/>
      <c r="CD134" s="21"/>
      <c r="CE134" s="21"/>
      <c r="CF134" s="21"/>
      <c r="CG134" s="21"/>
    </row>
    <row r="135" spans="1:85" s="12" customFormat="1" x14ac:dyDescent="0.3">
      <c r="A135" s="21" t="s">
        <v>16</v>
      </c>
      <c r="B135" s="21" t="s">
        <v>191</v>
      </c>
      <c r="C135" s="21" t="s">
        <v>834</v>
      </c>
      <c r="D135" s="20">
        <f>(($D$24+$D$36)*inputs!$E$28)/(inputs!$E$31^10)</f>
        <v>10574738.053324526</v>
      </c>
      <c r="E135" s="19" t="str">
        <f t="shared" ca="1" si="2"/>
        <v>=(($D$24+$D$36)*inputs!$E$28)/(inputs!$E$31^10)</v>
      </c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  <c r="BO135" s="21"/>
      <c r="BP135" s="21"/>
      <c r="BQ135" s="21"/>
      <c r="BR135" s="21"/>
      <c r="BS135" s="21"/>
      <c r="BT135" s="21"/>
      <c r="BU135" s="21"/>
      <c r="BV135" s="21"/>
      <c r="BW135" s="21"/>
      <c r="BX135" s="21"/>
      <c r="BY135" s="21"/>
      <c r="BZ135" s="21"/>
      <c r="CA135" s="21"/>
      <c r="CB135" s="21"/>
      <c r="CC135" s="21"/>
      <c r="CD135" s="21"/>
      <c r="CE135" s="21"/>
      <c r="CF135" s="21"/>
      <c r="CG135" s="21"/>
    </row>
    <row r="136" spans="1:85" s="12" customFormat="1" x14ac:dyDescent="0.3">
      <c r="A136" s="21" t="s">
        <v>16</v>
      </c>
      <c r="B136" s="21" t="s">
        <v>191</v>
      </c>
      <c r="C136" s="21" t="s">
        <v>835</v>
      </c>
      <c r="D136" s="20">
        <f>(($D$25+$D$37)*inputs!$E$28)/(inputs!$E$31^11)</f>
        <v>10259549.258919608</v>
      </c>
      <c r="E136" s="19" t="str">
        <f t="shared" ca="1" si="2"/>
        <v>=(($D$25+$D$37)*inputs!$E$28)/(inputs!$E$31^11)</v>
      </c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  <c r="BO136" s="21"/>
      <c r="BP136" s="21"/>
      <c r="BQ136" s="21"/>
      <c r="BR136" s="21"/>
      <c r="BS136" s="21"/>
      <c r="BT136" s="21"/>
      <c r="BU136" s="21"/>
      <c r="BV136" s="21"/>
      <c r="BW136" s="21"/>
      <c r="BX136" s="21"/>
      <c r="BY136" s="21"/>
      <c r="BZ136" s="21"/>
      <c r="CA136" s="21"/>
      <c r="CB136" s="21"/>
      <c r="CC136" s="21"/>
      <c r="CD136" s="21"/>
      <c r="CE136" s="21"/>
      <c r="CF136" s="21"/>
      <c r="CG136" s="21"/>
    </row>
    <row r="137" spans="1:85" s="12" customFormat="1" x14ac:dyDescent="0.3">
      <c r="A137" s="21" t="s">
        <v>16</v>
      </c>
      <c r="B137" s="21" t="s">
        <v>192</v>
      </c>
      <c r="C137" s="21" t="s">
        <v>131</v>
      </c>
      <c r="D137" s="42">
        <f>D38*inputs!E29</f>
        <v>50265995.818692908</v>
      </c>
      <c r="E137" s="21" t="str">
        <f t="shared" ca="1" si="2"/>
        <v>=D38*inputs!E29</v>
      </c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</row>
    <row r="138" spans="1:85" s="12" customFormat="1" x14ac:dyDescent="0.3">
      <c r="A138" s="21" t="s">
        <v>16</v>
      </c>
      <c r="B138" s="21" t="s">
        <v>192</v>
      </c>
      <c r="C138" s="21" t="s">
        <v>132</v>
      </c>
      <c r="D138" s="42">
        <f>(D39*inputs!E29)/(inputs!E31^1)</f>
        <v>138848647.56579614</v>
      </c>
      <c r="E138" s="21" t="str">
        <f t="shared" ca="1" si="2"/>
        <v>=(D39*inputs!E29)/(inputs!E31^1)</v>
      </c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1"/>
      <c r="BI138" s="21"/>
    </row>
    <row r="139" spans="1:85" s="12" customFormat="1" x14ac:dyDescent="0.3">
      <c r="A139" s="21" t="s">
        <v>16</v>
      </c>
      <c r="B139" s="21" t="s">
        <v>192</v>
      </c>
      <c r="C139" s="21" t="s">
        <v>133</v>
      </c>
      <c r="D139" s="42">
        <f>(D40*inputs!$E$29)/(inputs!$E$31^2)</f>
        <v>6735507.4520631107</v>
      </c>
      <c r="E139" s="21" t="str">
        <f t="shared" ca="1" si="2"/>
        <v>=(D40*inputs!$E$29)/(inputs!$E$31^2)</v>
      </c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</row>
    <row r="140" spans="1:85" s="12" customFormat="1" x14ac:dyDescent="0.3">
      <c r="A140" s="21" t="s">
        <v>16</v>
      </c>
      <c r="B140" s="21" t="s">
        <v>192</v>
      </c>
      <c r="C140" s="21" t="s">
        <v>134</v>
      </c>
      <c r="D140" s="42">
        <f>(D41*inputs!$E$29)/(inputs!$E$31^3)</f>
        <v>6534750.0940258894</v>
      </c>
      <c r="E140" s="21" t="str">
        <f t="shared" ca="1" si="2"/>
        <v>=(D41*inputs!$E$29)/(inputs!$E$31^3)</v>
      </c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</row>
    <row r="141" spans="1:85" s="12" customFormat="1" x14ac:dyDescent="0.3">
      <c r="A141" s="21" t="s">
        <v>16</v>
      </c>
      <c r="B141" s="21" t="s">
        <v>192</v>
      </c>
      <c r="C141" s="21" t="s">
        <v>135</v>
      </c>
      <c r="D141" s="42">
        <f>(D42*inputs!$E$29)/(inputs!$E$31^4)</f>
        <v>6339976.4747185167</v>
      </c>
      <c r="E141" s="21" t="str">
        <f t="shared" ca="1" si="2"/>
        <v>=(D42*inputs!$E$29)/(inputs!$E$31^4)</v>
      </c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</row>
    <row r="142" spans="1:85" s="12" customFormat="1" x14ac:dyDescent="0.3">
      <c r="A142" s="21" t="s">
        <v>16</v>
      </c>
      <c r="B142" s="21" t="s">
        <v>192</v>
      </c>
      <c r="C142" s="21" t="s">
        <v>136</v>
      </c>
      <c r="D142" s="42">
        <f>(D43*inputs!$E$29)/(inputs!$E$31^5)</f>
        <v>6151008.2438701121</v>
      </c>
      <c r="E142" s="21" t="str">
        <f t="shared" ca="1" si="2"/>
        <v>=(D43*inputs!$E$29)/(inputs!$E$31^5)</v>
      </c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  <c r="AY142" s="21"/>
      <c r="AZ142" s="21"/>
      <c r="BA142" s="21"/>
      <c r="BB142" s="21"/>
      <c r="BC142" s="21"/>
      <c r="BD142" s="21"/>
      <c r="BE142" s="21"/>
      <c r="BF142" s="21"/>
      <c r="BG142" s="21"/>
      <c r="BH142" s="21"/>
      <c r="BI142" s="21"/>
    </row>
    <row r="143" spans="1:85" s="12" customFormat="1" x14ac:dyDescent="0.3">
      <c r="A143" s="21" t="s">
        <v>16</v>
      </c>
      <c r="B143" s="21" t="s">
        <v>192</v>
      </c>
      <c r="C143" s="21" t="s">
        <v>137</v>
      </c>
      <c r="D143" s="42">
        <f>(D44*inputs!$E$29)/(inputs!$E$31^6)</f>
        <v>5967672.3670867989</v>
      </c>
      <c r="E143" s="21" t="str">
        <f t="shared" ca="1" si="2"/>
        <v>=(D44*inputs!$E$29)/(inputs!$E$31^6)</v>
      </c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</row>
    <row r="144" spans="1:85" s="12" customFormat="1" x14ac:dyDescent="0.3">
      <c r="A144" s="21" t="s">
        <v>16</v>
      </c>
      <c r="B144" s="21" t="s">
        <v>192</v>
      </c>
      <c r="C144" s="21" t="s">
        <v>138</v>
      </c>
      <c r="D144" s="42">
        <f>(D45*inputs!$E$29)/(inputs!$E$31^7)</f>
        <v>5789800.9674076093</v>
      </c>
      <c r="E144" s="21" t="str">
        <f t="shared" ca="1" si="2"/>
        <v>=(D45*inputs!$E$29)/(inputs!$E$31^7)</v>
      </c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</row>
    <row r="145" spans="1:119" s="12" customFormat="1" x14ac:dyDescent="0.3">
      <c r="A145" s="12" t="s">
        <v>16</v>
      </c>
      <c r="B145" s="12" t="s">
        <v>192</v>
      </c>
      <c r="C145" s="12" t="s">
        <v>139</v>
      </c>
      <c r="D145" s="13">
        <f>(D46*inputs!$E$29)/(inputs!$E$31^8)</f>
        <v>5617231.1715829363</v>
      </c>
      <c r="E145" s="12" t="str">
        <f t="shared" ca="1" si="2"/>
        <v>=(D46*inputs!$E$29)/(inputs!$E$31^8)</v>
      </c>
    </row>
    <row r="146" spans="1:119" s="12" customFormat="1" x14ac:dyDescent="0.3">
      <c r="A146" s="12" t="s">
        <v>16</v>
      </c>
      <c r="B146" s="12" t="s">
        <v>192</v>
      </c>
      <c r="C146" s="12" t="s">
        <v>140</v>
      </c>
      <c r="D146" s="13">
        <f>(D47*inputs!$E$29)/(inputs!$E$31^9)</f>
        <v>5449804.9609347843</v>
      </c>
      <c r="E146" s="12" t="str">
        <f t="shared" ca="1" si="2"/>
        <v>=(D47*inputs!$E$29)/(inputs!$E$31^9)</v>
      </c>
    </row>
    <row r="147" spans="1:119" s="12" customFormat="1" x14ac:dyDescent="0.3">
      <c r="A147" s="12" t="s">
        <v>16</v>
      </c>
      <c r="B147" s="12" t="s">
        <v>192</v>
      </c>
      <c r="C147" s="12" t="s">
        <v>141</v>
      </c>
      <c r="D147" s="13">
        <f>(D48*inputs!$E$29)/(inputs!$E$31^10)</f>
        <v>5287369.0266622622</v>
      </c>
      <c r="E147" s="12" t="str">
        <f t="shared" ca="1" si="2"/>
        <v>=(D48*inputs!$E$29)/(inputs!$E$31^10)</v>
      </c>
    </row>
    <row r="148" spans="1:119" s="12" customFormat="1" x14ac:dyDescent="0.3">
      <c r="A148" s="12" t="s">
        <v>16</v>
      </c>
      <c r="B148" s="12" t="s">
        <v>192</v>
      </c>
      <c r="C148" s="12" t="s">
        <v>142</v>
      </c>
      <c r="D148" s="13">
        <f>(D49*inputs!$E$29)/(inputs!$E$31^11)</f>
        <v>5129774.6294598039</v>
      </c>
      <c r="E148" s="12" t="str">
        <f t="shared" ca="1" si="2"/>
        <v>=(D49*inputs!$E$29)/(inputs!$E$31^11)</v>
      </c>
    </row>
    <row r="149" spans="1:119" x14ac:dyDescent="0.3">
      <c r="A149" s="21" t="s">
        <v>32</v>
      </c>
      <c r="B149" s="21" t="s">
        <v>289</v>
      </c>
      <c r="C149" s="21" t="s">
        <v>252</v>
      </c>
      <c r="D149" s="42">
        <f>(D2*inputs!E39*inputs!E50*inputs!E61)-inputs!E32*(D2*inputs!E39*inputs!E50*inputs!E61)</f>
        <v>31005.364411002916</v>
      </c>
      <c r="E149" s="21" t="str">
        <f ca="1">_xlfn.FORMULATEXT(D149)</f>
        <v>=(D2*inputs!E39*inputs!E50*inputs!E61)-inputs!E32*(D2*inputs!E39*inputs!E50*inputs!E61)</v>
      </c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  <c r="BK149" s="21"/>
      <c r="BL149" s="21"/>
      <c r="BM149" s="21"/>
      <c r="BN149" s="21"/>
      <c r="BO149" s="21"/>
      <c r="BP149" s="21"/>
      <c r="BQ149" s="21"/>
      <c r="BR149" s="21"/>
      <c r="BS149" s="21"/>
      <c r="BT149" s="21"/>
      <c r="BU149" s="21"/>
      <c r="BV149" s="21"/>
      <c r="BW149" s="21"/>
      <c r="BX149" s="21"/>
      <c r="BY149" s="21"/>
      <c r="BZ149" s="21"/>
      <c r="CA149" s="21"/>
      <c r="CB149" s="21"/>
      <c r="CC149" s="21"/>
      <c r="CD149" s="21"/>
      <c r="CE149" s="21"/>
      <c r="CF149" s="21"/>
      <c r="CG149" s="21"/>
      <c r="CH149" s="21"/>
      <c r="CI149" s="21"/>
      <c r="CJ149" s="21"/>
      <c r="CK149" s="21"/>
      <c r="CL149" s="21"/>
      <c r="CM149" s="21"/>
      <c r="CN149" s="21"/>
      <c r="CO149" s="21"/>
      <c r="CP149" s="21"/>
      <c r="CQ149" s="21"/>
      <c r="CR149" s="21"/>
      <c r="CS149" s="21"/>
      <c r="CT149" s="21"/>
      <c r="CU149" s="21"/>
      <c r="CV149" s="21"/>
      <c r="CW149" s="21"/>
      <c r="CX149" s="21"/>
      <c r="CY149" s="21"/>
      <c r="CZ149" s="21"/>
      <c r="DA149" s="21"/>
      <c r="DB149" s="21"/>
      <c r="DC149" s="21"/>
      <c r="DD149" s="21"/>
      <c r="DE149" s="21"/>
      <c r="DF149" s="21"/>
      <c r="DG149" s="21"/>
      <c r="DH149" s="21"/>
      <c r="DI149" s="21"/>
      <c r="DJ149" s="21"/>
      <c r="DK149" s="21"/>
      <c r="DL149" s="21"/>
      <c r="DM149" s="21"/>
      <c r="DN149" s="21"/>
      <c r="DO149" s="21"/>
    </row>
    <row r="150" spans="1:119" x14ac:dyDescent="0.3">
      <c r="A150" s="21" t="s">
        <v>32</v>
      </c>
      <c r="B150" s="21" t="s">
        <v>289</v>
      </c>
      <c r="C150" s="21" t="s">
        <v>279</v>
      </c>
      <c r="D150" s="40">
        <f>(D2*inputs!E40*inputs!E51*inputs!E62)-inputs!E32*(D2*inputs!E40*inputs!E51*inputs!E62)</f>
        <v>21356.39208392732</v>
      </c>
      <c r="E150" s="21" t="str">
        <f ca="1">_xlfn.FORMULATEXT(D150)</f>
        <v>=(D2*inputs!E40*inputs!E51*inputs!E62)-inputs!E32*(D2*inputs!E40*inputs!E51*inputs!E62)</v>
      </c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  <c r="AU150" s="21"/>
      <c r="AV150" s="21"/>
      <c r="AW150" s="21"/>
      <c r="AX150" s="21"/>
      <c r="AY150" s="21"/>
      <c r="AZ150" s="21"/>
      <c r="BA150" s="21"/>
      <c r="BB150" s="21"/>
      <c r="BC150" s="21"/>
      <c r="BD150" s="21"/>
      <c r="BE150" s="21"/>
      <c r="BF150" s="21"/>
      <c r="BG150" s="21"/>
      <c r="BH150" s="21"/>
      <c r="BI150" s="21"/>
      <c r="BJ150" s="21"/>
      <c r="BK150" s="21"/>
      <c r="BL150" s="21"/>
      <c r="BM150" s="21"/>
      <c r="BN150" s="21"/>
      <c r="BO150" s="21"/>
      <c r="BP150" s="21"/>
      <c r="BQ150" s="21"/>
      <c r="BR150" s="21"/>
      <c r="BS150" s="21"/>
      <c r="BT150" s="21"/>
      <c r="BU150" s="21"/>
      <c r="BV150" s="21"/>
      <c r="BW150" s="21"/>
      <c r="BX150" s="21"/>
      <c r="BY150" s="21"/>
      <c r="BZ150" s="21"/>
      <c r="CA150" s="21"/>
      <c r="CB150" s="21"/>
      <c r="CC150" s="21"/>
      <c r="CD150" s="21"/>
      <c r="CE150" s="21"/>
      <c r="CF150" s="21"/>
      <c r="CG150" s="21"/>
      <c r="CH150" s="21"/>
      <c r="CI150" s="21"/>
      <c r="CJ150" s="21"/>
      <c r="CK150" s="21"/>
      <c r="CL150" s="21"/>
      <c r="CM150" s="21"/>
      <c r="CN150" s="21"/>
      <c r="CO150" s="21"/>
      <c r="CP150" s="21"/>
      <c r="CQ150" s="21"/>
      <c r="CR150" s="21"/>
      <c r="CS150" s="21"/>
      <c r="CT150" s="21"/>
      <c r="CU150" s="21"/>
      <c r="CV150" s="21"/>
      <c r="CW150" s="21"/>
      <c r="CX150" s="21"/>
      <c r="CY150" s="21"/>
      <c r="CZ150" s="21"/>
      <c r="DA150" s="21"/>
      <c r="DB150" s="21"/>
      <c r="DC150" s="21"/>
      <c r="DD150" s="21"/>
      <c r="DE150" s="21"/>
      <c r="DF150" s="21"/>
      <c r="DG150" s="21"/>
      <c r="DH150" s="21"/>
      <c r="DI150" s="21"/>
      <c r="DJ150" s="21"/>
      <c r="DK150" s="21"/>
      <c r="DL150" s="21"/>
      <c r="DM150" s="21"/>
      <c r="DN150" s="21"/>
      <c r="DO150" s="21"/>
    </row>
    <row r="151" spans="1:119" s="14" customFormat="1" x14ac:dyDescent="0.3">
      <c r="A151" s="21" t="s">
        <v>32</v>
      </c>
      <c r="B151" s="21" t="s">
        <v>289</v>
      </c>
      <c r="C151" s="21" t="s">
        <v>280</v>
      </c>
      <c r="D151" s="42">
        <f>(D3*inputs!E41*inputs!E52*inputs!E63)-inputs!E33*(D3*inputs!E41*inputs!E52*inputs!E63)</f>
        <v>0</v>
      </c>
      <c r="E151" s="21" t="str">
        <f ca="1">_xlfn.FORMULATEXT(D151)</f>
        <v>=(D3*inputs!E41*inputs!E52*inputs!E63)-inputs!E33*(D3*inputs!E41*inputs!E52*inputs!E63)</v>
      </c>
      <c r="F151" s="21" t="s">
        <v>814</v>
      </c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  <c r="BS151" s="21"/>
      <c r="BT151" s="21"/>
      <c r="BU151" s="21"/>
      <c r="BV151" s="21"/>
      <c r="BW151" s="21"/>
      <c r="BX151" s="21"/>
      <c r="BY151" s="21"/>
      <c r="BZ151" s="21"/>
      <c r="CA151" s="21"/>
      <c r="CB151" s="21"/>
      <c r="CC151" s="21"/>
      <c r="CD151" s="21"/>
      <c r="CE151" s="21"/>
      <c r="CF151" s="21"/>
      <c r="CG151" s="21"/>
      <c r="CH151" s="21"/>
      <c r="CI151" s="21"/>
      <c r="CJ151" s="21"/>
      <c r="CK151" s="21"/>
      <c r="CL151" s="21"/>
      <c r="CM151" s="21"/>
      <c r="CN151" s="21"/>
      <c r="CO151" s="21"/>
      <c r="CP151" s="21"/>
      <c r="CQ151" s="21"/>
      <c r="CR151" s="21"/>
      <c r="CS151" s="21"/>
      <c r="CT151" s="21"/>
      <c r="CU151" s="21"/>
      <c r="CV151" s="21"/>
      <c r="CW151" s="21"/>
      <c r="CX151" s="21"/>
      <c r="CY151" s="21"/>
      <c r="CZ151" s="21"/>
      <c r="DA151" s="21"/>
      <c r="DB151" s="21"/>
      <c r="DC151" s="21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</row>
    <row r="152" spans="1:119" s="14" customFormat="1" x14ac:dyDescent="0.3">
      <c r="A152" s="21" t="s">
        <v>32</v>
      </c>
      <c r="B152" s="21" t="s">
        <v>289</v>
      </c>
      <c r="C152" s="21" t="s">
        <v>281</v>
      </c>
      <c r="D152" s="42">
        <f>(D3*inputs!E42*inputs!E53*inputs!E64)-inputs!E33*(D3*inputs!E42*inputs!E53*inputs!E64)</f>
        <v>0</v>
      </c>
      <c r="E152" s="21" t="str">
        <f t="shared" ref="E152:E214" ca="1" si="3">_xlfn.FORMULATEXT(D152)</f>
        <v>=(D3*inputs!E42*inputs!E53*inputs!E64)-inputs!E33*(D3*inputs!E42*inputs!E53*inputs!E64)</v>
      </c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  <c r="CD152" s="21"/>
      <c r="CE152" s="21"/>
      <c r="CF152" s="21"/>
      <c r="CG152" s="21"/>
      <c r="CH152" s="21"/>
      <c r="CI152" s="21"/>
      <c r="CJ152" s="21"/>
      <c r="CK152" s="21"/>
      <c r="CL152" s="21"/>
      <c r="CM152" s="21"/>
      <c r="CN152" s="21"/>
      <c r="CO152" s="21"/>
      <c r="CP152" s="21"/>
      <c r="CQ152" s="21"/>
      <c r="CR152" s="21"/>
      <c r="CS152" s="21"/>
      <c r="CT152" s="21"/>
      <c r="CU152" s="21"/>
      <c r="CV152" s="21"/>
      <c r="CW152" s="21"/>
      <c r="CX152" s="21"/>
      <c r="CY152" s="21"/>
      <c r="CZ152" s="21"/>
      <c r="DA152" s="21"/>
      <c r="DB152" s="21"/>
      <c r="DC152" s="21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</row>
    <row r="153" spans="1:119" s="14" customFormat="1" x14ac:dyDescent="0.3">
      <c r="A153" s="21" t="s">
        <v>32</v>
      </c>
      <c r="B153" s="21" t="s">
        <v>289</v>
      </c>
      <c r="C153" s="21" t="s">
        <v>282</v>
      </c>
      <c r="D153" s="42">
        <f>(D3*inputs!E43*inputs!E54*inputs!E65)-inputs!E33*(D3*inputs!E43*inputs!E54*inputs!E65)</f>
        <v>0</v>
      </c>
      <c r="E153" s="21" t="str">
        <f t="shared" ca="1" si="3"/>
        <v>=(D3*inputs!E43*inputs!E54*inputs!E65)-inputs!E33*(D3*inputs!E43*inputs!E54*inputs!E65)</v>
      </c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  <c r="CD153" s="21"/>
      <c r="CE153" s="21"/>
      <c r="CF153" s="21"/>
      <c r="CG153" s="21"/>
      <c r="CH153" s="21"/>
      <c r="CI153" s="21"/>
      <c r="CJ153" s="21"/>
      <c r="CK153" s="21"/>
      <c r="CL153" s="21"/>
      <c r="CM153" s="21"/>
      <c r="CN153" s="21"/>
      <c r="CO153" s="21"/>
      <c r="CP153" s="21"/>
      <c r="CQ153" s="21"/>
      <c r="CR153" s="21"/>
      <c r="CS153" s="21"/>
      <c r="CT153" s="21"/>
      <c r="CU153" s="21"/>
      <c r="CV153" s="21"/>
      <c r="CW153" s="21"/>
      <c r="CX153" s="21"/>
      <c r="CY153" s="21"/>
      <c r="CZ153" s="21"/>
      <c r="DA153" s="21"/>
      <c r="DB153" s="21"/>
      <c r="DC153" s="21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</row>
    <row r="154" spans="1:119" s="14" customFormat="1" x14ac:dyDescent="0.3">
      <c r="A154" s="21" t="s">
        <v>32</v>
      </c>
      <c r="B154" s="21" t="s">
        <v>289</v>
      </c>
      <c r="C154" s="21" t="s">
        <v>283</v>
      </c>
      <c r="D154" s="42">
        <f>(D3*inputs!E44*inputs!E55*inputs!E66)-inputs!E33*(D3*inputs!E44*inputs!E55*inputs!E66)</f>
        <v>0</v>
      </c>
      <c r="E154" s="21" t="str">
        <f t="shared" ca="1" si="3"/>
        <v>=(D3*inputs!E44*inputs!E55*inputs!E66)-inputs!E33*(D3*inputs!E44*inputs!E55*inputs!E66)</v>
      </c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  <c r="BK154" s="21"/>
      <c r="BL154" s="21"/>
      <c r="BM154" s="21"/>
      <c r="BN154" s="21"/>
      <c r="BO154" s="21"/>
      <c r="BP154" s="21"/>
      <c r="BQ154" s="21"/>
      <c r="BR154" s="21"/>
      <c r="BS154" s="21"/>
      <c r="BT154" s="21"/>
      <c r="BU154" s="21"/>
      <c r="BV154" s="21"/>
      <c r="BW154" s="21"/>
      <c r="BX154" s="21"/>
      <c r="BY154" s="21"/>
      <c r="BZ154" s="21"/>
      <c r="CA154" s="21"/>
      <c r="CB154" s="21"/>
      <c r="CC154" s="21"/>
      <c r="CD154" s="21"/>
      <c r="CE154" s="21"/>
      <c r="CF154" s="21"/>
      <c r="CG154" s="21"/>
      <c r="CH154" s="21"/>
      <c r="CI154" s="21"/>
      <c r="CJ154" s="21"/>
      <c r="CK154" s="21"/>
      <c r="CL154" s="21"/>
      <c r="CM154" s="21"/>
      <c r="CN154" s="21"/>
      <c r="CO154" s="21"/>
      <c r="CP154" s="21"/>
      <c r="CQ154" s="21"/>
      <c r="CR154" s="21"/>
      <c r="CS154" s="21"/>
      <c r="CT154" s="21"/>
      <c r="CU154" s="21"/>
      <c r="CV154" s="21"/>
      <c r="CW154" s="21"/>
      <c r="CX154" s="21"/>
      <c r="CY154" s="21"/>
      <c r="CZ154" s="21"/>
      <c r="DA154" s="21"/>
      <c r="DB154" s="21"/>
      <c r="DC154" s="21"/>
      <c r="DD154" s="21"/>
      <c r="DE154" s="21"/>
      <c r="DF154" s="21"/>
      <c r="DG154" s="21"/>
      <c r="DH154" s="21"/>
      <c r="DI154" s="21"/>
      <c r="DJ154" s="21"/>
      <c r="DK154" s="21"/>
      <c r="DL154" s="21"/>
      <c r="DM154" s="21"/>
      <c r="DN154" s="21"/>
      <c r="DO154" s="21"/>
    </row>
    <row r="155" spans="1:119" s="14" customFormat="1" x14ac:dyDescent="0.3">
      <c r="A155" s="21" t="s">
        <v>32</v>
      </c>
      <c r="B155" s="21" t="s">
        <v>289</v>
      </c>
      <c r="C155" s="21" t="s">
        <v>284</v>
      </c>
      <c r="D155" s="42">
        <f>(D3*inputs!E45*inputs!E56*inputs!E67)-inputs!E33*(D3*inputs!E45*inputs!E56*inputs!E67)</f>
        <v>27348.321004395963</v>
      </c>
      <c r="E155" s="21" t="str">
        <f t="shared" ca="1" si="3"/>
        <v>=(D3*inputs!E45*inputs!E56*inputs!E67)-inputs!E33*(D3*inputs!E45*inputs!E56*inputs!E67)</v>
      </c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  <c r="BO155" s="21"/>
      <c r="BP155" s="21"/>
      <c r="BQ155" s="21"/>
      <c r="BR155" s="21"/>
      <c r="BS155" s="21"/>
      <c r="BT155" s="21"/>
      <c r="BU155" s="21"/>
      <c r="BV155" s="21"/>
      <c r="BW155" s="21"/>
      <c r="BX155" s="21"/>
      <c r="BY155" s="21"/>
      <c r="BZ155" s="21"/>
      <c r="CA155" s="21"/>
      <c r="CB155" s="21"/>
      <c r="CC155" s="21"/>
      <c r="CD155" s="21"/>
      <c r="CE155" s="21"/>
      <c r="CF155" s="21"/>
      <c r="CG155" s="21"/>
      <c r="CH155" s="21"/>
      <c r="CI155" s="21"/>
      <c r="CJ155" s="21"/>
      <c r="CK155" s="21"/>
      <c r="CL155" s="21"/>
      <c r="CM155" s="21"/>
      <c r="CN155" s="21"/>
      <c r="CO155" s="21"/>
      <c r="CP155" s="21"/>
      <c r="CQ155" s="21"/>
      <c r="CR155" s="21"/>
      <c r="CS155" s="21"/>
      <c r="CT155" s="21"/>
      <c r="CU155" s="21"/>
      <c r="CV155" s="21"/>
      <c r="CW155" s="21"/>
      <c r="CX155" s="21"/>
      <c r="CY155" s="21"/>
      <c r="CZ155" s="21"/>
      <c r="DA155" s="21"/>
      <c r="DB155" s="21"/>
      <c r="DC155" s="21"/>
      <c r="DD155" s="21"/>
      <c r="DE155" s="21"/>
      <c r="DF155" s="21"/>
      <c r="DG155" s="21"/>
      <c r="DH155" s="21"/>
      <c r="DI155" s="21"/>
      <c r="DJ155" s="21"/>
      <c r="DK155" s="21"/>
      <c r="DL155" s="21"/>
      <c r="DM155" s="21"/>
      <c r="DN155" s="21"/>
      <c r="DO155" s="21"/>
    </row>
    <row r="156" spans="1:119" s="14" customFormat="1" x14ac:dyDescent="0.3">
      <c r="A156" s="21" t="s">
        <v>32</v>
      </c>
      <c r="B156" s="21" t="s">
        <v>289</v>
      </c>
      <c r="C156" s="21" t="s">
        <v>285</v>
      </c>
      <c r="D156" s="42">
        <f>(D3*inputs!E46*inputs!E57*inputs!E68)-inputs!E33*(D3*inputs!E46*inputs!E57*inputs!E68)</f>
        <v>16251.124535719164</v>
      </c>
      <c r="E156" s="21" t="str">
        <f t="shared" ca="1" si="3"/>
        <v>=(D3*inputs!E46*inputs!E57*inputs!E68)-inputs!E33*(D3*inputs!E46*inputs!E57*inputs!E68)</v>
      </c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1"/>
      <c r="BT156" s="21"/>
      <c r="BU156" s="21"/>
      <c r="BV156" s="21"/>
      <c r="BW156" s="21"/>
      <c r="BX156" s="21"/>
      <c r="BY156" s="21"/>
      <c r="BZ156" s="21"/>
      <c r="CA156" s="21"/>
      <c r="CB156" s="21"/>
      <c r="CC156" s="21"/>
      <c r="CD156" s="21"/>
      <c r="CE156" s="21"/>
      <c r="CF156" s="21"/>
      <c r="CG156" s="21"/>
      <c r="CH156" s="21"/>
      <c r="CI156" s="21"/>
      <c r="CJ156" s="21"/>
      <c r="CK156" s="21"/>
      <c r="CL156" s="21"/>
      <c r="CM156" s="21"/>
      <c r="CN156" s="21"/>
      <c r="CO156" s="21"/>
      <c r="CP156" s="21"/>
      <c r="CQ156" s="21"/>
      <c r="CR156" s="21"/>
      <c r="CS156" s="21"/>
      <c r="CT156" s="21"/>
      <c r="CU156" s="21"/>
      <c r="CV156" s="21"/>
      <c r="CW156" s="21"/>
      <c r="CX156" s="21"/>
      <c r="CY156" s="21"/>
      <c r="CZ156" s="21"/>
      <c r="DA156" s="21"/>
      <c r="DB156" s="21"/>
      <c r="DC156" s="21"/>
      <c r="DD156" s="21"/>
      <c r="DE156" s="21"/>
      <c r="DF156" s="21"/>
      <c r="DG156" s="21"/>
      <c r="DH156" s="21"/>
      <c r="DI156" s="21"/>
      <c r="DJ156" s="21"/>
      <c r="DK156" s="21"/>
      <c r="DL156" s="21"/>
      <c r="DM156" s="21"/>
      <c r="DN156" s="21"/>
      <c r="DO156" s="21"/>
    </row>
    <row r="157" spans="1:119" s="14" customFormat="1" x14ac:dyDescent="0.3">
      <c r="A157" s="21" t="s">
        <v>32</v>
      </c>
      <c r="B157" s="21" t="s">
        <v>289</v>
      </c>
      <c r="C157" s="21" t="s">
        <v>286</v>
      </c>
      <c r="D157" s="42">
        <f>(D3*inputs!E47*inputs!E58*inputs!E69)-inputs!E33*(D3*inputs!E47*inputs!E58*inputs!E69)</f>
        <v>0</v>
      </c>
      <c r="E157" s="21" t="str">
        <f t="shared" ca="1" si="3"/>
        <v>=(D3*inputs!E47*inputs!E58*inputs!E69)-inputs!E33*(D3*inputs!E47*inputs!E58*inputs!E69)</v>
      </c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BY157" s="21"/>
      <c r="BZ157" s="21"/>
      <c r="CA157" s="21"/>
      <c r="CB157" s="21"/>
      <c r="CC157" s="21"/>
      <c r="CD157" s="21"/>
      <c r="CE157" s="21"/>
      <c r="CF157" s="21"/>
      <c r="CG157" s="21"/>
      <c r="CH157" s="21"/>
      <c r="CI157" s="21"/>
      <c r="CJ157" s="21"/>
      <c r="CK157" s="21"/>
      <c r="CL157" s="21"/>
      <c r="CM157" s="21"/>
      <c r="CN157" s="21"/>
      <c r="CO157" s="21"/>
      <c r="CP157" s="21"/>
      <c r="CQ157" s="21"/>
      <c r="CR157" s="21"/>
      <c r="CS157" s="21"/>
      <c r="CT157" s="21"/>
      <c r="CU157" s="21"/>
      <c r="CV157" s="21"/>
      <c r="CW157" s="21"/>
      <c r="CX157" s="21"/>
      <c r="CY157" s="21"/>
      <c r="CZ157" s="21"/>
      <c r="DA157" s="21"/>
      <c r="DB157" s="21"/>
      <c r="DC157" s="21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</row>
    <row r="158" spans="1:119" s="14" customFormat="1" x14ac:dyDescent="0.3">
      <c r="A158" s="21" t="s">
        <v>32</v>
      </c>
      <c r="B158" s="21" t="s">
        <v>289</v>
      </c>
      <c r="C158" s="21" t="s">
        <v>287</v>
      </c>
      <c r="D158" s="42">
        <f>(D3*inputs!E48*inputs!E59*inputs!E70)-inputs!E33*(D3*inputs!E48*inputs!E59*inputs!E70)</f>
        <v>0</v>
      </c>
      <c r="E158" s="21" t="str">
        <f t="shared" ca="1" si="3"/>
        <v>=(D3*inputs!E48*inputs!E59*inputs!E70)-inputs!E33*(D3*inputs!E48*inputs!E59*inputs!E70)</v>
      </c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  <c r="BK158" s="21"/>
      <c r="BL158" s="21"/>
      <c r="BM158" s="21"/>
      <c r="BN158" s="21"/>
      <c r="BO158" s="21"/>
      <c r="BP158" s="21"/>
      <c r="BQ158" s="21"/>
      <c r="BR158" s="21"/>
      <c r="BS158" s="21"/>
      <c r="BT158" s="21"/>
      <c r="BU158" s="21"/>
      <c r="BV158" s="21"/>
      <c r="BW158" s="21"/>
      <c r="BX158" s="21"/>
      <c r="BY158" s="21"/>
      <c r="BZ158" s="21"/>
      <c r="CA158" s="21"/>
      <c r="CB158" s="21"/>
      <c r="CC158" s="21"/>
      <c r="CD158" s="21"/>
      <c r="CE158" s="21"/>
      <c r="CF158" s="21"/>
      <c r="CG158" s="21"/>
      <c r="CH158" s="21"/>
      <c r="CI158" s="21"/>
      <c r="CJ158" s="21"/>
      <c r="CK158" s="21"/>
      <c r="CL158" s="21"/>
      <c r="CM158" s="21"/>
      <c r="CN158" s="21"/>
      <c r="CO158" s="21"/>
      <c r="CP158" s="21"/>
      <c r="CQ158" s="21"/>
      <c r="CR158" s="21"/>
      <c r="CS158" s="21"/>
      <c r="CT158" s="21"/>
      <c r="CU158" s="21"/>
      <c r="CV158" s="21"/>
      <c r="CW158" s="21"/>
      <c r="CX158" s="21"/>
      <c r="CY158" s="21"/>
      <c r="CZ158" s="21"/>
      <c r="DA158" s="21"/>
      <c r="DB158" s="21"/>
      <c r="DC158" s="21"/>
      <c r="DD158" s="21"/>
      <c r="DE158" s="21"/>
      <c r="DF158" s="21"/>
      <c r="DG158" s="21"/>
      <c r="DH158" s="21"/>
      <c r="DI158" s="21"/>
      <c r="DJ158" s="21"/>
      <c r="DK158" s="21"/>
      <c r="DL158" s="21"/>
      <c r="DM158" s="21"/>
      <c r="DN158" s="21"/>
      <c r="DO158" s="21"/>
    </row>
    <row r="159" spans="1:119" s="14" customFormat="1" x14ac:dyDescent="0.3">
      <c r="A159" s="21" t="s">
        <v>32</v>
      </c>
      <c r="B159" s="21" t="s">
        <v>289</v>
      </c>
      <c r="C159" s="21" t="s">
        <v>288</v>
      </c>
      <c r="D159" s="42">
        <f>(D3*inputs!E49*inputs!E60*inputs!E71)-inputs!E33*(D3*inputs!E49*inputs!E60*inputs!E71)</f>
        <v>0</v>
      </c>
      <c r="E159" s="21" t="str">
        <f t="shared" ca="1" si="3"/>
        <v>=(D3*inputs!E49*inputs!E60*inputs!E71)-inputs!E33*(D3*inputs!E49*inputs!E60*inputs!E71)</v>
      </c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1"/>
      <c r="BT159" s="21"/>
      <c r="BU159" s="21"/>
      <c r="BV159" s="21"/>
      <c r="BW159" s="21"/>
      <c r="BX159" s="21"/>
      <c r="BY159" s="21"/>
      <c r="BZ159" s="21"/>
      <c r="CA159" s="21"/>
      <c r="CB159" s="21"/>
      <c r="CC159" s="21"/>
      <c r="CD159" s="21"/>
      <c r="CE159" s="21"/>
      <c r="CF159" s="21"/>
      <c r="CG159" s="21"/>
      <c r="CH159" s="21"/>
      <c r="CI159" s="21"/>
      <c r="CJ159" s="21"/>
      <c r="CK159" s="21"/>
      <c r="CL159" s="21"/>
      <c r="CM159" s="21"/>
      <c r="CN159" s="21"/>
      <c r="CO159" s="21"/>
      <c r="CP159" s="21"/>
      <c r="CQ159" s="21"/>
      <c r="CR159" s="21"/>
      <c r="CS159" s="21"/>
      <c r="CT159" s="21"/>
      <c r="CU159" s="21"/>
      <c r="CV159" s="21"/>
      <c r="CW159" s="21"/>
      <c r="CX159" s="21"/>
      <c r="CY159" s="21"/>
      <c r="CZ159" s="21"/>
      <c r="DA159" s="21"/>
      <c r="DB159" s="21"/>
      <c r="DC159" s="21"/>
      <c r="DD159" s="21"/>
      <c r="DE159" s="21"/>
      <c r="DF159" s="21"/>
      <c r="DG159" s="21"/>
      <c r="DH159" s="21"/>
      <c r="DI159" s="21"/>
      <c r="DJ159" s="21"/>
      <c r="DK159" s="21"/>
      <c r="DL159" s="21"/>
      <c r="DM159" s="21"/>
      <c r="DN159" s="21"/>
      <c r="DO159" s="21"/>
    </row>
    <row r="160" spans="1:119" x14ac:dyDescent="0.3">
      <c r="A160" s="21" t="s">
        <v>32</v>
      </c>
      <c r="B160" s="21" t="s">
        <v>290</v>
      </c>
      <c r="C160" s="21" t="s">
        <v>291</v>
      </c>
      <c r="D160" s="42">
        <f>$D$155-$D$155*inputs!$E$33</f>
        <v>27340.116508094645</v>
      </c>
      <c r="E160" s="21" t="str">
        <f t="shared" ca="1" si="3"/>
        <v>=$D$155-$D$155*inputs!$E$33</v>
      </c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  <c r="CA160" s="21"/>
      <c r="CB160" s="21"/>
      <c r="CC160" s="21"/>
      <c r="CD160" s="21"/>
      <c r="CE160" s="21"/>
      <c r="CF160" s="21"/>
      <c r="CG160" s="21"/>
      <c r="CH160" s="21"/>
      <c r="CI160" s="21"/>
      <c r="CJ160" s="21"/>
      <c r="CK160" s="21"/>
      <c r="CL160" s="21"/>
      <c r="CM160" s="21"/>
      <c r="CN160" s="21"/>
      <c r="CO160" s="21"/>
      <c r="CP160" s="21"/>
      <c r="CQ160" s="21"/>
      <c r="CR160" s="21"/>
      <c r="CS160" s="21"/>
      <c r="CT160" s="21"/>
      <c r="CU160" s="21"/>
      <c r="CV160" s="21"/>
      <c r="CW160" s="21"/>
      <c r="CX160" s="21"/>
      <c r="CY160" s="21"/>
      <c r="CZ160" s="21"/>
      <c r="DA160" s="21"/>
      <c r="DB160" s="21"/>
      <c r="DC160" s="21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</row>
    <row r="161" spans="1:119" s="16" customFormat="1" x14ac:dyDescent="0.3">
      <c r="A161" s="21" t="s">
        <v>32</v>
      </c>
      <c r="B161" s="21" t="s">
        <v>290</v>
      </c>
      <c r="C161" s="21" t="s">
        <v>292</v>
      </c>
      <c r="D161" s="42">
        <f>D160-D160*inputs!$E$33</f>
        <v>27331.914473142217</v>
      </c>
      <c r="E161" s="21" t="str">
        <f t="shared" ca="1" si="3"/>
        <v>=D160-D160*inputs!$E$33</v>
      </c>
      <c r="F161" s="21" t="s">
        <v>815</v>
      </c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  <c r="CD161" s="21"/>
      <c r="CE161" s="21"/>
      <c r="CF161" s="21"/>
      <c r="CG161" s="21"/>
      <c r="CH161" s="21"/>
      <c r="CI161" s="21"/>
      <c r="CJ161" s="21"/>
      <c r="CK161" s="21"/>
      <c r="CL161" s="21"/>
      <c r="CM161" s="21"/>
      <c r="CN161" s="21"/>
      <c r="CO161" s="21"/>
      <c r="CP161" s="21"/>
      <c r="CQ161" s="21"/>
      <c r="CR161" s="21"/>
      <c r="CS161" s="21"/>
      <c r="CT161" s="21"/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</row>
    <row r="162" spans="1:119" s="16" customFormat="1" x14ac:dyDescent="0.3">
      <c r="A162" s="21" t="s">
        <v>32</v>
      </c>
      <c r="B162" s="21" t="s">
        <v>290</v>
      </c>
      <c r="C162" s="21" t="s">
        <v>293</v>
      </c>
      <c r="D162" s="42">
        <f>D161-D161*inputs!$E$33</f>
        <v>27323.714898800274</v>
      </c>
      <c r="E162" s="21" t="str">
        <f t="shared" ca="1" si="3"/>
        <v>=D161-D161*inputs!$E$33</v>
      </c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  <c r="CD162" s="21"/>
      <c r="CE162" s="21"/>
      <c r="CF162" s="21"/>
      <c r="CG162" s="21"/>
      <c r="CH162" s="21"/>
      <c r="CI162" s="21"/>
      <c r="CJ162" s="21"/>
      <c r="CK162" s="21"/>
      <c r="CL162" s="21"/>
      <c r="CM162" s="21"/>
      <c r="CN162" s="21"/>
      <c r="CO162" s="21"/>
      <c r="CP162" s="21"/>
      <c r="CQ162" s="21"/>
      <c r="CR162" s="21"/>
      <c r="CS162" s="21"/>
      <c r="CT162" s="21"/>
      <c r="CU162" s="21"/>
      <c r="CV162" s="21"/>
      <c r="CW162" s="21"/>
      <c r="CX162" s="21"/>
      <c r="CY162" s="21"/>
      <c r="CZ162" s="21"/>
      <c r="DA162" s="21"/>
      <c r="DB162" s="21"/>
      <c r="DC162" s="21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</row>
    <row r="163" spans="1:119" s="16" customFormat="1" x14ac:dyDescent="0.3">
      <c r="A163" s="21" t="s">
        <v>32</v>
      </c>
      <c r="B163" s="21" t="s">
        <v>290</v>
      </c>
      <c r="C163" s="21" t="s">
        <v>294</v>
      </c>
      <c r="D163" s="42">
        <f>D162-D162*inputs!$E$33</f>
        <v>27315.517784330634</v>
      </c>
      <c r="E163" s="21" t="str">
        <f t="shared" ca="1" si="3"/>
        <v>=D162-D162*inputs!$E$33</v>
      </c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  <c r="CD163" s="21"/>
      <c r="CE163" s="21"/>
      <c r="CF163" s="21"/>
      <c r="CG163" s="21"/>
      <c r="CH163" s="21"/>
      <c r="CI163" s="21"/>
      <c r="CJ163" s="21"/>
      <c r="CK163" s="21"/>
      <c r="CL163" s="21"/>
      <c r="CM163" s="21"/>
      <c r="CN163" s="21"/>
      <c r="CO163" s="21"/>
      <c r="CP163" s="21"/>
      <c r="CQ163" s="21"/>
      <c r="CR163" s="21"/>
      <c r="CS163" s="21"/>
      <c r="CT163" s="21"/>
      <c r="CU163" s="21"/>
      <c r="CV163" s="21"/>
      <c r="CW163" s="21"/>
      <c r="CX163" s="21"/>
      <c r="CY163" s="21"/>
      <c r="CZ163" s="21"/>
      <c r="DA163" s="21"/>
      <c r="DB163" s="21"/>
      <c r="DC163" s="21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</row>
    <row r="164" spans="1:119" s="16" customFormat="1" x14ac:dyDescent="0.3">
      <c r="A164" s="21" t="s">
        <v>32</v>
      </c>
      <c r="B164" s="21" t="s">
        <v>290</v>
      </c>
      <c r="C164" s="21" t="s">
        <v>295</v>
      </c>
      <c r="D164" s="42">
        <f>D163-D163*inputs!$E$34</f>
        <v>27307.323128995333</v>
      </c>
      <c r="E164" s="21" t="str">
        <f t="shared" ca="1" si="3"/>
        <v>=D163-D163*inputs!$E$34</v>
      </c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  <c r="CD164" s="21"/>
      <c r="CE164" s="21"/>
      <c r="CF164" s="21"/>
      <c r="CG164" s="21"/>
      <c r="CH164" s="21"/>
      <c r="CI164" s="21"/>
      <c r="CJ164" s="21"/>
      <c r="CK164" s="21"/>
      <c r="CL164" s="21"/>
      <c r="CM164" s="21"/>
      <c r="CN164" s="21"/>
      <c r="CO164" s="21"/>
      <c r="CP164" s="21"/>
      <c r="CQ164" s="21"/>
      <c r="CR164" s="21"/>
      <c r="CS164" s="21"/>
      <c r="CT164" s="21"/>
      <c r="CU164" s="21"/>
      <c r="CV164" s="21"/>
      <c r="CW164" s="21"/>
      <c r="CX164" s="21"/>
      <c r="CY164" s="21"/>
      <c r="CZ164" s="21"/>
      <c r="DA164" s="21"/>
      <c r="DB164" s="21"/>
      <c r="DC164" s="21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</row>
    <row r="165" spans="1:119" s="16" customFormat="1" x14ac:dyDescent="0.3">
      <c r="A165" s="21" t="s">
        <v>32</v>
      </c>
      <c r="B165" s="21" t="s">
        <v>290</v>
      </c>
      <c r="C165" s="21" t="s">
        <v>296</v>
      </c>
      <c r="D165" s="42">
        <f>D164-D164*inputs!$E$34</f>
        <v>27299.130932056632</v>
      </c>
      <c r="E165" s="21" t="str">
        <f t="shared" ca="1" si="3"/>
        <v>=D164-D164*inputs!$E$34</v>
      </c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  <c r="CD165" s="21"/>
      <c r="CE165" s="21"/>
      <c r="CF165" s="21"/>
      <c r="CG165" s="21"/>
      <c r="CH165" s="21"/>
      <c r="CI165" s="21"/>
      <c r="CJ165" s="21"/>
      <c r="CK165" s="21"/>
      <c r="CL165" s="21"/>
      <c r="CM165" s="21"/>
      <c r="CN165" s="21"/>
      <c r="CO165" s="21"/>
      <c r="CP165" s="21"/>
      <c r="CQ165" s="21"/>
      <c r="CR165" s="21"/>
      <c r="CS165" s="21"/>
      <c r="CT165" s="21"/>
      <c r="CU165" s="21"/>
      <c r="CV165" s="21"/>
      <c r="CW165" s="21"/>
      <c r="CX165" s="21"/>
      <c r="CY165" s="21"/>
      <c r="CZ165" s="21"/>
      <c r="DA165" s="21"/>
      <c r="DB165" s="21"/>
      <c r="DC165" s="21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</row>
    <row r="166" spans="1:119" s="16" customFormat="1" x14ac:dyDescent="0.3">
      <c r="A166" s="21" t="s">
        <v>32</v>
      </c>
      <c r="B166" s="21" t="s">
        <v>290</v>
      </c>
      <c r="C166" s="21" t="s">
        <v>297</v>
      </c>
      <c r="D166" s="42">
        <f>D165-D165*inputs!$E$34</f>
        <v>27290.941192777016</v>
      </c>
      <c r="E166" s="21" t="str">
        <f t="shared" ca="1" si="3"/>
        <v>=D165-D165*inputs!$E$34</v>
      </c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  <c r="CD166" s="21"/>
      <c r="CE166" s="21"/>
      <c r="CF166" s="21"/>
      <c r="CG166" s="21"/>
      <c r="CH166" s="21"/>
      <c r="CI166" s="21"/>
      <c r="CJ166" s="21"/>
      <c r="CK166" s="21"/>
      <c r="CL166" s="21"/>
      <c r="CM166" s="21"/>
      <c r="CN166" s="21"/>
      <c r="CO166" s="21"/>
      <c r="CP166" s="21"/>
      <c r="CQ166" s="21"/>
      <c r="CR166" s="21"/>
      <c r="CS166" s="21"/>
      <c r="CT166" s="21"/>
      <c r="CU166" s="21"/>
      <c r="CV166" s="21"/>
      <c r="CW166" s="21"/>
      <c r="CX166" s="21"/>
      <c r="CY166" s="21"/>
      <c r="CZ166" s="21"/>
      <c r="DA166" s="21"/>
      <c r="DB166" s="21"/>
      <c r="DC166" s="21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</row>
    <row r="167" spans="1:119" s="16" customFormat="1" x14ac:dyDescent="0.3">
      <c r="A167" s="21" t="s">
        <v>32</v>
      </c>
      <c r="B167" s="21" t="s">
        <v>290</v>
      </c>
      <c r="C167" s="21" t="s">
        <v>298</v>
      </c>
      <c r="D167" s="42">
        <f>D166-D166*inputs!$E$34</f>
        <v>27282.753910419182</v>
      </c>
      <c r="E167" s="21" t="str">
        <f t="shared" ca="1" si="3"/>
        <v>=D166-D166*inputs!$E$34</v>
      </c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  <c r="CD167" s="21"/>
      <c r="CE167" s="21"/>
      <c r="CF167" s="21"/>
      <c r="CG167" s="21"/>
      <c r="CH167" s="21"/>
      <c r="CI167" s="21"/>
      <c r="CJ167" s="21"/>
      <c r="CK167" s="21"/>
      <c r="CL167" s="21"/>
      <c r="CM167" s="21"/>
      <c r="CN167" s="21"/>
      <c r="CO167" s="21"/>
      <c r="CP167" s="21"/>
      <c r="CQ167" s="21"/>
      <c r="CR167" s="21"/>
      <c r="CS167" s="21"/>
      <c r="CT167" s="21"/>
      <c r="CU167" s="21"/>
      <c r="CV167" s="21"/>
      <c r="CW167" s="21"/>
      <c r="CX167" s="21"/>
      <c r="CY167" s="21"/>
      <c r="CZ167" s="21"/>
      <c r="DA167" s="21"/>
      <c r="DB167" s="21"/>
      <c r="DC167" s="21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</row>
    <row r="168" spans="1:119" s="16" customFormat="1" x14ac:dyDescent="0.3">
      <c r="A168" s="21" t="s">
        <v>32</v>
      </c>
      <c r="B168" s="21" t="s">
        <v>290</v>
      </c>
      <c r="C168" s="21" t="s">
        <v>299</v>
      </c>
      <c r="D168" s="42">
        <f>D167-D167*inputs!$E$34</f>
        <v>27274.569084246057</v>
      </c>
      <c r="E168" s="21" t="str">
        <f t="shared" ca="1" si="3"/>
        <v>=D167-D167*inputs!$E$34</v>
      </c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  <c r="CD168" s="21"/>
      <c r="CE168" s="21"/>
      <c r="CF168" s="21"/>
      <c r="CG168" s="21"/>
      <c r="CH168" s="21"/>
      <c r="CI168" s="21"/>
      <c r="CJ168" s="21"/>
      <c r="CK168" s="21"/>
      <c r="CL168" s="21"/>
      <c r="CM168" s="21"/>
      <c r="CN168" s="21"/>
      <c r="CO168" s="21"/>
      <c r="CP168" s="21"/>
      <c r="CQ168" s="21"/>
      <c r="CR168" s="21"/>
      <c r="CS168" s="21"/>
      <c r="CT168" s="21"/>
      <c r="CU168" s="21"/>
      <c r="CV168" s="21"/>
      <c r="CW168" s="21"/>
      <c r="CX168" s="21"/>
      <c r="CY168" s="21"/>
      <c r="CZ168" s="21"/>
      <c r="DA168" s="21"/>
      <c r="DB168" s="21"/>
      <c r="DC168" s="21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</row>
    <row r="169" spans="1:119" s="16" customFormat="1" x14ac:dyDescent="0.3">
      <c r="A169" s="21" t="s">
        <v>32</v>
      </c>
      <c r="B169" s="21" t="s">
        <v>290</v>
      </c>
      <c r="C169" s="21" t="s">
        <v>300</v>
      </c>
      <c r="D169" s="42">
        <f>D168-D168*inputs!$E$35</f>
        <v>27266.386713520784</v>
      </c>
      <c r="E169" s="21" t="str">
        <f t="shared" ca="1" si="3"/>
        <v>=D168-D168*inputs!$E$35</v>
      </c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</row>
    <row r="170" spans="1:119" s="16" customFormat="1" x14ac:dyDescent="0.3">
      <c r="A170" s="21" t="s">
        <v>32</v>
      </c>
      <c r="B170" s="21" t="s">
        <v>290</v>
      </c>
      <c r="C170" s="21" t="s">
        <v>301</v>
      </c>
      <c r="D170" s="42">
        <f>D169-D169*inputs!$E$35</f>
        <v>27258.206797506729</v>
      </c>
      <c r="E170" s="21" t="str">
        <f t="shared" ca="1" si="3"/>
        <v>=D169-D169*inputs!$E$35</v>
      </c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  <c r="CD170" s="21"/>
      <c r="CE170" s="21"/>
      <c r="CF170" s="21"/>
      <c r="CG170" s="21"/>
      <c r="CH170" s="21"/>
      <c r="CI170" s="21"/>
      <c r="CJ170" s="21"/>
      <c r="CK170" s="21"/>
      <c r="CL170" s="21"/>
      <c r="CM170" s="21"/>
      <c r="CN170" s="21"/>
      <c r="CO170" s="21"/>
      <c r="CP170" s="21"/>
      <c r="CQ170" s="21"/>
      <c r="CR170" s="21"/>
      <c r="CS170" s="21"/>
      <c r="CT170" s="21"/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</row>
    <row r="171" spans="1:119" s="16" customFormat="1" x14ac:dyDescent="0.3">
      <c r="A171" s="21" t="s">
        <v>32</v>
      </c>
      <c r="B171" s="21" t="s">
        <v>290</v>
      </c>
      <c r="C171" s="21" t="s">
        <v>302</v>
      </c>
      <c r="D171" s="42">
        <f>D170-D170*inputs!$E$35</f>
        <v>27250.029335467476</v>
      </c>
      <c r="E171" s="21" t="str">
        <f t="shared" ca="1" si="3"/>
        <v>=D170-D170*inputs!$E$35</v>
      </c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  <c r="CL171" s="21"/>
      <c r="CM171" s="21"/>
      <c r="CN171" s="21"/>
      <c r="CO171" s="21"/>
      <c r="CP171" s="21"/>
      <c r="CQ171" s="21"/>
      <c r="CR171" s="21"/>
      <c r="CS171" s="21"/>
      <c r="CT171" s="21"/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</row>
    <row r="172" spans="1:119" s="16" customFormat="1" x14ac:dyDescent="0.3">
      <c r="A172" s="21" t="s">
        <v>32</v>
      </c>
      <c r="B172" s="21" t="s">
        <v>290</v>
      </c>
      <c r="C172" s="21" t="s">
        <v>303</v>
      </c>
      <c r="D172" s="42">
        <f>D171-D171*inputs!$E$35</f>
        <v>27241.854326666835</v>
      </c>
      <c r="E172" s="21" t="str">
        <f t="shared" ca="1" si="3"/>
        <v>=D171-D171*inputs!$E$35</v>
      </c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  <c r="CD172" s="21"/>
      <c r="CE172" s="21"/>
      <c r="CF172" s="21"/>
      <c r="CG172" s="21"/>
      <c r="CH172" s="21"/>
      <c r="CI172" s="21"/>
      <c r="CJ172" s="21"/>
      <c r="CK172" s="21"/>
      <c r="CL172" s="21"/>
      <c r="CM172" s="21"/>
      <c r="CN172" s="21"/>
      <c r="CO172" s="21"/>
      <c r="CP172" s="21"/>
      <c r="CQ172" s="21"/>
      <c r="CR172" s="21"/>
      <c r="CS172" s="21"/>
      <c r="CT172" s="21"/>
      <c r="CU172" s="21"/>
      <c r="CV172" s="21"/>
      <c r="CW172" s="21"/>
      <c r="CX172" s="21"/>
      <c r="CY172" s="21"/>
      <c r="CZ172" s="21"/>
      <c r="DA172" s="21"/>
      <c r="DB172" s="21"/>
      <c r="DC172" s="21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</row>
    <row r="173" spans="1:119" s="16" customFormat="1" x14ac:dyDescent="0.3">
      <c r="A173" s="21" t="s">
        <v>32</v>
      </c>
      <c r="B173" s="21" t="s">
        <v>290</v>
      </c>
      <c r="C173" s="21" t="s">
        <v>304</v>
      </c>
      <c r="D173" s="42">
        <f>D172-D172*inputs!$E$35</f>
        <v>27233.681770368836</v>
      </c>
      <c r="E173" s="21" t="str">
        <f t="shared" ca="1" si="3"/>
        <v>=D172-D172*inputs!$E$35</v>
      </c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  <c r="CD173" s="21"/>
      <c r="CE173" s="21"/>
      <c r="CF173" s="21"/>
      <c r="CG173" s="21"/>
      <c r="CH173" s="21"/>
      <c r="CI173" s="21"/>
      <c r="CJ173" s="21"/>
      <c r="CK173" s="21"/>
      <c r="CL173" s="21"/>
      <c r="CM173" s="21"/>
      <c r="CN173" s="21"/>
      <c r="CO173" s="21"/>
      <c r="CP173" s="21"/>
      <c r="CQ173" s="21"/>
      <c r="CR173" s="21"/>
      <c r="CS173" s="21"/>
      <c r="CT173" s="21"/>
      <c r="CU173" s="21"/>
      <c r="CV173" s="21"/>
      <c r="CW173" s="21"/>
      <c r="CX173" s="21"/>
      <c r="CY173" s="21"/>
      <c r="CZ173" s="21"/>
      <c r="DA173" s="21"/>
      <c r="DB173" s="21"/>
      <c r="DC173" s="21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</row>
    <row r="174" spans="1:119" s="16" customFormat="1" x14ac:dyDescent="0.3">
      <c r="A174" s="21" t="s">
        <v>32</v>
      </c>
      <c r="B174" s="21" t="s">
        <v>290</v>
      </c>
      <c r="C174" s="21" t="s">
        <v>305</v>
      </c>
      <c r="D174" s="42">
        <f>D173-D173*inputs!$E$35</f>
        <v>27225.511665837726</v>
      </c>
      <c r="E174" s="21" t="str">
        <f t="shared" ca="1" si="3"/>
        <v>=D173-D173*inputs!$E$35</v>
      </c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  <c r="CD174" s="21"/>
      <c r="CE174" s="21"/>
      <c r="CF174" s="21"/>
      <c r="CG174" s="21"/>
      <c r="CH174" s="21"/>
      <c r="CI174" s="21"/>
      <c r="CJ174" s="21"/>
      <c r="CK174" s="21"/>
      <c r="CL174" s="21"/>
      <c r="CM174" s="21"/>
      <c r="CN174" s="21"/>
      <c r="CO174" s="21"/>
      <c r="CP174" s="21"/>
      <c r="CQ174" s="21"/>
      <c r="CR174" s="21"/>
      <c r="CS174" s="21"/>
      <c r="CT174" s="21"/>
      <c r="CU174" s="21"/>
      <c r="CV174" s="21"/>
      <c r="CW174" s="21"/>
      <c r="CX174" s="21"/>
      <c r="CY174" s="21"/>
      <c r="CZ174" s="21"/>
      <c r="DA174" s="21"/>
      <c r="DB174" s="21"/>
      <c r="DC174" s="21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</row>
    <row r="175" spans="1:119" s="16" customFormat="1" x14ac:dyDescent="0.3">
      <c r="A175" s="21" t="s">
        <v>32</v>
      </c>
      <c r="B175" s="21" t="s">
        <v>290</v>
      </c>
      <c r="C175" s="21" t="s">
        <v>306</v>
      </c>
      <c r="D175" s="42">
        <f>D174-D174*inputs!$E$35</f>
        <v>27217.344012337977</v>
      </c>
      <c r="E175" s="21" t="str">
        <f t="shared" ca="1" si="3"/>
        <v>=D174-D174*inputs!$E$35</v>
      </c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  <c r="CD175" s="21"/>
      <c r="CE175" s="21"/>
      <c r="CF175" s="21"/>
      <c r="CG175" s="21"/>
      <c r="CH175" s="21"/>
      <c r="CI175" s="21"/>
      <c r="CJ175" s="21"/>
      <c r="CK175" s="21"/>
      <c r="CL175" s="21"/>
      <c r="CM175" s="21"/>
      <c r="CN175" s="21"/>
      <c r="CO175" s="21"/>
      <c r="CP175" s="21"/>
      <c r="CQ175" s="21"/>
      <c r="CR175" s="21"/>
      <c r="CS175" s="21"/>
      <c r="CT175" s="21"/>
      <c r="CU175" s="21"/>
      <c r="CV175" s="21"/>
      <c r="CW175" s="21"/>
      <c r="CX175" s="21"/>
      <c r="CY175" s="21"/>
      <c r="CZ175" s="21"/>
      <c r="DA175" s="21"/>
      <c r="DB175" s="21"/>
      <c r="DC175" s="21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</row>
    <row r="176" spans="1:119" s="16" customFormat="1" x14ac:dyDescent="0.3">
      <c r="A176" s="21" t="s">
        <v>32</v>
      </c>
      <c r="B176" s="21" t="s">
        <v>290</v>
      </c>
      <c r="C176" s="21" t="s">
        <v>307</v>
      </c>
      <c r="D176" s="42">
        <f>D175-D175*inputs!$E$35</f>
        <v>27209.178809134275</v>
      </c>
      <c r="E176" s="21" t="str">
        <f t="shared" ca="1" si="3"/>
        <v>=D175-D175*inputs!$E$35</v>
      </c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  <c r="CD176" s="21"/>
      <c r="CE176" s="21"/>
      <c r="CF176" s="21"/>
      <c r="CG176" s="21"/>
      <c r="CH176" s="21"/>
      <c r="CI176" s="21"/>
      <c r="CJ176" s="21"/>
      <c r="CK176" s="21"/>
      <c r="CL176" s="21"/>
      <c r="CM176" s="21"/>
      <c r="CN176" s="21"/>
      <c r="CO176" s="21"/>
      <c r="CP176" s="21"/>
      <c r="CQ176" s="21"/>
      <c r="CR176" s="21"/>
      <c r="CS176" s="21"/>
      <c r="CT176" s="21"/>
      <c r="CU176" s="21"/>
      <c r="CV176" s="21"/>
      <c r="CW176" s="21"/>
      <c r="CX176" s="21"/>
      <c r="CY176" s="21"/>
      <c r="CZ176" s="21"/>
      <c r="DA176" s="21"/>
      <c r="DB176" s="21"/>
      <c r="DC176" s="21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</row>
    <row r="177" spans="1:121" s="16" customFormat="1" x14ac:dyDescent="0.3">
      <c r="A177" s="21" t="s">
        <v>32</v>
      </c>
      <c r="B177" s="21" t="s">
        <v>290</v>
      </c>
      <c r="C177" s="21" t="s">
        <v>308</v>
      </c>
      <c r="D177" s="42">
        <f>D176-D176*inputs!$E$35</f>
        <v>27201.016055491535</v>
      </c>
      <c r="E177" s="21" t="str">
        <f t="shared" ca="1" si="3"/>
        <v>=D176-D176*inputs!$E$35</v>
      </c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  <c r="CD177" s="21"/>
      <c r="CE177" s="21"/>
      <c r="CF177" s="21"/>
      <c r="CG177" s="21"/>
      <c r="CH177" s="21"/>
      <c r="CI177" s="21"/>
      <c r="CJ177" s="21"/>
      <c r="CK177" s="21"/>
      <c r="CL177" s="21"/>
      <c r="CM177" s="21"/>
      <c r="CN177" s="21"/>
      <c r="CO177" s="21"/>
      <c r="CP177" s="21"/>
      <c r="CQ177" s="21"/>
      <c r="CR177" s="21"/>
      <c r="CS177" s="21"/>
      <c r="CT177" s="21"/>
      <c r="CU177" s="21"/>
      <c r="CV177" s="21"/>
      <c r="CW177" s="21"/>
      <c r="CX177" s="21"/>
      <c r="CY177" s="21"/>
      <c r="CZ177" s="21"/>
      <c r="DA177" s="21"/>
      <c r="DB177" s="21"/>
      <c r="DC177" s="21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</row>
    <row r="178" spans="1:121" s="16" customFormat="1" x14ac:dyDescent="0.3">
      <c r="A178" s="21" t="s">
        <v>32</v>
      </c>
      <c r="B178" s="21" t="s">
        <v>290</v>
      </c>
      <c r="C178" s="21" t="s">
        <v>309</v>
      </c>
      <c r="D178" s="42">
        <f>D177-D177*inputs!$E$35</f>
        <v>27192.855750674888</v>
      </c>
      <c r="E178" s="21" t="str">
        <f t="shared" ca="1" si="3"/>
        <v>=D177-D177*inputs!$E$35</v>
      </c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  <c r="CD178" s="21"/>
      <c r="CE178" s="21"/>
      <c r="CF178" s="21"/>
      <c r="CG178" s="21"/>
      <c r="CH178" s="21"/>
      <c r="CI178" s="21"/>
      <c r="CJ178" s="21"/>
      <c r="CK178" s="21"/>
      <c r="CL178" s="21"/>
      <c r="CM178" s="21"/>
      <c r="CN178" s="21"/>
      <c r="CO178" s="21"/>
      <c r="CP178" s="21"/>
      <c r="CQ178" s="21"/>
      <c r="CR178" s="21"/>
      <c r="CS178" s="21"/>
      <c r="CT178" s="21"/>
      <c r="CU178" s="21"/>
      <c r="CV178" s="21"/>
      <c r="CW178" s="21"/>
      <c r="CX178" s="21"/>
      <c r="CY178" s="21"/>
      <c r="CZ178" s="21"/>
      <c r="DA178" s="21"/>
      <c r="DB178" s="21"/>
      <c r="DC178" s="21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</row>
    <row r="179" spans="1:121" s="16" customFormat="1" x14ac:dyDescent="0.3">
      <c r="A179" s="21" t="s">
        <v>32</v>
      </c>
      <c r="B179" s="21" t="s">
        <v>290</v>
      </c>
      <c r="C179" s="21" t="s">
        <v>310</v>
      </c>
      <c r="D179" s="42">
        <f>D178-D178*inputs!$E$36</f>
        <v>27165.662894924211</v>
      </c>
      <c r="E179" s="21" t="str">
        <f t="shared" ca="1" si="3"/>
        <v>=D178-D178*inputs!$E$36</v>
      </c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  <c r="CD179" s="21"/>
      <c r="CE179" s="21"/>
      <c r="CF179" s="21"/>
      <c r="CG179" s="21"/>
      <c r="CH179" s="21"/>
      <c r="CI179" s="21"/>
      <c r="CJ179" s="21"/>
      <c r="CK179" s="21"/>
      <c r="CL179" s="21"/>
      <c r="CM179" s="21"/>
      <c r="CN179" s="21"/>
      <c r="CO179" s="21"/>
      <c r="CP179" s="21"/>
      <c r="CQ179" s="21"/>
      <c r="CR179" s="21"/>
      <c r="CS179" s="21"/>
      <c r="CT179" s="21"/>
      <c r="CU179" s="21"/>
      <c r="CV179" s="21"/>
      <c r="CW179" s="21"/>
      <c r="CX179" s="21"/>
      <c r="CY179" s="21"/>
      <c r="CZ179" s="21"/>
      <c r="DA179" s="21"/>
      <c r="DB179" s="21"/>
      <c r="DC179" s="21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</row>
    <row r="180" spans="1:121" s="16" customFormat="1" x14ac:dyDescent="0.3">
      <c r="A180" s="21" t="s">
        <v>32</v>
      </c>
      <c r="B180" s="21" t="s">
        <v>290</v>
      </c>
      <c r="C180" s="21" t="s">
        <v>311</v>
      </c>
      <c r="D180" s="42">
        <f>D179-D179*inputs!$E$36</f>
        <v>27138.497232029287</v>
      </c>
      <c r="E180" s="21" t="str">
        <f t="shared" ca="1" si="3"/>
        <v>=D179-D179*inputs!$E$36</v>
      </c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  <c r="CD180" s="21"/>
      <c r="CE180" s="21"/>
      <c r="CF180" s="21"/>
      <c r="CG180" s="21"/>
      <c r="CH180" s="21"/>
      <c r="CI180" s="21"/>
      <c r="CJ180" s="21"/>
      <c r="CK180" s="21"/>
      <c r="CL180" s="21"/>
      <c r="CM180" s="21"/>
      <c r="CN180" s="21"/>
      <c r="CO180" s="21"/>
      <c r="CP180" s="21"/>
      <c r="CQ180" s="21"/>
      <c r="CR180" s="21"/>
      <c r="CS180" s="21"/>
      <c r="CT180" s="21"/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</row>
    <row r="181" spans="1:121" s="16" customFormat="1" x14ac:dyDescent="0.3">
      <c r="A181" s="21" t="s">
        <v>32</v>
      </c>
      <c r="B181" s="21" t="s">
        <v>290</v>
      </c>
      <c r="C181" s="21" t="s">
        <v>312</v>
      </c>
      <c r="D181" s="42">
        <f>D180-D180*inputs!$E$36</f>
        <v>27111.358734797257</v>
      </c>
      <c r="E181" s="21" t="str">
        <f t="shared" ca="1" si="3"/>
        <v>=D180-D180*inputs!$E$36</v>
      </c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  <c r="CD181" s="21"/>
      <c r="CE181" s="21"/>
      <c r="CF181" s="21"/>
      <c r="CG181" s="21"/>
      <c r="CH181" s="21"/>
      <c r="CI181" s="21"/>
      <c r="CJ181" s="21"/>
      <c r="CK181" s="21"/>
      <c r="CL181" s="21"/>
      <c r="CM181" s="21"/>
      <c r="CN181" s="21"/>
      <c r="CO181" s="21"/>
      <c r="CP181" s="21"/>
      <c r="CQ181" s="21"/>
      <c r="CR181" s="21"/>
      <c r="CS181" s="21"/>
      <c r="CT181" s="21"/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</row>
    <row r="182" spans="1:121" s="16" customFormat="1" x14ac:dyDescent="0.3">
      <c r="A182" s="21" t="s">
        <v>32</v>
      </c>
      <c r="B182" s="21" t="s">
        <v>290</v>
      </c>
      <c r="C182" s="21" t="s">
        <v>313</v>
      </c>
      <c r="D182" s="42">
        <f>D181-D181*inputs!$E$36</f>
        <v>27084.24737606246</v>
      </c>
      <c r="E182" s="21" t="str">
        <f t="shared" ca="1" si="3"/>
        <v>=D181-D181*inputs!$E$36</v>
      </c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  <c r="CD182" s="21"/>
      <c r="CE182" s="21"/>
      <c r="CF182" s="21"/>
      <c r="CG182" s="21"/>
      <c r="CH182" s="21"/>
      <c r="CI182" s="21"/>
      <c r="CJ182" s="21"/>
      <c r="CK182" s="21"/>
      <c r="CL182" s="21"/>
      <c r="CM182" s="21"/>
      <c r="CN182" s="21"/>
      <c r="CO182" s="21"/>
      <c r="CP182" s="21"/>
      <c r="CQ182" s="21"/>
      <c r="CR182" s="21"/>
      <c r="CS182" s="21"/>
      <c r="CT182" s="21"/>
      <c r="CU182" s="21"/>
      <c r="CV182" s="21"/>
      <c r="CW182" s="21"/>
      <c r="CX182" s="21"/>
      <c r="CY182" s="21"/>
      <c r="CZ182" s="21"/>
      <c r="DA182" s="21"/>
      <c r="DB182" s="21"/>
      <c r="DC182" s="21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</row>
    <row r="183" spans="1:121" s="16" customFormat="1" x14ac:dyDescent="0.3">
      <c r="A183" s="21" t="s">
        <v>32</v>
      </c>
      <c r="B183" s="21" t="s">
        <v>290</v>
      </c>
      <c r="C183" s="21" t="s">
        <v>314</v>
      </c>
      <c r="D183" s="20">
        <f>D182-D182*inputs!$E$36</f>
        <v>27057.163128686396</v>
      </c>
      <c r="E183" s="19" t="str">
        <f t="shared" ca="1" si="3"/>
        <v>=D182-D182*inputs!$E$36</v>
      </c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  <c r="CD183" s="21"/>
      <c r="CE183" s="21"/>
      <c r="CF183" s="21"/>
      <c r="CG183" s="21"/>
      <c r="CH183" s="21"/>
      <c r="CI183" s="21"/>
      <c r="CJ183" s="21"/>
      <c r="CK183" s="21"/>
      <c r="CL183" s="21"/>
      <c r="CM183" s="21"/>
      <c r="CN183" s="21"/>
      <c r="CO183" s="21"/>
      <c r="CP183" s="21"/>
      <c r="CQ183" s="21"/>
      <c r="CR183" s="21"/>
      <c r="CS183" s="21"/>
      <c r="CT183" s="21"/>
      <c r="CU183" s="21"/>
      <c r="CV183" s="21"/>
      <c r="CW183" s="21"/>
      <c r="CX183" s="21"/>
      <c r="CY183" s="21"/>
      <c r="CZ183" s="21"/>
      <c r="DA183" s="21"/>
      <c r="DB183" s="21"/>
      <c r="DC183" s="21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1"/>
      <c r="DQ183" s="21"/>
    </row>
    <row r="184" spans="1:121" s="16" customFormat="1" x14ac:dyDescent="0.3">
      <c r="A184" s="21" t="s">
        <v>32</v>
      </c>
      <c r="B184" s="21" t="s">
        <v>290</v>
      </c>
      <c r="C184" s="21" t="s">
        <v>315</v>
      </c>
      <c r="D184" s="42">
        <f>D183-D183*inputs!$E$37</f>
        <v>27003.048802429024</v>
      </c>
      <c r="E184" s="21" t="str">
        <f t="shared" ca="1" si="3"/>
        <v>=D183-D183*inputs!$E$37</v>
      </c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1"/>
      <c r="DQ184" s="21"/>
    </row>
    <row r="185" spans="1:121" s="16" customFormat="1" x14ac:dyDescent="0.3">
      <c r="A185" s="21" t="s">
        <v>32</v>
      </c>
      <c r="B185" s="21" t="s">
        <v>290</v>
      </c>
      <c r="C185" s="21" t="s">
        <v>316</v>
      </c>
      <c r="D185" s="42">
        <f>D184-D184*inputs!$E$37</f>
        <v>26949.042704824165</v>
      </c>
      <c r="E185" s="21" t="str">
        <f t="shared" ca="1" si="3"/>
        <v>=D184-D184*inputs!$E$37</v>
      </c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  <c r="CD185" s="21"/>
      <c r="CE185" s="21"/>
      <c r="CF185" s="21"/>
      <c r="CG185" s="21"/>
      <c r="CH185" s="21"/>
      <c r="CI185" s="21"/>
      <c r="CJ185" s="21"/>
      <c r="CK185" s="21"/>
      <c r="CL185" s="21"/>
      <c r="CM185" s="21"/>
      <c r="CN185" s="21"/>
      <c r="CO185" s="21"/>
      <c r="CP185" s="21"/>
      <c r="CQ185" s="21"/>
      <c r="CR185" s="21"/>
      <c r="CS185" s="21"/>
      <c r="CT185" s="21"/>
      <c r="CU185" s="21"/>
      <c r="CV185" s="21"/>
      <c r="CW185" s="21"/>
      <c r="CX185" s="21"/>
      <c r="CY185" s="21"/>
      <c r="CZ185" s="21"/>
      <c r="DA185" s="21"/>
      <c r="DB185" s="21"/>
      <c r="DC185" s="21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1"/>
      <c r="DQ185" s="21"/>
    </row>
    <row r="186" spans="1:121" s="16" customFormat="1" x14ac:dyDescent="0.3">
      <c r="A186" s="21" t="s">
        <v>32</v>
      </c>
      <c r="B186" s="21" t="s">
        <v>290</v>
      </c>
      <c r="C186" s="21" t="s">
        <v>317</v>
      </c>
      <c r="D186" s="42">
        <f>D185-D185*inputs!$E$37</f>
        <v>26895.144619414517</v>
      </c>
      <c r="E186" s="21" t="str">
        <f t="shared" ca="1" si="3"/>
        <v>=D185-D185*inputs!$E$37</v>
      </c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  <c r="CD186" s="21"/>
      <c r="CE186" s="21"/>
      <c r="CF186" s="21"/>
      <c r="CG186" s="21"/>
      <c r="CH186" s="21"/>
      <c r="CI186" s="21"/>
      <c r="CJ186" s="21"/>
      <c r="CK186" s="21"/>
      <c r="CL186" s="21"/>
      <c r="CM186" s="21"/>
      <c r="CN186" s="21"/>
      <c r="CO186" s="21"/>
      <c r="CP186" s="21"/>
      <c r="CQ186" s="21"/>
      <c r="CR186" s="21"/>
      <c r="CS186" s="21"/>
      <c r="CT186" s="21"/>
      <c r="CU186" s="21"/>
      <c r="CV186" s="21"/>
      <c r="CW186" s="21"/>
      <c r="CX186" s="21"/>
      <c r="CY186" s="21"/>
      <c r="CZ186" s="21"/>
      <c r="DA186" s="21"/>
      <c r="DB186" s="21"/>
      <c r="DC186" s="21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1"/>
      <c r="DQ186" s="21"/>
    </row>
    <row r="187" spans="1:121" s="16" customFormat="1" x14ac:dyDescent="0.3">
      <c r="A187" s="21" t="s">
        <v>32</v>
      </c>
      <c r="B187" s="21" t="s">
        <v>290</v>
      </c>
      <c r="C187" s="21" t="s">
        <v>318</v>
      </c>
      <c r="D187" s="42">
        <f>D186-D186*inputs!$E$37</f>
        <v>26841.354330175687</v>
      </c>
      <c r="E187" s="21" t="str">
        <f t="shared" ca="1" si="3"/>
        <v>=D186-D186*inputs!$E$37</v>
      </c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  <c r="CD187" s="21"/>
      <c r="CE187" s="21"/>
      <c r="CF187" s="21"/>
      <c r="CG187" s="21"/>
      <c r="CH187" s="21"/>
      <c r="CI187" s="21"/>
      <c r="CJ187" s="21"/>
      <c r="CK187" s="21"/>
      <c r="CL187" s="21"/>
      <c r="CM187" s="21"/>
      <c r="CN187" s="21"/>
      <c r="CO187" s="21"/>
      <c r="CP187" s="21"/>
      <c r="CQ187" s="21"/>
      <c r="CR187" s="21"/>
      <c r="CS187" s="21"/>
      <c r="CT187" s="21"/>
      <c r="CU187" s="21"/>
      <c r="CV187" s="21"/>
      <c r="CW187" s="21"/>
      <c r="CX187" s="21"/>
      <c r="CY187" s="21"/>
      <c r="CZ187" s="21"/>
      <c r="DA187" s="21"/>
      <c r="DB187" s="21"/>
      <c r="DC187" s="21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1"/>
      <c r="DQ187" s="21"/>
    </row>
    <row r="188" spans="1:121" s="16" customFormat="1" x14ac:dyDescent="0.3">
      <c r="A188" s="21" t="s">
        <v>32</v>
      </c>
      <c r="B188" s="21" t="s">
        <v>290</v>
      </c>
      <c r="C188" s="21" t="s">
        <v>319</v>
      </c>
      <c r="D188" s="42">
        <f>D187-D187*inputs!$E$38</f>
        <v>26787.671621515336</v>
      </c>
      <c r="E188" s="21" t="str">
        <f t="shared" ca="1" si="3"/>
        <v>=D187-D187*inputs!$E$38</v>
      </c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  <c r="CD188" s="21"/>
      <c r="CE188" s="21"/>
      <c r="CF188" s="21"/>
      <c r="CG188" s="21"/>
      <c r="CH188" s="21"/>
      <c r="CI188" s="21"/>
      <c r="CJ188" s="21"/>
      <c r="CK188" s="21"/>
      <c r="CL188" s="21"/>
      <c r="CM188" s="21"/>
      <c r="CN188" s="21"/>
      <c r="CO188" s="21"/>
      <c r="CP188" s="21"/>
      <c r="CQ188" s="21"/>
      <c r="CR188" s="21"/>
      <c r="CS188" s="21"/>
      <c r="CT188" s="21"/>
      <c r="CU188" s="21"/>
      <c r="CV188" s="21"/>
      <c r="CW188" s="21"/>
      <c r="CX188" s="21"/>
      <c r="CY188" s="21"/>
      <c r="CZ188" s="21"/>
      <c r="DA188" s="21"/>
      <c r="DB188" s="21"/>
      <c r="DC188" s="21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1"/>
      <c r="DQ188" s="21"/>
    </row>
    <row r="189" spans="1:121" s="16" customFormat="1" x14ac:dyDescent="0.3">
      <c r="A189" s="21" t="s">
        <v>32</v>
      </c>
      <c r="B189" s="21" t="s">
        <v>290</v>
      </c>
      <c r="C189" s="21" t="s">
        <v>320</v>
      </c>
      <c r="D189" s="42">
        <f>D188-D188*inputs!$E$38</f>
        <v>26734.096278272304</v>
      </c>
      <c r="E189" s="21" t="str">
        <f t="shared" ca="1" si="3"/>
        <v>=D188-D188*inputs!$E$38</v>
      </c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  <c r="CD189" s="21"/>
      <c r="CE189" s="21"/>
      <c r="CF189" s="21"/>
      <c r="CG189" s="21"/>
      <c r="CH189" s="21"/>
      <c r="CI189" s="21"/>
      <c r="CJ189" s="21"/>
      <c r="CK189" s="21"/>
      <c r="CL189" s="21"/>
      <c r="CM189" s="21"/>
      <c r="CN189" s="21"/>
      <c r="CO189" s="21"/>
      <c r="CP189" s="21"/>
      <c r="CQ189" s="21"/>
      <c r="CR189" s="21"/>
      <c r="CS189" s="21"/>
      <c r="CT189" s="21"/>
      <c r="CU189" s="21"/>
      <c r="CV189" s="21"/>
      <c r="CW189" s="21"/>
      <c r="CX189" s="21"/>
      <c r="CY189" s="21"/>
      <c r="CZ189" s="21"/>
      <c r="DA189" s="21"/>
      <c r="DB189" s="21"/>
      <c r="DC189" s="21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1"/>
      <c r="DQ189" s="21"/>
    </row>
    <row r="190" spans="1:121" s="16" customFormat="1" x14ac:dyDescent="0.3">
      <c r="A190" s="21" t="s">
        <v>32</v>
      </c>
      <c r="B190" s="21" t="s">
        <v>290</v>
      </c>
      <c r="C190" s="21" t="s">
        <v>321</v>
      </c>
      <c r="D190" s="42">
        <f>D189-D189*inputs!$E$38</f>
        <v>26680.628085715758</v>
      </c>
      <c r="E190" s="21" t="str">
        <f t="shared" ca="1" si="3"/>
        <v>=D189-D189*inputs!$E$38</v>
      </c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  <c r="CD190" s="21"/>
      <c r="CE190" s="21"/>
      <c r="CF190" s="21"/>
      <c r="CG190" s="21"/>
      <c r="CH190" s="21"/>
      <c r="CI190" s="21"/>
      <c r="CJ190" s="21"/>
      <c r="CK190" s="21"/>
      <c r="CL190" s="21"/>
      <c r="CM190" s="21"/>
      <c r="CN190" s="21"/>
      <c r="CO190" s="21"/>
      <c r="CP190" s="21"/>
      <c r="CQ190" s="21"/>
      <c r="CR190" s="21"/>
      <c r="CS190" s="21"/>
      <c r="CT190" s="21"/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21"/>
      <c r="DH190" s="21"/>
      <c r="DI190" s="21"/>
      <c r="DJ190" s="21"/>
      <c r="DK190" s="21"/>
      <c r="DL190" s="21"/>
      <c r="DM190" s="21"/>
      <c r="DN190" s="21"/>
      <c r="DO190" s="21"/>
      <c r="DP190" s="21"/>
      <c r="DQ190" s="21"/>
    </row>
    <row r="191" spans="1:121" s="16" customFormat="1" x14ac:dyDescent="0.3">
      <c r="A191" s="21" t="s">
        <v>32</v>
      </c>
      <c r="B191" s="21" t="s">
        <v>290</v>
      </c>
      <c r="C191" s="21" t="s">
        <v>322</v>
      </c>
      <c r="D191" s="42">
        <f>D190-D190*inputs!$E$38</f>
        <v>26627.266829544325</v>
      </c>
      <c r="E191" s="21" t="str">
        <f t="shared" ca="1" si="3"/>
        <v>=D190-D190*inputs!$E$38</v>
      </c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  <c r="CL191" s="21"/>
      <c r="CM191" s="21"/>
      <c r="CN191" s="21"/>
      <c r="CO191" s="21"/>
      <c r="CP191" s="21"/>
      <c r="CQ191" s="21"/>
      <c r="CR191" s="21"/>
      <c r="CS191" s="21"/>
      <c r="CT191" s="21"/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  <c r="DI191" s="21"/>
      <c r="DJ191" s="21"/>
      <c r="DK191" s="21"/>
      <c r="DL191" s="21"/>
      <c r="DM191" s="21"/>
      <c r="DN191" s="21"/>
      <c r="DO191" s="21"/>
      <c r="DP191" s="21"/>
      <c r="DQ191" s="21"/>
    </row>
    <row r="192" spans="1:121" s="16" customFormat="1" x14ac:dyDescent="0.3">
      <c r="A192" s="21" t="s">
        <v>32</v>
      </c>
      <c r="B192" s="21" t="s">
        <v>290</v>
      </c>
      <c r="C192" s="21" t="s">
        <v>323</v>
      </c>
      <c r="D192" s="42">
        <f>D191-D191*inputs!$E$38</f>
        <v>26574.012295885237</v>
      </c>
      <c r="E192" s="21" t="str">
        <f t="shared" ca="1" si="3"/>
        <v>=D191-D191*inputs!$E$38</v>
      </c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  <c r="CD192" s="21"/>
      <c r="CE192" s="21"/>
      <c r="CF192" s="21"/>
      <c r="CG192" s="21"/>
      <c r="CH192" s="21"/>
      <c r="CI192" s="21"/>
      <c r="CJ192" s="21"/>
      <c r="CK192" s="21"/>
      <c r="CL192" s="21"/>
      <c r="CM192" s="21"/>
      <c r="CN192" s="21"/>
      <c r="CO192" s="21"/>
      <c r="CP192" s="21"/>
      <c r="CQ192" s="21"/>
      <c r="CR192" s="21"/>
      <c r="CS192" s="21"/>
      <c r="CT192" s="21"/>
      <c r="CU192" s="21"/>
      <c r="CV192" s="21"/>
      <c r="CW192" s="21"/>
      <c r="CX192" s="21"/>
      <c r="CY192" s="21"/>
      <c r="CZ192" s="21"/>
      <c r="DA192" s="21"/>
      <c r="DB192" s="21"/>
      <c r="DC192" s="21"/>
      <c r="DD192" s="21"/>
      <c r="DE192" s="21"/>
      <c r="DF192" s="21"/>
      <c r="DG192" s="21"/>
      <c r="DH192" s="21"/>
      <c r="DI192" s="21"/>
      <c r="DJ192" s="21"/>
      <c r="DK192" s="21"/>
      <c r="DL192" s="21"/>
      <c r="DM192" s="21"/>
      <c r="DN192" s="21"/>
      <c r="DO192" s="21"/>
      <c r="DP192" s="21"/>
      <c r="DQ192" s="21"/>
    </row>
    <row r="193" spans="1:121" s="16" customFormat="1" x14ac:dyDescent="0.3">
      <c r="A193" s="21" t="s">
        <v>32</v>
      </c>
      <c r="B193" s="21" t="s">
        <v>290</v>
      </c>
      <c r="C193" s="21" t="s">
        <v>324</v>
      </c>
      <c r="D193" s="42">
        <f>D192-D192*inputs!$E$38</f>
        <v>26520.864271293467</v>
      </c>
      <c r="E193" s="21" t="str">
        <f t="shared" ca="1" si="3"/>
        <v>=D192-D192*inputs!$E$38</v>
      </c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  <c r="CD193" s="21"/>
      <c r="CE193" s="21"/>
      <c r="CF193" s="21"/>
      <c r="CG193" s="21"/>
      <c r="CH193" s="21"/>
      <c r="CI193" s="21"/>
      <c r="CJ193" s="21"/>
      <c r="CK193" s="21"/>
      <c r="CL193" s="21"/>
      <c r="CM193" s="21"/>
      <c r="CN193" s="21"/>
      <c r="CO193" s="21"/>
      <c r="CP193" s="21"/>
      <c r="CQ193" s="21"/>
      <c r="CR193" s="21"/>
      <c r="CS193" s="21"/>
      <c r="CT193" s="21"/>
      <c r="CU193" s="21"/>
      <c r="CV193" s="21"/>
      <c r="CW193" s="21"/>
      <c r="CX193" s="21"/>
      <c r="CY193" s="21"/>
      <c r="CZ193" s="21"/>
      <c r="DA193" s="21"/>
      <c r="DB193" s="21"/>
      <c r="DC193" s="21"/>
      <c r="DD193" s="21"/>
      <c r="DE193" s="21"/>
      <c r="DF193" s="21"/>
      <c r="DG193" s="21"/>
      <c r="DH193" s="21"/>
      <c r="DI193" s="21"/>
      <c r="DJ193" s="21"/>
      <c r="DK193" s="21"/>
      <c r="DL193" s="21"/>
      <c r="DM193" s="21"/>
      <c r="DN193" s="21"/>
      <c r="DO193" s="21"/>
      <c r="DP193" s="21"/>
      <c r="DQ193" s="21"/>
    </row>
    <row r="194" spans="1:121" s="16" customFormat="1" x14ac:dyDescent="0.3">
      <c r="A194" s="21" t="s">
        <v>32</v>
      </c>
      <c r="B194" s="21" t="s">
        <v>290</v>
      </c>
      <c r="C194" s="21" t="s">
        <v>325</v>
      </c>
      <c r="D194" s="42">
        <f>D193-D193*inputs!$E$38</f>
        <v>26467.822542750881</v>
      </c>
      <c r="E194" s="21" t="str">
        <f t="shared" ca="1" si="3"/>
        <v>=D193-D193*inputs!$E$38</v>
      </c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  <c r="CD194" s="21"/>
      <c r="CE194" s="21"/>
      <c r="CF194" s="21"/>
      <c r="CG194" s="21"/>
      <c r="CH194" s="21"/>
      <c r="CI194" s="21"/>
      <c r="CJ194" s="21"/>
      <c r="CK194" s="21"/>
      <c r="CL194" s="21"/>
      <c r="CM194" s="21"/>
      <c r="CN194" s="21"/>
      <c r="CO194" s="21"/>
      <c r="CP194" s="21"/>
      <c r="CQ194" s="21"/>
      <c r="CR194" s="21"/>
      <c r="CS194" s="21"/>
      <c r="CT194" s="21"/>
      <c r="CU194" s="21"/>
      <c r="CV194" s="21"/>
      <c r="CW194" s="21"/>
      <c r="CX194" s="21"/>
      <c r="CY194" s="21"/>
      <c r="CZ194" s="21"/>
      <c r="DA194" s="21"/>
      <c r="DB194" s="21"/>
      <c r="DC194" s="21"/>
      <c r="DD194" s="21"/>
      <c r="DE194" s="21"/>
      <c r="DF194" s="21"/>
      <c r="DG194" s="21"/>
      <c r="DH194" s="21"/>
      <c r="DI194" s="21"/>
      <c r="DJ194" s="21"/>
      <c r="DK194" s="21"/>
      <c r="DL194" s="21"/>
      <c r="DM194" s="21"/>
      <c r="DN194" s="21"/>
      <c r="DO194" s="21"/>
      <c r="DP194" s="21"/>
      <c r="DQ194" s="21"/>
    </row>
    <row r="195" spans="1:121" s="16" customFormat="1" x14ac:dyDescent="0.3">
      <c r="A195" s="21" t="s">
        <v>32</v>
      </c>
      <c r="B195" s="21" t="s">
        <v>290</v>
      </c>
      <c r="C195" s="21" t="s">
        <v>326</v>
      </c>
      <c r="D195" s="42">
        <f>D194-D194*inputs!$E$38</f>
        <v>26414.886897665379</v>
      </c>
      <c r="E195" s="21" t="str">
        <f t="shared" ca="1" si="3"/>
        <v>=D194-D194*inputs!$E$38</v>
      </c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  <c r="CD195" s="21"/>
      <c r="CE195" s="21"/>
      <c r="CF195" s="21"/>
      <c r="CG195" s="21"/>
      <c r="CH195" s="21"/>
      <c r="CI195" s="21"/>
      <c r="CJ195" s="21"/>
      <c r="CK195" s="21"/>
      <c r="CL195" s="21"/>
      <c r="CM195" s="21"/>
      <c r="CN195" s="21"/>
      <c r="CO195" s="21"/>
      <c r="CP195" s="21"/>
      <c r="CQ195" s="21"/>
      <c r="CR195" s="21"/>
      <c r="CS195" s="21"/>
      <c r="CT195" s="21"/>
      <c r="CU195" s="21"/>
      <c r="CV195" s="21"/>
      <c r="CW195" s="21"/>
      <c r="CX195" s="21"/>
      <c r="CY195" s="21"/>
      <c r="CZ195" s="21"/>
      <c r="DA195" s="21"/>
      <c r="DB195" s="21"/>
      <c r="DC195" s="21"/>
      <c r="DD195" s="21"/>
      <c r="DE195" s="21"/>
      <c r="DF195" s="21"/>
      <c r="DG195" s="21"/>
      <c r="DH195" s="21"/>
      <c r="DI195" s="21"/>
      <c r="DJ195" s="21"/>
      <c r="DK195" s="21"/>
      <c r="DL195" s="21"/>
      <c r="DM195" s="21"/>
      <c r="DN195" s="21"/>
      <c r="DO195" s="21"/>
      <c r="DP195" s="21"/>
      <c r="DQ195" s="21"/>
    </row>
    <row r="196" spans="1:121" s="16" customFormat="1" x14ac:dyDescent="0.3">
      <c r="A196" s="21" t="s">
        <v>32</v>
      </c>
      <c r="B196" s="21" t="s">
        <v>290</v>
      </c>
      <c r="C196" s="21" t="s">
        <v>327</v>
      </c>
      <c r="D196" s="42">
        <f>D195-D195*inputs!$E$38</f>
        <v>26362.05712387005</v>
      </c>
      <c r="E196" s="21" t="str">
        <f t="shared" ca="1" si="3"/>
        <v>=D195-D195*inputs!$E$38</v>
      </c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  <c r="CD196" s="21"/>
      <c r="CE196" s="21"/>
      <c r="CF196" s="21"/>
      <c r="CG196" s="21"/>
      <c r="CH196" s="21"/>
      <c r="CI196" s="21"/>
      <c r="CJ196" s="21"/>
      <c r="CK196" s="21"/>
      <c r="CL196" s="21"/>
      <c r="CM196" s="21"/>
      <c r="CN196" s="21"/>
      <c r="CO196" s="21"/>
      <c r="CP196" s="21"/>
      <c r="CQ196" s="21"/>
      <c r="CR196" s="21"/>
      <c r="CS196" s="21"/>
      <c r="CT196" s="21"/>
      <c r="CU196" s="21"/>
      <c r="CV196" s="21"/>
      <c r="CW196" s="21"/>
      <c r="CX196" s="21"/>
      <c r="CY196" s="21"/>
      <c r="CZ196" s="21"/>
      <c r="DA196" s="21"/>
      <c r="DB196" s="21"/>
      <c r="DC196" s="21"/>
      <c r="DD196" s="21"/>
      <c r="DE196" s="21"/>
      <c r="DF196" s="21"/>
      <c r="DG196" s="21"/>
      <c r="DH196" s="21"/>
      <c r="DI196" s="21"/>
      <c r="DJ196" s="21"/>
      <c r="DK196" s="21"/>
      <c r="DL196" s="21"/>
      <c r="DM196" s="21"/>
      <c r="DN196" s="21"/>
      <c r="DO196" s="21"/>
      <c r="DP196" s="21"/>
      <c r="DQ196" s="21"/>
    </row>
    <row r="197" spans="1:121" s="16" customFormat="1" x14ac:dyDescent="0.3">
      <c r="A197" s="21" t="s">
        <v>32</v>
      </c>
      <c r="B197" s="21" t="s">
        <v>290</v>
      </c>
      <c r="C197" s="21" t="s">
        <v>328</v>
      </c>
      <c r="D197" s="42">
        <f>D196-D196*inputs!$E$38</f>
        <v>26309.333009622311</v>
      </c>
      <c r="E197" s="21" t="str">
        <f t="shared" ca="1" si="3"/>
        <v>=D196-D196*inputs!$E$38</v>
      </c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  <c r="CD197" s="21"/>
      <c r="CE197" s="21"/>
      <c r="CF197" s="21"/>
      <c r="CG197" s="21"/>
      <c r="CH197" s="21"/>
      <c r="CI197" s="21"/>
      <c r="CJ197" s="21"/>
      <c r="CK197" s="21"/>
      <c r="CL197" s="21"/>
      <c r="CM197" s="21"/>
      <c r="CN197" s="21"/>
      <c r="CO197" s="21"/>
      <c r="CP197" s="21"/>
      <c r="CQ197" s="21"/>
      <c r="CR197" s="21"/>
      <c r="CS197" s="21"/>
      <c r="CT197" s="21"/>
      <c r="CU197" s="21"/>
      <c r="CV197" s="21"/>
      <c r="CW197" s="21"/>
      <c r="CX197" s="21"/>
      <c r="CY197" s="21"/>
      <c r="CZ197" s="21"/>
      <c r="DA197" s="21"/>
      <c r="DB197" s="21"/>
      <c r="DC197" s="21"/>
      <c r="DD197" s="21"/>
      <c r="DE197" s="21"/>
      <c r="DF197" s="21"/>
      <c r="DG197" s="21"/>
      <c r="DH197" s="21"/>
      <c r="DI197" s="21"/>
      <c r="DJ197" s="21"/>
      <c r="DK197" s="21"/>
      <c r="DL197" s="21"/>
      <c r="DM197" s="21"/>
      <c r="DN197" s="21"/>
      <c r="DO197" s="21"/>
      <c r="DP197" s="21"/>
      <c r="DQ197" s="21"/>
    </row>
    <row r="198" spans="1:121" s="16" customFormat="1" x14ac:dyDescent="0.3">
      <c r="A198" s="21" t="s">
        <v>32</v>
      </c>
      <c r="B198" s="21" t="s">
        <v>290</v>
      </c>
      <c r="C198" s="21" t="s">
        <v>329</v>
      </c>
      <c r="D198" s="42">
        <f>D197-D197*inputs!$E$38</f>
        <v>26256.714343603067</v>
      </c>
      <c r="E198" s="21" t="str">
        <f t="shared" ca="1" si="3"/>
        <v>=D197-D197*inputs!$E$38</v>
      </c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  <c r="CD198" s="21"/>
      <c r="CE198" s="21"/>
      <c r="CF198" s="21"/>
      <c r="CG198" s="21"/>
      <c r="CH198" s="21"/>
      <c r="CI198" s="21"/>
      <c r="CJ198" s="21"/>
      <c r="CK198" s="21"/>
      <c r="CL198" s="21"/>
      <c r="CM198" s="21"/>
      <c r="CN198" s="21"/>
      <c r="CO198" s="21"/>
      <c r="CP198" s="21"/>
      <c r="CQ198" s="21"/>
      <c r="CR198" s="21"/>
      <c r="CS198" s="21"/>
      <c r="CT198" s="21"/>
      <c r="CU198" s="21"/>
      <c r="CV198" s="21"/>
      <c r="CW198" s="21"/>
      <c r="CX198" s="21"/>
      <c r="CY198" s="21"/>
      <c r="CZ198" s="21"/>
      <c r="DA198" s="21"/>
      <c r="DB198" s="21"/>
      <c r="DC198" s="21"/>
      <c r="DD198" s="21"/>
      <c r="DE198" s="21"/>
      <c r="DF198" s="21"/>
      <c r="DG198" s="21"/>
      <c r="DH198" s="21"/>
      <c r="DI198" s="21"/>
      <c r="DJ198" s="21"/>
      <c r="DK198" s="21"/>
      <c r="DL198" s="21"/>
      <c r="DM198" s="21"/>
      <c r="DN198" s="21"/>
      <c r="DO198" s="21"/>
      <c r="DP198" s="21"/>
      <c r="DQ198" s="21"/>
    </row>
    <row r="199" spans="1:121" s="14" customFormat="1" x14ac:dyDescent="0.3">
      <c r="A199" s="21" t="s">
        <v>32</v>
      </c>
      <c r="B199" s="21" t="s">
        <v>290</v>
      </c>
      <c r="C199" s="21" t="s">
        <v>330</v>
      </c>
      <c r="D199" s="42">
        <f>$D$156*(1 - inputs!$E$33)</f>
        <v>16246.249198358448</v>
      </c>
      <c r="E199" s="21" t="str">
        <f t="shared" ca="1" si="3"/>
        <v>=$D$156*(1 - inputs!$E$33)</v>
      </c>
      <c r="F199" s="21" t="s">
        <v>816</v>
      </c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  <c r="CD199" s="21"/>
      <c r="CE199" s="21"/>
      <c r="CF199" s="21"/>
      <c r="CG199" s="21"/>
      <c r="CH199" s="21"/>
      <c r="CI199" s="21"/>
      <c r="CJ199" s="21"/>
      <c r="CK199" s="21"/>
      <c r="CL199" s="21"/>
      <c r="CM199" s="21"/>
      <c r="CN199" s="21"/>
      <c r="CO199" s="21"/>
      <c r="CP199" s="21"/>
      <c r="CQ199" s="21"/>
      <c r="CR199" s="21"/>
      <c r="CS199" s="21"/>
      <c r="CT199" s="21"/>
      <c r="CU199" s="21"/>
      <c r="CV199" s="21"/>
      <c r="CW199" s="21"/>
      <c r="CX199" s="21"/>
      <c r="CY199" s="21"/>
      <c r="CZ199" s="21"/>
      <c r="DA199" s="21"/>
      <c r="DB199" s="21"/>
      <c r="DC199" s="21"/>
      <c r="DD199" s="21"/>
      <c r="DE199" s="21"/>
      <c r="DF199" s="21"/>
    </row>
    <row r="200" spans="1:121" s="14" customFormat="1" x14ac:dyDescent="0.3">
      <c r="A200" s="21" t="s">
        <v>32</v>
      </c>
      <c r="B200" s="21" t="s">
        <v>290</v>
      </c>
      <c r="C200" s="21" t="s">
        <v>331</v>
      </c>
      <c r="D200" s="42">
        <f>$D$199*(1 - inputs!$E$33)</f>
        <v>16241.375323598941</v>
      </c>
      <c r="E200" s="21" t="str">
        <f t="shared" ca="1" si="3"/>
        <v>=$D$199*(1 - inputs!$E$33)</v>
      </c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  <c r="CD200" s="21"/>
      <c r="CE200" s="21"/>
      <c r="CF200" s="21"/>
      <c r="CG200" s="21"/>
      <c r="CH200" s="21"/>
      <c r="CI200" s="21"/>
      <c r="CJ200" s="21"/>
      <c r="CK200" s="21"/>
      <c r="CL200" s="21"/>
      <c r="CM200" s="21"/>
      <c r="CN200" s="21"/>
      <c r="CO200" s="21"/>
      <c r="CP200" s="21"/>
      <c r="CQ200" s="21"/>
      <c r="CR200" s="21"/>
      <c r="CS200" s="21"/>
      <c r="CT200" s="21"/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</row>
    <row r="201" spans="1:121" s="14" customFormat="1" x14ac:dyDescent="0.3">
      <c r="A201" s="21" t="s">
        <v>32</v>
      </c>
      <c r="B201" s="21" t="s">
        <v>290</v>
      </c>
      <c r="C201" s="21" t="s">
        <v>332</v>
      </c>
      <c r="D201" s="42">
        <f>$D$200*(1 - inputs!$E$33)</f>
        <v>16236.502911001862</v>
      </c>
      <c r="E201" s="21" t="str">
        <f t="shared" ca="1" si="3"/>
        <v>=$D$200*(1 - inputs!$E$33)</v>
      </c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  <c r="CL201" s="21"/>
      <c r="CM201" s="21"/>
      <c r="CN201" s="21"/>
      <c r="CO201" s="21"/>
      <c r="CP201" s="21"/>
      <c r="CQ201" s="21"/>
      <c r="CR201" s="21"/>
      <c r="CS201" s="21"/>
      <c r="CT201" s="21"/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</row>
    <row r="202" spans="1:121" s="14" customFormat="1" x14ac:dyDescent="0.3">
      <c r="A202" s="21" t="s">
        <v>32</v>
      </c>
      <c r="B202" s="21" t="s">
        <v>290</v>
      </c>
      <c r="C202" s="21" t="s">
        <v>333</v>
      </c>
      <c r="D202" s="42">
        <f>$D$201*(1 - inputs!$E$33)</f>
        <v>16231.631960128561</v>
      </c>
      <c r="E202" s="21" t="str">
        <f t="shared" ca="1" si="3"/>
        <v>=$D$201*(1 - inputs!$E$33)</v>
      </c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  <c r="CD202" s="21"/>
      <c r="CE202" s="21"/>
      <c r="CF202" s="21"/>
      <c r="CG202" s="21"/>
      <c r="CH202" s="21"/>
      <c r="CI202" s="21"/>
      <c r="CJ202" s="21"/>
      <c r="CK202" s="21"/>
      <c r="CL202" s="21"/>
      <c r="CM202" s="21"/>
      <c r="CN202" s="21"/>
      <c r="CO202" s="21"/>
      <c r="CP202" s="21"/>
      <c r="CQ202" s="21"/>
      <c r="CR202" s="21"/>
      <c r="CS202" s="21"/>
      <c r="CT202" s="21"/>
      <c r="CU202" s="21"/>
      <c r="CV202" s="21"/>
      <c r="CW202" s="21"/>
      <c r="CX202" s="21"/>
      <c r="CY202" s="21"/>
      <c r="CZ202" s="21"/>
      <c r="DA202" s="21"/>
      <c r="DB202" s="21"/>
      <c r="DC202" s="21"/>
      <c r="DD202" s="21"/>
      <c r="DE202" s="21"/>
      <c r="DF202" s="21"/>
    </row>
    <row r="203" spans="1:121" s="14" customFormat="1" x14ac:dyDescent="0.3">
      <c r="A203" s="21" t="s">
        <v>32</v>
      </c>
      <c r="B203" s="21" t="s">
        <v>290</v>
      </c>
      <c r="C203" s="21" t="s">
        <v>334</v>
      </c>
      <c r="D203" s="42">
        <f>$D$202*(1 - inputs!$E$34)</f>
        <v>16226.762470540523</v>
      </c>
      <c r="E203" s="21" t="str">
        <f t="shared" ca="1" si="3"/>
        <v>=$D$202*(1 - inputs!$E$34)</v>
      </c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  <c r="CD203" s="21"/>
      <c r="CE203" s="21"/>
      <c r="CF203" s="21"/>
      <c r="CG203" s="21"/>
      <c r="CH203" s="21"/>
      <c r="CI203" s="21"/>
      <c r="CJ203" s="21"/>
      <c r="CK203" s="21"/>
      <c r="CL203" s="21"/>
      <c r="CM203" s="21"/>
      <c r="CN203" s="21"/>
      <c r="CO203" s="21"/>
      <c r="CP203" s="21"/>
      <c r="CQ203" s="21"/>
      <c r="CR203" s="21"/>
      <c r="CS203" s="21"/>
      <c r="CT203" s="21"/>
      <c r="CU203" s="21"/>
      <c r="CV203" s="21"/>
      <c r="CW203" s="21"/>
      <c r="CX203" s="21"/>
      <c r="CY203" s="21"/>
      <c r="CZ203" s="21"/>
      <c r="DA203" s="21"/>
      <c r="DB203" s="21"/>
      <c r="DC203" s="21"/>
      <c r="DD203" s="21"/>
      <c r="DE203" s="21"/>
      <c r="DF203" s="21"/>
    </row>
    <row r="204" spans="1:121" s="14" customFormat="1" x14ac:dyDescent="0.3">
      <c r="A204" s="21" t="s">
        <v>32</v>
      </c>
      <c r="B204" s="21" t="s">
        <v>290</v>
      </c>
      <c r="C204" s="21" t="s">
        <v>335</v>
      </c>
      <c r="D204" s="42">
        <f>$D$203*(1 - inputs!$E$34)</f>
        <v>16221.894441799363</v>
      </c>
      <c r="E204" s="21" t="str">
        <f t="shared" ca="1" si="3"/>
        <v>=$D$203*(1 - inputs!$E$34)</v>
      </c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  <c r="CA204" s="21"/>
      <c r="CB204" s="21"/>
      <c r="CC204" s="21"/>
      <c r="CD204" s="21"/>
      <c r="CE204" s="21"/>
      <c r="CF204" s="21"/>
      <c r="CG204" s="21"/>
      <c r="CH204" s="21"/>
      <c r="CI204" s="21"/>
      <c r="CJ204" s="21"/>
      <c r="CK204" s="21"/>
      <c r="CL204" s="21"/>
      <c r="CM204" s="21"/>
      <c r="CN204" s="21"/>
      <c r="CO204" s="21"/>
      <c r="CP204" s="21"/>
      <c r="CQ204" s="21"/>
      <c r="CR204" s="21"/>
      <c r="CS204" s="21"/>
      <c r="CT204" s="21"/>
      <c r="CU204" s="21"/>
      <c r="CV204" s="21"/>
      <c r="CW204" s="21"/>
      <c r="CX204" s="21"/>
      <c r="CY204" s="21"/>
      <c r="CZ204" s="21"/>
      <c r="DA204" s="21"/>
      <c r="DB204" s="21"/>
      <c r="DC204" s="21"/>
      <c r="DD204" s="21"/>
      <c r="DE204" s="21"/>
      <c r="DF204" s="21"/>
    </row>
    <row r="205" spans="1:121" s="14" customFormat="1" x14ac:dyDescent="0.3">
      <c r="A205" s="21" t="s">
        <v>32</v>
      </c>
      <c r="B205" s="21" t="s">
        <v>290</v>
      </c>
      <c r="C205" s="21" t="s">
        <v>336</v>
      </c>
      <c r="D205" s="42">
        <f>$D$204*(1 - inputs!$E$34)</f>
        <v>16217.027873466823</v>
      </c>
      <c r="E205" s="21" t="str">
        <f t="shared" ca="1" si="3"/>
        <v>=$D$204*(1 - inputs!$E$34)</v>
      </c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  <c r="CA205" s="21"/>
      <c r="CB205" s="21"/>
      <c r="CC205" s="21"/>
      <c r="CD205" s="21"/>
      <c r="CE205" s="21"/>
      <c r="CF205" s="21"/>
      <c r="CG205" s="21"/>
      <c r="CH205" s="21"/>
      <c r="CI205" s="21"/>
      <c r="CJ205" s="21"/>
      <c r="CK205" s="21"/>
      <c r="CL205" s="21"/>
      <c r="CM205" s="21"/>
      <c r="CN205" s="21"/>
      <c r="CO205" s="21"/>
      <c r="CP205" s="21"/>
      <c r="CQ205" s="21"/>
      <c r="CR205" s="21"/>
      <c r="CS205" s="21"/>
      <c r="CT205" s="21"/>
      <c r="CU205" s="21"/>
      <c r="CV205" s="21"/>
      <c r="CW205" s="21"/>
      <c r="CX205" s="21"/>
      <c r="CY205" s="21"/>
      <c r="CZ205" s="21"/>
      <c r="DA205" s="21"/>
      <c r="DB205" s="21"/>
      <c r="DC205" s="21"/>
      <c r="DD205" s="21"/>
      <c r="DE205" s="21"/>
      <c r="DF205" s="21"/>
    </row>
    <row r="206" spans="1:121" s="14" customFormat="1" x14ac:dyDescent="0.3">
      <c r="A206" s="21" t="s">
        <v>32</v>
      </c>
      <c r="B206" s="21" t="s">
        <v>290</v>
      </c>
      <c r="C206" s="21" t="s">
        <v>337</v>
      </c>
      <c r="D206" s="42">
        <f>$D$205*(1 - inputs!$E$34)</f>
        <v>16212.162765104784</v>
      </c>
      <c r="E206" s="21" t="str">
        <f t="shared" ca="1" si="3"/>
        <v>=$D$205*(1 - inputs!$E$34)</v>
      </c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  <c r="CA206" s="21"/>
      <c r="CB206" s="21"/>
      <c r="CC206" s="21"/>
      <c r="CD206" s="21"/>
      <c r="CE206" s="21"/>
      <c r="CF206" s="21"/>
      <c r="CG206" s="21"/>
      <c r="CH206" s="21"/>
      <c r="CI206" s="21"/>
      <c r="CJ206" s="21"/>
      <c r="CK206" s="21"/>
      <c r="CL206" s="21"/>
      <c r="CM206" s="21"/>
      <c r="CN206" s="21"/>
      <c r="CO206" s="21"/>
      <c r="CP206" s="21"/>
      <c r="CQ206" s="21"/>
      <c r="CR206" s="21"/>
      <c r="CS206" s="21"/>
      <c r="CT206" s="21"/>
      <c r="CU206" s="21"/>
      <c r="CV206" s="21"/>
      <c r="CW206" s="21"/>
      <c r="CX206" s="21"/>
      <c r="CY206" s="21"/>
      <c r="CZ206" s="21"/>
      <c r="DA206" s="21"/>
      <c r="DB206" s="21"/>
      <c r="DC206" s="21"/>
      <c r="DD206" s="21"/>
      <c r="DE206" s="21"/>
      <c r="DF206" s="21"/>
    </row>
    <row r="207" spans="1:121" s="14" customFormat="1" x14ac:dyDescent="0.3">
      <c r="A207" s="21" t="s">
        <v>32</v>
      </c>
      <c r="B207" s="21" t="s">
        <v>290</v>
      </c>
      <c r="C207" s="21" t="s">
        <v>338</v>
      </c>
      <c r="D207" s="42">
        <f>$D$206*(1 - inputs!$E$34)</f>
        <v>16207.299116275253</v>
      </c>
      <c r="E207" s="21" t="str">
        <f t="shared" ca="1" si="3"/>
        <v>=$D$206*(1 - inputs!$E$34)</v>
      </c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  <c r="CA207" s="21"/>
      <c r="CB207" s="21"/>
      <c r="CC207" s="21"/>
      <c r="CD207" s="21"/>
      <c r="CE207" s="21"/>
      <c r="CF207" s="21"/>
      <c r="CG207" s="21"/>
      <c r="CH207" s="21"/>
      <c r="CI207" s="21"/>
      <c r="CJ207" s="21"/>
      <c r="CK207" s="21"/>
      <c r="CL207" s="21"/>
      <c r="CM207" s="21"/>
      <c r="CN207" s="21"/>
      <c r="CO207" s="21"/>
      <c r="CP207" s="21"/>
      <c r="CQ207" s="21"/>
      <c r="CR207" s="21"/>
      <c r="CS207" s="21"/>
      <c r="CT207" s="21"/>
      <c r="CU207" s="21"/>
      <c r="CV207" s="21"/>
      <c r="CW207" s="21"/>
      <c r="CX207" s="21"/>
      <c r="CY207" s="21"/>
      <c r="CZ207" s="21"/>
      <c r="DA207" s="21"/>
      <c r="DB207" s="21"/>
      <c r="DC207" s="21"/>
      <c r="DD207" s="21"/>
      <c r="DE207" s="21"/>
      <c r="DF207" s="21"/>
    </row>
    <row r="208" spans="1:121" s="14" customFormat="1" x14ac:dyDescent="0.3">
      <c r="A208" s="21" t="s">
        <v>32</v>
      </c>
      <c r="B208" s="21" t="s">
        <v>290</v>
      </c>
      <c r="C208" s="21" t="s">
        <v>339</v>
      </c>
      <c r="D208" s="42">
        <f>$D$207*(1 - inputs!$E$35)</f>
        <v>16202.436926540371</v>
      </c>
      <c r="E208" s="21" t="str">
        <f t="shared" ca="1" si="3"/>
        <v>=$D$207*(1 - inputs!$E$35)</v>
      </c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  <c r="CA208" s="21"/>
      <c r="CB208" s="21"/>
      <c r="CC208" s="21"/>
      <c r="CD208" s="21"/>
      <c r="CE208" s="21"/>
      <c r="CF208" s="21"/>
      <c r="CG208" s="21"/>
      <c r="CH208" s="21"/>
      <c r="CI208" s="21"/>
      <c r="CJ208" s="21"/>
      <c r="CK208" s="21"/>
      <c r="CL208" s="21"/>
      <c r="CM208" s="21"/>
      <c r="CN208" s="21"/>
      <c r="CO208" s="21"/>
      <c r="CP208" s="21"/>
      <c r="CQ208" s="21"/>
      <c r="CR208" s="21"/>
      <c r="CS208" s="21"/>
      <c r="CT208" s="21"/>
      <c r="CU208" s="21"/>
      <c r="CV208" s="21"/>
      <c r="CW208" s="21"/>
      <c r="CX208" s="21"/>
      <c r="CY208" s="21"/>
      <c r="CZ208" s="21"/>
      <c r="DA208" s="21"/>
      <c r="DB208" s="21"/>
      <c r="DC208" s="21"/>
      <c r="DD208" s="21"/>
      <c r="DE208" s="21"/>
      <c r="DF208" s="21"/>
    </row>
    <row r="209" spans="1:110" s="14" customFormat="1" x14ac:dyDescent="0.3">
      <c r="A209" s="21" t="s">
        <v>32</v>
      </c>
      <c r="B209" s="21" t="s">
        <v>290</v>
      </c>
      <c r="C209" s="21" t="s">
        <v>340</v>
      </c>
      <c r="D209" s="42">
        <f>$D$208*(1 - inputs!$E$35)</f>
        <v>16197.57619546241</v>
      </c>
      <c r="E209" s="21" t="str">
        <f t="shared" ca="1" si="3"/>
        <v>=$D$208*(1 - inputs!$E$35)</v>
      </c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  <c r="CA209" s="21"/>
      <c r="CB209" s="21"/>
      <c r="CC209" s="21"/>
      <c r="CD209" s="21"/>
      <c r="CE209" s="21"/>
      <c r="CF209" s="21"/>
      <c r="CG209" s="21"/>
      <c r="CH209" s="21"/>
      <c r="CI209" s="21"/>
      <c r="CJ209" s="21"/>
      <c r="CK209" s="21"/>
      <c r="CL209" s="21"/>
      <c r="CM209" s="21"/>
      <c r="CN209" s="21"/>
      <c r="CO209" s="21"/>
      <c r="CP209" s="21"/>
      <c r="CQ209" s="21"/>
      <c r="CR209" s="21"/>
      <c r="CS209" s="21"/>
      <c r="CT209" s="21"/>
      <c r="CU209" s="21"/>
      <c r="CV209" s="21"/>
      <c r="CW209" s="21"/>
      <c r="CX209" s="21"/>
      <c r="CY209" s="21"/>
      <c r="CZ209" s="21"/>
      <c r="DA209" s="21"/>
      <c r="DB209" s="21"/>
      <c r="DC209" s="21"/>
      <c r="DD209" s="21"/>
      <c r="DE209" s="21"/>
      <c r="DF209" s="21"/>
    </row>
    <row r="210" spans="1:110" s="14" customFormat="1" x14ac:dyDescent="0.3">
      <c r="A210" s="21" t="s">
        <v>32</v>
      </c>
      <c r="B210" s="21" t="s">
        <v>290</v>
      </c>
      <c r="C210" s="21" t="s">
        <v>341</v>
      </c>
      <c r="D210" s="42">
        <f>$D$209*(1 - inputs!$E$35)</f>
        <v>16192.716922603771</v>
      </c>
      <c r="E210" s="21" t="str">
        <f t="shared" ca="1" si="3"/>
        <v>=$D$209*(1 - inputs!$E$35)</v>
      </c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  <c r="CD210" s="21"/>
      <c r="CE210" s="21"/>
      <c r="CF210" s="21"/>
      <c r="CG210" s="21"/>
      <c r="CH210" s="21"/>
      <c r="CI210" s="21"/>
      <c r="CJ210" s="21"/>
      <c r="CK210" s="21"/>
      <c r="CL210" s="21"/>
      <c r="CM210" s="21"/>
      <c r="CN210" s="21"/>
      <c r="CO210" s="21"/>
      <c r="CP210" s="21"/>
      <c r="CQ210" s="21"/>
      <c r="CR210" s="21"/>
      <c r="CS210" s="21"/>
      <c r="CT210" s="21"/>
      <c r="CU210" s="21"/>
      <c r="CV210" s="21"/>
      <c r="CW210" s="21"/>
      <c r="CX210" s="21"/>
      <c r="CY210" s="21"/>
      <c r="CZ210" s="21"/>
      <c r="DA210" s="21"/>
      <c r="DB210" s="21"/>
      <c r="DC210" s="21"/>
      <c r="DD210" s="21"/>
      <c r="DE210" s="21"/>
      <c r="DF210" s="21"/>
    </row>
    <row r="211" spans="1:110" s="14" customFormat="1" x14ac:dyDescent="0.3">
      <c r="A211" s="21" t="s">
        <v>32</v>
      </c>
      <c r="B211" s="21" t="s">
        <v>290</v>
      </c>
      <c r="C211" s="21" t="s">
        <v>342</v>
      </c>
      <c r="D211" s="42">
        <f>$D$210*(1 - inputs!$E$35)</f>
        <v>16187.859107526991</v>
      </c>
      <c r="E211" s="21" t="str">
        <f t="shared" ca="1" si="3"/>
        <v>=$D$210*(1 - inputs!$E$35)</v>
      </c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  <c r="CD211" s="21"/>
      <c r="CE211" s="21"/>
      <c r="CF211" s="21"/>
      <c r="CG211" s="21"/>
      <c r="CH211" s="21"/>
      <c r="CI211" s="21"/>
      <c r="CJ211" s="21"/>
      <c r="CK211" s="21"/>
      <c r="CL211" s="21"/>
      <c r="CM211" s="21"/>
      <c r="CN211" s="21"/>
      <c r="CO211" s="21"/>
      <c r="CP211" s="21"/>
      <c r="CQ211" s="21"/>
      <c r="CR211" s="21"/>
      <c r="CS211" s="21"/>
      <c r="CT211" s="21"/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</row>
    <row r="212" spans="1:110" s="14" customFormat="1" x14ac:dyDescent="0.3">
      <c r="A212" s="21" t="s">
        <v>32</v>
      </c>
      <c r="B212" s="21" t="s">
        <v>290</v>
      </c>
      <c r="C212" s="21" t="s">
        <v>343</v>
      </c>
      <c r="D212" s="42">
        <f>$D$211*(1 - inputs!$E$35)</f>
        <v>16183.002749794732</v>
      </c>
      <c r="E212" s="21" t="str">
        <f t="shared" ca="1" si="3"/>
        <v>=$D$211*(1 - inputs!$E$35)</v>
      </c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  <c r="CA212" s="21"/>
      <c r="CB212" s="21"/>
      <c r="CC212" s="21"/>
      <c r="CD212" s="21"/>
      <c r="CE212" s="21"/>
      <c r="CF212" s="21"/>
      <c r="CG212" s="21"/>
      <c r="CH212" s="21"/>
      <c r="CI212" s="21"/>
      <c r="CJ212" s="21"/>
      <c r="CK212" s="21"/>
      <c r="CL212" s="21"/>
      <c r="CM212" s="21"/>
      <c r="CN212" s="21"/>
      <c r="CO212" s="21"/>
      <c r="CP212" s="21"/>
      <c r="CQ212" s="21"/>
      <c r="CR212" s="21"/>
      <c r="CS212" s="21"/>
      <c r="CT212" s="21"/>
      <c r="CU212" s="21"/>
      <c r="CV212" s="21"/>
      <c r="CW212" s="21"/>
      <c r="CX212" s="21"/>
      <c r="CY212" s="21"/>
      <c r="CZ212" s="21"/>
      <c r="DA212" s="21"/>
      <c r="DB212" s="21"/>
      <c r="DC212" s="21"/>
      <c r="DD212" s="21"/>
      <c r="DE212" s="21"/>
      <c r="DF212" s="21"/>
    </row>
    <row r="213" spans="1:110" s="14" customFormat="1" x14ac:dyDescent="0.3">
      <c r="A213" s="21" t="s">
        <v>32</v>
      </c>
      <c r="B213" s="21" t="s">
        <v>290</v>
      </c>
      <c r="C213" s="21" t="s">
        <v>344</v>
      </c>
      <c r="D213" s="42">
        <f>$D$212*(1 - inputs!$E$35)</f>
        <v>16178.147848969795</v>
      </c>
      <c r="E213" s="21" t="str">
        <f t="shared" ca="1" si="3"/>
        <v>=$D$212*(1 - inputs!$E$35)</v>
      </c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  <c r="CA213" s="21"/>
      <c r="CB213" s="21"/>
      <c r="CC213" s="21"/>
      <c r="CD213" s="21"/>
      <c r="CE213" s="21"/>
      <c r="CF213" s="21"/>
      <c r="CG213" s="21"/>
      <c r="CH213" s="21"/>
      <c r="CI213" s="21"/>
      <c r="CJ213" s="21"/>
      <c r="CK213" s="21"/>
      <c r="CL213" s="21"/>
      <c r="CM213" s="21"/>
      <c r="CN213" s="21"/>
      <c r="CO213" s="21"/>
      <c r="CP213" s="21"/>
      <c r="CQ213" s="21"/>
      <c r="CR213" s="21"/>
      <c r="CS213" s="21"/>
      <c r="CT213" s="21"/>
      <c r="CU213" s="21"/>
      <c r="CV213" s="21"/>
      <c r="CW213" s="21"/>
      <c r="CX213" s="21"/>
      <c r="CY213" s="21"/>
      <c r="CZ213" s="21"/>
      <c r="DA213" s="21"/>
      <c r="DB213" s="21"/>
      <c r="DC213" s="21"/>
      <c r="DD213" s="21"/>
      <c r="DE213" s="21"/>
      <c r="DF213" s="21"/>
    </row>
    <row r="214" spans="1:110" s="14" customFormat="1" x14ac:dyDescent="0.3">
      <c r="A214" s="21" t="s">
        <v>32</v>
      </c>
      <c r="B214" s="21" t="s">
        <v>290</v>
      </c>
      <c r="C214" s="21" t="s">
        <v>345</v>
      </c>
      <c r="D214" s="42">
        <f>$D$213*(1 - inputs!$E$35)</f>
        <v>16173.294404615104</v>
      </c>
      <c r="E214" s="21" t="str">
        <f t="shared" ca="1" si="3"/>
        <v>=$D$213*(1 - inputs!$E$35)</v>
      </c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  <c r="CD214" s="21"/>
      <c r="CE214" s="21"/>
      <c r="CF214" s="21"/>
      <c r="CG214" s="21"/>
      <c r="CH214" s="21"/>
      <c r="CI214" s="21"/>
      <c r="CJ214" s="21"/>
      <c r="CK214" s="21"/>
      <c r="CL214" s="21"/>
      <c r="CM214" s="21"/>
      <c r="CN214" s="21"/>
      <c r="CO214" s="21"/>
      <c r="CP214" s="21"/>
      <c r="CQ214" s="21"/>
      <c r="CR214" s="21"/>
      <c r="CS214" s="21"/>
      <c r="CT214" s="21"/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</row>
    <row r="215" spans="1:110" s="14" customFormat="1" x14ac:dyDescent="0.3">
      <c r="A215" s="21" t="s">
        <v>32</v>
      </c>
      <c r="B215" s="21" t="s">
        <v>290</v>
      </c>
      <c r="C215" s="21" t="s">
        <v>346</v>
      </c>
      <c r="D215" s="42">
        <f>$D$214*(1 - inputs!$E$35)</f>
        <v>16168.442416293719</v>
      </c>
      <c r="E215" s="21" t="str">
        <f t="shared" ref="E215:E279" ca="1" si="4">_xlfn.FORMULATEXT(D215)</f>
        <v>=$D$214*(1 - inputs!$E$35)</v>
      </c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  <c r="CA215" s="21"/>
      <c r="CB215" s="21"/>
      <c r="CC215" s="21"/>
      <c r="CD215" s="21"/>
      <c r="CE215" s="21"/>
      <c r="CF215" s="21"/>
      <c r="CG215" s="21"/>
      <c r="CH215" s="21"/>
      <c r="CI215" s="21"/>
      <c r="CJ215" s="21"/>
      <c r="CK215" s="21"/>
      <c r="CL215" s="21"/>
      <c r="CM215" s="21"/>
      <c r="CN215" s="21"/>
      <c r="CO215" s="21"/>
      <c r="CP215" s="21"/>
      <c r="CQ215" s="21"/>
      <c r="CR215" s="21"/>
      <c r="CS215" s="21"/>
      <c r="CT215" s="21"/>
      <c r="CU215" s="21"/>
      <c r="CV215" s="21"/>
      <c r="CW215" s="21"/>
      <c r="CX215" s="21"/>
      <c r="CY215" s="21"/>
      <c r="CZ215" s="21"/>
      <c r="DA215" s="21"/>
      <c r="DB215" s="21"/>
      <c r="DC215" s="21"/>
      <c r="DD215" s="21"/>
      <c r="DE215" s="21"/>
      <c r="DF215" s="21"/>
    </row>
    <row r="216" spans="1:110" s="14" customFormat="1" x14ac:dyDescent="0.3">
      <c r="A216" s="21" t="s">
        <v>32</v>
      </c>
      <c r="B216" s="21" t="s">
        <v>290</v>
      </c>
      <c r="C216" s="21" t="s">
        <v>347</v>
      </c>
      <c r="D216" s="42">
        <f>$D$215*(1 - inputs!$E$35)</f>
        <v>16163.591883568832</v>
      </c>
      <c r="E216" s="21" t="str">
        <f t="shared" ca="1" si="4"/>
        <v>=$D$215*(1 - inputs!$E$35)</v>
      </c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  <c r="CA216" s="21"/>
      <c r="CB216" s="21"/>
      <c r="CC216" s="21"/>
      <c r="CD216" s="21"/>
      <c r="CE216" s="21"/>
      <c r="CF216" s="21"/>
      <c r="CG216" s="21"/>
      <c r="CH216" s="21"/>
      <c r="CI216" s="21"/>
      <c r="CJ216" s="21"/>
      <c r="CK216" s="21"/>
      <c r="CL216" s="21"/>
      <c r="CM216" s="21"/>
      <c r="CN216" s="21"/>
      <c r="CO216" s="21"/>
      <c r="CP216" s="21"/>
      <c r="CQ216" s="21"/>
      <c r="CR216" s="21"/>
      <c r="CS216" s="21"/>
      <c r="CT216" s="21"/>
      <c r="CU216" s="21"/>
      <c r="CV216" s="21"/>
      <c r="CW216" s="21"/>
      <c r="CX216" s="21"/>
      <c r="CY216" s="21"/>
      <c r="CZ216" s="21"/>
      <c r="DA216" s="21"/>
      <c r="DB216" s="21"/>
      <c r="DC216" s="21"/>
      <c r="DD216" s="21"/>
      <c r="DE216" s="21"/>
      <c r="DF216" s="21"/>
    </row>
    <row r="217" spans="1:110" s="14" customFormat="1" x14ac:dyDescent="0.3">
      <c r="A217" s="21" t="s">
        <v>32</v>
      </c>
      <c r="B217" s="21" t="s">
        <v>290</v>
      </c>
      <c r="C217" s="21" t="s">
        <v>348</v>
      </c>
      <c r="D217" s="42">
        <f>$D$216*(1 - inputs!$E$35)</f>
        <v>16158.742806003762</v>
      </c>
      <c r="E217" s="21" t="str">
        <f t="shared" ca="1" si="4"/>
        <v>=$D$216*(1 - inputs!$E$35)</v>
      </c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  <c r="CA217" s="21"/>
      <c r="CB217" s="21"/>
      <c r="CC217" s="21"/>
      <c r="CD217" s="21"/>
      <c r="CE217" s="21"/>
      <c r="CF217" s="21"/>
      <c r="CG217" s="21"/>
      <c r="CH217" s="21"/>
      <c r="CI217" s="21"/>
      <c r="CJ217" s="21"/>
      <c r="CK217" s="21"/>
      <c r="CL217" s="21"/>
      <c r="CM217" s="21"/>
      <c r="CN217" s="21"/>
      <c r="CO217" s="21"/>
      <c r="CP217" s="21"/>
      <c r="CQ217" s="21"/>
      <c r="CR217" s="21"/>
      <c r="CS217" s="21"/>
      <c r="CT217" s="21"/>
      <c r="CU217" s="21"/>
      <c r="CV217" s="21"/>
      <c r="CW217" s="21"/>
      <c r="CX217" s="21"/>
      <c r="CY217" s="21"/>
      <c r="CZ217" s="21"/>
      <c r="DA217" s="21"/>
      <c r="DB217" s="21"/>
      <c r="DC217" s="21"/>
      <c r="DD217" s="21"/>
      <c r="DE217" s="21"/>
      <c r="DF217" s="21"/>
    </row>
    <row r="218" spans="1:110" s="14" customFormat="1" x14ac:dyDescent="0.3">
      <c r="A218" s="21" t="s">
        <v>32</v>
      </c>
      <c r="B218" s="21" t="s">
        <v>290</v>
      </c>
      <c r="C218" s="21" t="s">
        <v>349</v>
      </c>
      <c r="D218" s="42">
        <f>$D$217*(1 - inputs!$E$36)</f>
        <v>16142.584063197759</v>
      </c>
      <c r="E218" s="21" t="str">
        <f t="shared" ca="1" si="4"/>
        <v>=$D$217*(1 - inputs!$E$36)</v>
      </c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  <c r="CA218" s="21"/>
      <c r="CB218" s="21"/>
      <c r="CC218" s="21"/>
      <c r="CD218" s="21"/>
      <c r="CE218" s="21"/>
      <c r="CF218" s="21"/>
      <c r="CG218" s="21"/>
      <c r="CH218" s="21"/>
      <c r="CI218" s="21"/>
      <c r="CJ218" s="21"/>
      <c r="CK218" s="21"/>
      <c r="CL218" s="21"/>
      <c r="CM218" s="21"/>
      <c r="CN218" s="21"/>
      <c r="CO218" s="21"/>
      <c r="CP218" s="21"/>
      <c r="CQ218" s="21"/>
      <c r="CR218" s="21"/>
      <c r="CS218" s="21"/>
      <c r="CT218" s="21"/>
      <c r="CU218" s="21"/>
      <c r="CV218" s="21"/>
      <c r="CW218" s="21"/>
      <c r="CX218" s="21"/>
      <c r="CY218" s="21"/>
      <c r="CZ218" s="21"/>
      <c r="DA218" s="21"/>
      <c r="DB218" s="21"/>
      <c r="DC218" s="21"/>
      <c r="DD218" s="21"/>
      <c r="DE218" s="21"/>
      <c r="DF218" s="21"/>
    </row>
    <row r="219" spans="1:110" s="14" customFormat="1" x14ac:dyDescent="0.3">
      <c r="A219" s="21" t="s">
        <v>32</v>
      </c>
      <c r="B219" s="21" t="s">
        <v>290</v>
      </c>
      <c r="C219" s="21" t="s">
        <v>350</v>
      </c>
      <c r="D219" s="42">
        <f>$D$218*(1 - inputs!$E$36)</f>
        <v>16126.441479134561</v>
      </c>
      <c r="E219" s="21" t="str">
        <f t="shared" ca="1" si="4"/>
        <v>=$D$218*(1 - inputs!$E$36)</v>
      </c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  <c r="CA219" s="21"/>
      <c r="CB219" s="21"/>
      <c r="CC219" s="21"/>
      <c r="CD219" s="21"/>
      <c r="CE219" s="21"/>
      <c r="CF219" s="21"/>
      <c r="CG219" s="21"/>
      <c r="CH219" s="21"/>
      <c r="CI219" s="21"/>
      <c r="CJ219" s="21"/>
      <c r="CK219" s="21"/>
      <c r="CL219" s="21"/>
      <c r="CM219" s="21"/>
      <c r="CN219" s="21"/>
      <c r="CO219" s="21"/>
      <c r="CP219" s="21"/>
      <c r="CQ219" s="21"/>
      <c r="CR219" s="21"/>
      <c r="CS219" s="21"/>
      <c r="CT219" s="21"/>
      <c r="CU219" s="21"/>
      <c r="CV219" s="21"/>
      <c r="CW219" s="21"/>
      <c r="CX219" s="21"/>
      <c r="CY219" s="21"/>
      <c r="CZ219" s="21"/>
      <c r="DA219" s="21"/>
      <c r="DB219" s="21"/>
      <c r="DC219" s="21"/>
      <c r="DD219" s="21"/>
      <c r="DE219" s="21"/>
      <c r="DF219" s="21"/>
    </row>
    <row r="220" spans="1:110" s="14" customFormat="1" x14ac:dyDescent="0.3">
      <c r="A220" s="21" t="s">
        <v>32</v>
      </c>
      <c r="B220" s="21" t="s">
        <v>290</v>
      </c>
      <c r="C220" s="21" t="s">
        <v>351</v>
      </c>
      <c r="D220" s="42">
        <f>$D$219*(1 - inputs!$E$36)</f>
        <v>16110.315037655426</v>
      </c>
      <c r="E220" s="21" t="str">
        <f t="shared" ca="1" si="4"/>
        <v>=$D$219*(1 - inputs!$E$36)</v>
      </c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  <c r="CA220" s="21"/>
      <c r="CB220" s="21"/>
      <c r="CC220" s="21"/>
      <c r="CD220" s="21"/>
      <c r="CE220" s="21"/>
      <c r="CF220" s="21"/>
      <c r="CG220" s="21"/>
      <c r="CH220" s="21"/>
      <c r="CI220" s="21"/>
      <c r="CJ220" s="21"/>
      <c r="CK220" s="21"/>
      <c r="CL220" s="21"/>
      <c r="CM220" s="21"/>
      <c r="CN220" s="21"/>
      <c r="CO220" s="21"/>
      <c r="CP220" s="21"/>
      <c r="CQ220" s="21"/>
      <c r="CR220" s="21"/>
      <c r="CS220" s="21"/>
      <c r="CT220" s="21"/>
      <c r="CU220" s="21"/>
      <c r="CV220" s="21"/>
      <c r="CW220" s="21"/>
      <c r="CX220" s="21"/>
      <c r="CY220" s="21"/>
      <c r="CZ220" s="21"/>
      <c r="DA220" s="21"/>
      <c r="DB220" s="21"/>
      <c r="DC220" s="21"/>
      <c r="DD220" s="21"/>
      <c r="DE220" s="21"/>
      <c r="DF220" s="21"/>
    </row>
    <row r="221" spans="1:110" s="14" customFormat="1" x14ac:dyDescent="0.3">
      <c r="A221" s="21" t="s">
        <v>32</v>
      </c>
      <c r="B221" s="21" t="s">
        <v>290</v>
      </c>
      <c r="C221" s="21" t="s">
        <v>352</v>
      </c>
      <c r="D221" s="42">
        <f>$D$220*(1 - inputs!$E$36)</f>
        <v>16094.204722617771</v>
      </c>
      <c r="E221" s="21" t="str">
        <f t="shared" ca="1" si="4"/>
        <v>=$D$220*(1 - inputs!$E$36)</v>
      </c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  <c r="CD221" s="21"/>
      <c r="CE221" s="21"/>
      <c r="CF221" s="21"/>
      <c r="CG221" s="21"/>
      <c r="CH221" s="21"/>
      <c r="CI221" s="21"/>
      <c r="CJ221" s="21"/>
      <c r="CK221" s="21"/>
      <c r="CL221" s="21"/>
      <c r="CM221" s="21"/>
      <c r="CN221" s="21"/>
      <c r="CO221" s="21"/>
      <c r="CP221" s="21"/>
      <c r="CQ221" s="21"/>
      <c r="CR221" s="21"/>
      <c r="CS221" s="21"/>
      <c r="CT221" s="21"/>
      <c r="CU221" s="21"/>
      <c r="CV221" s="21"/>
      <c r="CW221" s="21"/>
      <c r="CX221" s="21"/>
      <c r="CY221" s="21"/>
      <c r="CZ221" s="21"/>
      <c r="DA221" s="21"/>
      <c r="DB221" s="21"/>
      <c r="DC221" s="21"/>
      <c r="DD221" s="21"/>
      <c r="DE221" s="21"/>
      <c r="DF221" s="21"/>
    </row>
    <row r="222" spans="1:110" s="14" customFormat="1" x14ac:dyDescent="0.3">
      <c r="A222" s="21" t="s">
        <v>32</v>
      </c>
      <c r="B222" s="21" t="s">
        <v>290</v>
      </c>
      <c r="C222" s="21" t="s">
        <v>353</v>
      </c>
      <c r="D222" s="42">
        <f>$D$221*(1 - inputs!$E$36)</f>
        <v>16078.110517895153</v>
      </c>
      <c r="E222" s="21" t="str">
        <f t="shared" ca="1" si="4"/>
        <v>=$D$221*(1 - inputs!$E$36)</v>
      </c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  <c r="CA222" s="21"/>
      <c r="CB222" s="21"/>
      <c r="CC222" s="21"/>
      <c r="CD222" s="21"/>
      <c r="CE222" s="21"/>
      <c r="CF222" s="21"/>
      <c r="CG222" s="21"/>
      <c r="CH222" s="21"/>
      <c r="CI222" s="21"/>
      <c r="CJ222" s="21"/>
      <c r="CK222" s="21"/>
      <c r="CL222" s="21"/>
      <c r="CM222" s="21"/>
      <c r="CN222" s="21"/>
      <c r="CO222" s="21"/>
      <c r="CP222" s="21"/>
      <c r="CQ222" s="21"/>
      <c r="CR222" s="21"/>
      <c r="CS222" s="21"/>
      <c r="CT222" s="21"/>
      <c r="CU222" s="21"/>
      <c r="CV222" s="21"/>
      <c r="CW222" s="21"/>
      <c r="CX222" s="21"/>
      <c r="CY222" s="21"/>
      <c r="CZ222" s="21"/>
      <c r="DA222" s="21"/>
      <c r="DB222" s="21"/>
      <c r="DC222" s="21"/>
      <c r="DD222" s="21"/>
      <c r="DE222" s="21"/>
      <c r="DF222" s="21"/>
    </row>
    <row r="223" spans="1:110" s="14" customFormat="1" x14ac:dyDescent="0.3">
      <c r="A223" s="21" t="s">
        <v>32</v>
      </c>
      <c r="B223" s="21" t="s">
        <v>290</v>
      </c>
      <c r="C223" s="21" t="s">
        <v>354</v>
      </c>
      <c r="D223" s="42">
        <f>$D$222*(1 - inputs!$E$37)</f>
        <v>16045.954296859363</v>
      </c>
      <c r="E223" s="21" t="str">
        <f t="shared" ca="1" si="4"/>
        <v>=$D$222*(1 - inputs!$E$37)</v>
      </c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  <c r="CA223" s="21"/>
      <c r="CB223" s="21"/>
      <c r="CC223" s="21"/>
      <c r="CD223" s="21"/>
      <c r="CE223" s="21"/>
      <c r="CF223" s="21"/>
      <c r="CG223" s="21"/>
      <c r="CH223" s="21"/>
      <c r="CI223" s="21"/>
      <c r="CJ223" s="21"/>
      <c r="CK223" s="21"/>
      <c r="CL223" s="21"/>
      <c r="CM223" s="21"/>
      <c r="CN223" s="21"/>
      <c r="CO223" s="21"/>
      <c r="CP223" s="21"/>
      <c r="CQ223" s="21"/>
      <c r="CR223" s="21"/>
      <c r="CS223" s="21"/>
      <c r="CT223" s="21"/>
      <c r="CU223" s="21"/>
      <c r="CV223" s="21"/>
      <c r="CW223" s="21"/>
      <c r="CX223" s="21"/>
      <c r="CY223" s="21"/>
      <c r="CZ223" s="21"/>
      <c r="DA223" s="21"/>
      <c r="DB223" s="21"/>
      <c r="DC223" s="21"/>
      <c r="DD223" s="21"/>
      <c r="DE223" s="21"/>
      <c r="DF223" s="21"/>
    </row>
    <row r="224" spans="1:110" s="14" customFormat="1" x14ac:dyDescent="0.3">
      <c r="A224" s="21" t="s">
        <v>32</v>
      </c>
      <c r="B224" s="21" t="s">
        <v>290</v>
      </c>
      <c r="C224" s="21" t="s">
        <v>355</v>
      </c>
      <c r="D224" s="42">
        <f>$D$223*(1 - inputs!$E$37)</f>
        <v>16013.862388265645</v>
      </c>
      <c r="E224" s="21" t="str">
        <f t="shared" ca="1" si="4"/>
        <v>=$D$223*(1 - inputs!$E$37)</v>
      </c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  <c r="CA224" s="21"/>
      <c r="CB224" s="21"/>
      <c r="CC224" s="21"/>
      <c r="CD224" s="21"/>
      <c r="CE224" s="21"/>
      <c r="CF224" s="21"/>
      <c r="CG224" s="21"/>
      <c r="CH224" s="21"/>
      <c r="CI224" s="21"/>
      <c r="CJ224" s="21"/>
      <c r="CK224" s="21"/>
      <c r="CL224" s="21"/>
      <c r="CM224" s="21"/>
      <c r="CN224" s="21"/>
      <c r="CO224" s="21"/>
      <c r="CP224" s="21"/>
      <c r="CQ224" s="21"/>
      <c r="CR224" s="21"/>
      <c r="CS224" s="21"/>
      <c r="CT224" s="21"/>
      <c r="CU224" s="21"/>
      <c r="CV224" s="21"/>
      <c r="CW224" s="21"/>
      <c r="CX224" s="21"/>
      <c r="CY224" s="21"/>
      <c r="CZ224" s="21"/>
      <c r="DA224" s="21"/>
      <c r="DB224" s="21"/>
      <c r="DC224" s="21"/>
      <c r="DD224" s="21"/>
      <c r="DE224" s="21"/>
      <c r="DF224" s="21"/>
    </row>
    <row r="225" spans="1:110" s="14" customFormat="1" x14ac:dyDescent="0.3">
      <c r="A225" s="21" t="s">
        <v>32</v>
      </c>
      <c r="B225" s="21" t="s">
        <v>290</v>
      </c>
      <c r="C225" s="21" t="s">
        <v>356</v>
      </c>
      <c r="D225" s="42">
        <f>$D$224*(1 - inputs!$E$37)</f>
        <v>15981.834663489113</v>
      </c>
      <c r="E225" s="21" t="str">
        <f t="shared" ca="1" si="4"/>
        <v>=$D$224*(1 - inputs!$E$37)</v>
      </c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  <c r="CA225" s="21"/>
      <c r="CB225" s="21"/>
      <c r="CC225" s="21"/>
      <c r="CD225" s="21"/>
      <c r="CE225" s="21"/>
      <c r="CF225" s="21"/>
      <c r="CG225" s="21"/>
      <c r="CH225" s="21"/>
      <c r="CI225" s="21"/>
      <c r="CJ225" s="21"/>
      <c r="CK225" s="21"/>
      <c r="CL225" s="21"/>
      <c r="CM225" s="21"/>
      <c r="CN225" s="21"/>
      <c r="CO225" s="21"/>
      <c r="CP225" s="21"/>
      <c r="CQ225" s="21"/>
      <c r="CR225" s="21"/>
      <c r="CS225" s="21"/>
      <c r="CT225" s="21"/>
      <c r="CU225" s="21"/>
      <c r="CV225" s="21"/>
      <c r="CW225" s="21"/>
      <c r="CX225" s="21"/>
      <c r="CY225" s="21"/>
      <c r="CZ225" s="21"/>
      <c r="DA225" s="21"/>
      <c r="DB225" s="21"/>
      <c r="DC225" s="21"/>
      <c r="DD225" s="21"/>
      <c r="DE225" s="21"/>
      <c r="DF225" s="21"/>
    </row>
    <row r="226" spans="1:110" s="14" customFormat="1" x14ac:dyDescent="0.3">
      <c r="A226" s="21" t="s">
        <v>32</v>
      </c>
      <c r="B226" s="21" t="s">
        <v>290</v>
      </c>
      <c r="C226" s="21" t="s">
        <v>357</v>
      </c>
      <c r="D226" s="42">
        <f>$D$225*(1 - inputs!$E$37)</f>
        <v>15949.870994162135</v>
      </c>
      <c r="E226" s="21" t="str">
        <f t="shared" ca="1" si="4"/>
        <v>=$D$225*(1 - inputs!$E$37)</v>
      </c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  <c r="CD226" s="21"/>
      <c r="CE226" s="21"/>
      <c r="CF226" s="21"/>
      <c r="CG226" s="21"/>
      <c r="CH226" s="21"/>
      <c r="CI226" s="21"/>
      <c r="CJ226" s="21"/>
      <c r="CK226" s="21"/>
      <c r="CL226" s="21"/>
      <c r="CM226" s="21"/>
      <c r="CN226" s="21"/>
      <c r="CO226" s="21"/>
      <c r="CP226" s="21"/>
      <c r="CQ226" s="21"/>
      <c r="CR226" s="21"/>
      <c r="CS226" s="21"/>
      <c r="CT226" s="21"/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</row>
    <row r="227" spans="1:110" s="14" customFormat="1" x14ac:dyDescent="0.3">
      <c r="A227" s="21" t="s">
        <v>32</v>
      </c>
      <c r="B227" s="21" t="s">
        <v>290</v>
      </c>
      <c r="C227" s="21" t="s">
        <v>358</v>
      </c>
      <c r="D227" s="42">
        <f>$D$226*(1 - inputs!$E$37)</f>
        <v>15917.971252173811</v>
      </c>
      <c r="E227" s="21" t="str">
        <f t="shared" ca="1" si="4"/>
        <v>=$D$226*(1 - inputs!$E$37)</v>
      </c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  <c r="CA227" s="21"/>
      <c r="CB227" s="21"/>
      <c r="CC227" s="21"/>
      <c r="CD227" s="21"/>
      <c r="CE227" s="21"/>
      <c r="CF227" s="21"/>
      <c r="CG227" s="21"/>
      <c r="CH227" s="21"/>
      <c r="CI227" s="21"/>
      <c r="CJ227" s="21"/>
      <c r="CK227" s="21"/>
      <c r="CL227" s="21"/>
      <c r="CM227" s="21"/>
      <c r="CN227" s="21"/>
      <c r="CO227" s="21"/>
      <c r="CP227" s="21"/>
      <c r="CQ227" s="21"/>
      <c r="CR227" s="21"/>
      <c r="CS227" s="21"/>
      <c r="CT227" s="21"/>
      <c r="CU227" s="21"/>
      <c r="CV227" s="21"/>
      <c r="CW227" s="21"/>
      <c r="CX227" s="21"/>
      <c r="CY227" s="21"/>
      <c r="CZ227" s="21"/>
      <c r="DA227" s="21"/>
      <c r="DB227" s="21"/>
      <c r="DC227" s="21"/>
      <c r="DD227" s="21"/>
      <c r="DE227" s="21"/>
      <c r="DF227" s="21"/>
    </row>
    <row r="228" spans="1:110" s="14" customFormat="1" x14ac:dyDescent="0.3">
      <c r="A228" s="21" t="s">
        <v>32</v>
      </c>
      <c r="B228" s="21" t="s">
        <v>290</v>
      </c>
      <c r="C228" s="21" t="s">
        <v>359</v>
      </c>
      <c r="D228" s="42">
        <f>$D$227*(1 - inputs!$E$38)</f>
        <v>15886.135309669464</v>
      </c>
      <c r="E228" s="21" t="str">
        <f t="shared" ca="1" si="4"/>
        <v>=$D$227*(1 - inputs!$E$38)</v>
      </c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  <c r="CA228" s="21"/>
      <c r="CB228" s="21"/>
      <c r="CC228" s="21"/>
      <c r="CD228" s="21"/>
      <c r="CE228" s="21"/>
      <c r="CF228" s="21"/>
      <c r="CG228" s="21"/>
      <c r="CH228" s="21"/>
      <c r="CI228" s="21"/>
      <c r="CJ228" s="21"/>
      <c r="CK228" s="21"/>
      <c r="CL228" s="21"/>
      <c r="CM228" s="21"/>
      <c r="CN228" s="21"/>
      <c r="CO228" s="21"/>
      <c r="CP228" s="21"/>
      <c r="CQ228" s="21"/>
      <c r="CR228" s="21"/>
      <c r="CS228" s="21"/>
      <c r="CT228" s="21"/>
      <c r="CU228" s="21"/>
      <c r="CV228" s="21"/>
      <c r="CW228" s="21"/>
      <c r="CX228" s="21"/>
      <c r="CY228" s="21"/>
      <c r="CZ228" s="21"/>
      <c r="DA228" s="21"/>
      <c r="DB228" s="21"/>
      <c r="DC228" s="21"/>
      <c r="DD228" s="21"/>
      <c r="DE228" s="21"/>
      <c r="DF228" s="21"/>
    </row>
    <row r="229" spans="1:110" s="14" customFormat="1" x14ac:dyDescent="0.3">
      <c r="A229" s="21" t="s">
        <v>32</v>
      </c>
      <c r="B229" s="21" t="s">
        <v>290</v>
      </c>
      <c r="C229" s="21" t="s">
        <v>360</v>
      </c>
      <c r="D229" s="42">
        <f>$D$228*(1 - inputs!$E$38)</f>
        <v>15854.363039050126</v>
      </c>
      <c r="E229" s="21" t="str">
        <f t="shared" ca="1" si="4"/>
        <v>=$D$228*(1 - inputs!$E$38)</v>
      </c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  <c r="CA229" s="21"/>
      <c r="CB229" s="21"/>
      <c r="CC229" s="21"/>
      <c r="CD229" s="21"/>
      <c r="CE229" s="21"/>
      <c r="CF229" s="21"/>
      <c r="CG229" s="21"/>
      <c r="CH229" s="21"/>
      <c r="CI229" s="21"/>
      <c r="CJ229" s="21"/>
      <c r="CK229" s="21"/>
      <c r="CL229" s="21"/>
      <c r="CM229" s="21"/>
      <c r="CN229" s="21"/>
      <c r="CO229" s="21"/>
      <c r="CP229" s="21"/>
      <c r="CQ229" s="21"/>
      <c r="CR229" s="21"/>
      <c r="CS229" s="21"/>
      <c r="CT229" s="21"/>
      <c r="CU229" s="21"/>
      <c r="CV229" s="21"/>
      <c r="CW229" s="21"/>
      <c r="CX229" s="21"/>
      <c r="CY229" s="21"/>
      <c r="CZ229" s="21"/>
      <c r="DA229" s="21"/>
      <c r="DB229" s="21"/>
      <c r="DC229" s="21"/>
      <c r="DD229" s="21"/>
      <c r="DE229" s="21"/>
      <c r="DF229" s="21"/>
    </row>
    <row r="230" spans="1:110" s="14" customFormat="1" x14ac:dyDescent="0.3">
      <c r="A230" s="21" t="s">
        <v>32</v>
      </c>
      <c r="B230" s="21" t="s">
        <v>290</v>
      </c>
      <c r="C230" s="21" t="s">
        <v>361</v>
      </c>
      <c r="D230" s="42">
        <f>$D$229*(1 - inputs!$E$38)</f>
        <v>15822.654312972025</v>
      </c>
      <c r="E230" s="21" t="str">
        <f t="shared" ca="1" si="4"/>
        <v>=$D$229*(1 - inputs!$E$38)</v>
      </c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  <c r="CA230" s="21"/>
      <c r="CB230" s="21"/>
      <c r="CC230" s="21"/>
      <c r="CD230" s="21"/>
      <c r="CE230" s="21"/>
      <c r="CF230" s="21"/>
      <c r="CG230" s="21"/>
      <c r="CH230" s="21"/>
      <c r="CI230" s="21"/>
      <c r="CJ230" s="21"/>
      <c r="CK230" s="21"/>
      <c r="CL230" s="21"/>
      <c r="CM230" s="21"/>
      <c r="CN230" s="21"/>
      <c r="CO230" s="21"/>
      <c r="CP230" s="21"/>
      <c r="CQ230" s="21"/>
      <c r="CR230" s="21"/>
      <c r="CS230" s="21"/>
      <c r="CT230" s="21"/>
      <c r="CU230" s="21"/>
      <c r="CV230" s="21"/>
      <c r="CW230" s="21"/>
      <c r="CX230" s="21"/>
      <c r="CY230" s="21"/>
      <c r="CZ230" s="21"/>
      <c r="DA230" s="21"/>
      <c r="DB230" s="21"/>
      <c r="DC230" s="21"/>
      <c r="DD230" s="21"/>
      <c r="DE230" s="21"/>
      <c r="DF230" s="21"/>
    </row>
    <row r="231" spans="1:110" s="14" customFormat="1" x14ac:dyDescent="0.3">
      <c r="A231" s="21" t="s">
        <v>32</v>
      </c>
      <c r="B231" s="21" t="s">
        <v>290</v>
      </c>
      <c r="C231" s="21" t="s">
        <v>362</v>
      </c>
      <c r="D231" s="42">
        <f>$D$230*(1 - inputs!$E$38)</f>
        <v>15791.00900434608</v>
      </c>
      <c r="E231" s="21" t="str">
        <f t="shared" ca="1" si="4"/>
        <v>=$D$230*(1 - inputs!$E$38)</v>
      </c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  <c r="CD231" s="21"/>
      <c r="CE231" s="21"/>
      <c r="CF231" s="21"/>
      <c r="CG231" s="21"/>
      <c r="CH231" s="21"/>
      <c r="CI231" s="21"/>
      <c r="CJ231" s="21"/>
      <c r="CK231" s="21"/>
      <c r="CL231" s="21"/>
      <c r="CM231" s="21"/>
      <c r="CN231" s="21"/>
      <c r="CO231" s="21"/>
      <c r="CP231" s="21"/>
      <c r="CQ231" s="21"/>
      <c r="CR231" s="21"/>
      <c r="CS231" s="21"/>
      <c r="CT231" s="21"/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</row>
    <row r="232" spans="1:110" s="14" customFormat="1" x14ac:dyDescent="0.3">
      <c r="A232" s="21" t="s">
        <v>32</v>
      </c>
      <c r="B232" s="21" t="s">
        <v>290</v>
      </c>
      <c r="C232" s="21" t="s">
        <v>363</v>
      </c>
      <c r="D232" s="42">
        <f>$D$231*(1 - inputs!$E$38)</f>
        <v>15759.426986337388</v>
      </c>
      <c r="E232" s="21" t="str">
        <f t="shared" ca="1" si="4"/>
        <v>=$D$231*(1 - inputs!$E$38)</v>
      </c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  <c r="CA232" s="21"/>
      <c r="CB232" s="21"/>
      <c r="CC232" s="21"/>
      <c r="CD232" s="21"/>
      <c r="CE232" s="21"/>
      <c r="CF232" s="21"/>
      <c r="CG232" s="21"/>
      <c r="CH232" s="21"/>
      <c r="CI232" s="21"/>
      <c r="CJ232" s="21"/>
      <c r="CK232" s="21"/>
      <c r="CL232" s="21"/>
      <c r="CM232" s="21"/>
      <c r="CN232" s="21"/>
      <c r="CO232" s="21"/>
      <c r="CP232" s="21"/>
      <c r="CQ232" s="21"/>
      <c r="CR232" s="21"/>
      <c r="CS232" s="21"/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  <c r="DF232" s="21"/>
    </row>
    <row r="233" spans="1:110" s="14" customFormat="1" x14ac:dyDescent="0.3">
      <c r="A233" s="21" t="s">
        <v>32</v>
      </c>
      <c r="B233" s="21" t="s">
        <v>290</v>
      </c>
      <c r="C233" s="21" t="s">
        <v>364</v>
      </c>
      <c r="D233" s="42">
        <f>$D$232*(1 - inputs!$E$38)</f>
        <v>15727.908132364713</v>
      </c>
      <c r="E233" s="21" t="str">
        <f t="shared" ca="1" si="4"/>
        <v>=$D$232*(1 - inputs!$E$38)</v>
      </c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  <c r="CA233" s="21"/>
      <c r="CB233" s="21"/>
      <c r="CC233" s="21"/>
      <c r="CD233" s="21"/>
      <c r="CE233" s="21"/>
      <c r="CF233" s="21"/>
      <c r="CG233" s="21"/>
      <c r="CH233" s="21"/>
      <c r="CI233" s="21"/>
      <c r="CJ233" s="21"/>
      <c r="CK233" s="21"/>
      <c r="CL233" s="21"/>
      <c r="CM233" s="21"/>
      <c r="CN233" s="21"/>
      <c r="CO233" s="21"/>
      <c r="CP233" s="21"/>
      <c r="CQ233" s="21"/>
      <c r="CR233" s="21"/>
      <c r="CS233" s="21"/>
      <c r="CT233" s="21"/>
      <c r="CU233" s="21"/>
      <c r="CV233" s="21"/>
      <c r="CW233" s="21"/>
      <c r="CX233" s="21"/>
      <c r="CY233" s="21"/>
      <c r="CZ233" s="21"/>
      <c r="DA233" s="21"/>
      <c r="DB233" s="21"/>
      <c r="DC233" s="21"/>
      <c r="DD233" s="21"/>
      <c r="DE233" s="21"/>
      <c r="DF233" s="21"/>
    </row>
    <row r="234" spans="1:110" s="14" customFormat="1" x14ac:dyDescent="0.3">
      <c r="A234" s="21" t="s">
        <v>32</v>
      </c>
      <c r="B234" s="21" t="s">
        <v>290</v>
      </c>
      <c r="C234" s="21" t="s">
        <v>365</v>
      </c>
      <c r="D234" s="42">
        <f>$D$233*(1 - inputs!$E$38)</f>
        <v>15696.452316099983</v>
      </c>
      <c r="E234" s="21" t="str">
        <f t="shared" ca="1" si="4"/>
        <v>=$D$233*(1 - inputs!$E$38)</v>
      </c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  <c r="CA234" s="21"/>
      <c r="CB234" s="21"/>
      <c r="CC234" s="21"/>
      <c r="CD234" s="21"/>
      <c r="CE234" s="21"/>
      <c r="CF234" s="21"/>
      <c r="CG234" s="21"/>
      <c r="CH234" s="21"/>
      <c r="CI234" s="21"/>
      <c r="CJ234" s="21"/>
      <c r="CK234" s="21"/>
      <c r="CL234" s="21"/>
      <c r="CM234" s="21"/>
      <c r="CN234" s="21"/>
      <c r="CO234" s="21"/>
      <c r="CP234" s="21"/>
      <c r="CQ234" s="21"/>
      <c r="CR234" s="21"/>
      <c r="CS234" s="21"/>
      <c r="CT234" s="21"/>
      <c r="CU234" s="21"/>
      <c r="CV234" s="21"/>
      <c r="CW234" s="21"/>
      <c r="CX234" s="21"/>
      <c r="CY234" s="21"/>
      <c r="CZ234" s="21"/>
      <c r="DA234" s="21"/>
      <c r="DB234" s="21"/>
      <c r="DC234" s="21"/>
      <c r="DD234" s="21"/>
      <c r="DE234" s="21"/>
      <c r="DF234" s="21"/>
    </row>
    <row r="235" spans="1:110" s="14" customFormat="1" x14ac:dyDescent="0.3">
      <c r="A235" s="21" t="s">
        <v>32</v>
      </c>
      <c r="B235" s="21" t="s">
        <v>290</v>
      </c>
      <c r="C235" s="21" t="s">
        <v>366</v>
      </c>
      <c r="D235" s="42">
        <f>$D$234*(1 - inputs!$E$38)</f>
        <v>15665.059411467784</v>
      </c>
      <c r="E235" s="21" t="str">
        <f t="shared" ca="1" si="4"/>
        <v>=$D$234*(1 - inputs!$E$38)</v>
      </c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  <c r="CA235" s="21"/>
      <c r="CB235" s="21"/>
      <c r="CC235" s="21"/>
      <c r="CD235" s="21"/>
      <c r="CE235" s="21"/>
      <c r="CF235" s="21"/>
      <c r="CG235" s="21"/>
      <c r="CH235" s="21"/>
      <c r="CI235" s="21"/>
      <c r="CJ235" s="21"/>
      <c r="CK235" s="21"/>
      <c r="CL235" s="21"/>
      <c r="CM235" s="21"/>
      <c r="CN235" s="21"/>
      <c r="CO235" s="21"/>
      <c r="CP235" s="21"/>
      <c r="CQ235" s="21"/>
      <c r="CR235" s="21"/>
      <c r="CS235" s="21"/>
      <c r="CT235" s="21"/>
      <c r="CU235" s="21"/>
      <c r="CV235" s="21"/>
      <c r="CW235" s="21"/>
      <c r="CX235" s="21"/>
      <c r="CY235" s="21"/>
      <c r="CZ235" s="21"/>
      <c r="DA235" s="21"/>
      <c r="DB235" s="21"/>
      <c r="DC235" s="21"/>
      <c r="DD235" s="21"/>
      <c r="DE235" s="21"/>
      <c r="DF235" s="21"/>
    </row>
    <row r="236" spans="1:110" s="14" customFormat="1" x14ac:dyDescent="0.3">
      <c r="A236" s="21" t="s">
        <v>32</v>
      </c>
      <c r="B236" s="21" t="s">
        <v>290</v>
      </c>
      <c r="C236" s="21" t="s">
        <v>367</v>
      </c>
      <c r="D236" s="42">
        <f>$D$235*(1 - inputs!$E$38)</f>
        <v>15633.729292644848</v>
      </c>
      <c r="E236" s="21" t="str">
        <f t="shared" ca="1" si="4"/>
        <v>=$D$235*(1 - inputs!$E$38)</v>
      </c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  <c r="CA236" s="21"/>
      <c r="CB236" s="21"/>
      <c r="CC236" s="21"/>
      <c r="CD236" s="21"/>
      <c r="CE236" s="21"/>
      <c r="CF236" s="21"/>
      <c r="CG236" s="21"/>
      <c r="CH236" s="21"/>
      <c r="CI236" s="21"/>
      <c r="CJ236" s="21"/>
      <c r="CK236" s="21"/>
      <c r="CL236" s="21"/>
      <c r="CM236" s="21"/>
      <c r="CN236" s="21"/>
      <c r="CO236" s="21"/>
      <c r="CP236" s="21"/>
      <c r="CQ236" s="21"/>
      <c r="CR236" s="21"/>
      <c r="CS236" s="21"/>
      <c r="CT236" s="21"/>
      <c r="CU236" s="21"/>
      <c r="CV236" s="21"/>
      <c r="CW236" s="21"/>
      <c r="CX236" s="21"/>
      <c r="CY236" s="21"/>
      <c r="CZ236" s="21"/>
      <c r="DA236" s="21"/>
      <c r="DB236" s="21"/>
      <c r="DC236" s="21"/>
      <c r="DD236" s="21"/>
      <c r="DE236" s="21"/>
      <c r="DF236" s="21"/>
    </row>
    <row r="237" spans="1:110" s="14" customFormat="1" x14ac:dyDescent="0.3">
      <c r="A237" s="21" t="s">
        <v>32</v>
      </c>
      <c r="B237" s="21" t="s">
        <v>290</v>
      </c>
      <c r="C237" s="21" t="s">
        <v>368</v>
      </c>
      <c r="D237" s="42">
        <f>$D$236*(1 - inputs!$E$38)</f>
        <v>15602.461834059559</v>
      </c>
      <c r="E237" s="21" t="str">
        <f t="shared" ca="1" si="4"/>
        <v>=$D$236*(1 - inputs!$E$38)</v>
      </c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  <c r="CA237" s="21"/>
      <c r="CB237" s="21"/>
      <c r="CC237" s="21"/>
      <c r="CD237" s="21"/>
      <c r="CE237" s="21"/>
      <c r="CF237" s="21"/>
      <c r="CG237" s="21"/>
      <c r="CH237" s="21"/>
      <c r="CI237" s="21"/>
      <c r="CJ237" s="21"/>
      <c r="CK237" s="21"/>
      <c r="CL237" s="21"/>
      <c r="CM237" s="21"/>
      <c r="CN237" s="21"/>
      <c r="CO237" s="21"/>
      <c r="CP237" s="21"/>
      <c r="CQ237" s="21"/>
      <c r="CR237" s="21"/>
      <c r="CS237" s="21"/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  <c r="DF237" s="21"/>
    </row>
    <row r="238" spans="1:110" s="16" customFormat="1" x14ac:dyDescent="0.3">
      <c r="A238" s="21" t="s">
        <v>32</v>
      </c>
      <c r="B238" s="21" t="s">
        <v>290</v>
      </c>
      <c r="C238" s="21" t="s">
        <v>369</v>
      </c>
      <c r="D238" s="42">
        <f>$D$157-$D$157*inputs!$E$33</f>
        <v>0</v>
      </c>
      <c r="E238" s="21" t="str">
        <f t="shared" ca="1" si="4"/>
        <v>=$D$157-$D$157*inputs!$E$33</v>
      </c>
      <c r="F238" s="21" t="s">
        <v>817</v>
      </c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  <c r="CA238" s="21"/>
      <c r="CB238" s="21"/>
      <c r="CC238" s="21"/>
      <c r="CD238" s="21"/>
      <c r="CE238" s="21"/>
      <c r="CF238" s="21"/>
      <c r="CG238" s="21"/>
      <c r="CH238" s="21"/>
      <c r="CI238" s="21"/>
      <c r="CJ238" s="21"/>
      <c r="CK238" s="21"/>
      <c r="CL238" s="21"/>
      <c r="CM238" s="21"/>
      <c r="CN238" s="21"/>
      <c r="CO238" s="21"/>
      <c r="CP238" s="21"/>
      <c r="CQ238" s="21"/>
      <c r="CR238" s="21"/>
      <c r="CS238" s="21"/>
      <c r="CT238" s="21"/>
      <c r="CU238" s="21"/>
      <c r="CV238" s="21"/>
      <c r="CW238" s="21"/>
      <c r="CX238" s="21"/>
      <c r="CY238" s="21"/>
      <c r="CZ238" s="21"/>
      <c r="DA238" s="21"/>
      <c r="DB238" s="21"/>
      <c r="DC238" s="21"/>
      <c r="DD238" s="21"/>
      <c r="DE238" s="21"/>
      <c r="DF238" s="21"/>
    </row>
    <row r="239" spans="1:110" s="16" customFormat="1" x14ac:dyDescent="0.3">
      <c r="A239" s="21" t="s">
        <v>32</v>
      </c>
      <c r="B239" s="21" t="s">
        <v>290</v>
      </c>
      <c r="C239" s="21" t="s">
        <v>370</v>
      </c>
      <c r="D239" s="42">
        <f>D238-D238*inputs!$E$33</f>
        <v>0</v>
      </c>
      <c r="E239" s="21" t="str">
        <f t="shared" ca="1" si="4"/>
        <v>=D238-D238*inputs!$E$33</v>
      </c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  <c r="CA239" s="21"/>
      <c r="CB239" s="21"/>
      <c r="CC239" s="21"/>
      <c r="CD239" s="21"/>
      <c r="CE239" s="21"/>
      <c r="CF239" s="21"/>
      <c r="CG239" s="21"/>
      <c r="CH239" s="21"/>
      <c r="CI239" s="21"/>
      <c r="CJ239" s="21"/>
      <c r="CK239" s="21"/>
      <c r="CL239" s="21"/>
      <c r="CM239" s="21"/>
      <c r="CN239" s="21"/>
      <c r="CO239" s="21"/>
      <c r="CP239" s="21"/>
      <c r="CQ239" s="21"/>
      <c r="CR239" s="21"/>
      <c r="CS239" s="21"/>
      <c r="CT239" s="21"/>
      <c r="CU239" s="21"/>
      <c r="CV239" s="21"/>
      <c r="CW239" s="21"/>
      <c r="CX239" s="21"/>
      <c r="CY239" s="21"/>
      <c r="CZ239" s="21"/>
      <c r="DA239" s="21"/>
      <c r="DB239" s="21"/>
      <c r="DC239" s="21"/>
      <c r="DD239" s="21"/>
      <c r="DE239" s="21"/>
      <c r="DF239" s="21"/>
    </row>
    <row r="240" spans="1:110" s="16" customFormat="1" x14ac:dyDescent="0.3">
      <c r="A240" s="21" t="s">
        <v>32</v>
      </c>
      <c r="B240" s="21" t="s">
        <v>290</v>
      </c>
      <c r="C240" s="21" t="s">
        <v>371</v>
      </c>
      <c r="D240" s="42">
        <f>D239-D239*inputs!$E$33</f>
        <v>0</v>
      </c>
      <c r="E240" s="21" t="str">
        <f t="shared" ca="1" si="4"/>
        <v>=D239-D239*inputs!$E$33</v>
      </c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21"/>
      <c r="BZ240" s="21"/>
      <c r="CA240" s="21"/>
      <c r="CB240" s="21"/>
      <c r="CC240" s="21"/>
      <c r="CD240" s="21"/>
      <c r="CE240" s="21"/>
      <c r="CF240" s="21"/>
      <c r="CG240" s="21"/>
      <c r="CH240" s="21"/>
      <c r="CI240" s="21"/>
      <c r="CJ240" s="21"/>
      <c r="CK240" s="21"/>
      <c r="CL240" s="21"/>
      <c r="CM240" s="21"/>
      <c r="CN240" s="21"/>
      <c r="CO240" s="21"/>
      <c r="CP240" s="21"/>
      <c r="CQ240" s="21"/>
      <c r="CR240" s="21"/>
      <c r="CS240" s="21"/>
      <c r="CT240" s="21"/>
      <c r="CU240" s="21"/>
      <c r="CV240" s="21"/>
      <c r="CW240" s="21"/>
      <c r="CX240" s="21"/>
      <c r="CY240" s="21"/>
      <c r="CZ240" s="21"/>
      <c r="DA240" s="21"/>
      <c r="DB240" s="21"/>
      <c r="DC240" s="21"/>
      <c r="DD240" s="21"/>
      <c r="DE240" s="21"/>
      <c r="DF240" s="21"/>
    </row>
    <row r="241" spans="1:110" s="16" customFormat="1" x14ac:dyDescent="0.3">
      <c r="A241" s="21" t="s">
        <v>32</v>
      </c>
      <c r="B241" s="21" t="s">
        <v>290</v>
      </c>
      <c r="C241" s="21" t="s">
        <v>372</v>
      </c>
      <c r="D241" s="42">
        <f>D240-D240*inputs!$E$33</f>
        <v>0</v>
      </c>
      <c r="E241" s="21" t="str">
        <f t="shared" ca="1" si="4"/>
        <v>=D240-D240*inputs!$E$33</v>
      </c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21"/>
      <c r="BZ241" s="21"/>
      <c r="CA241" s="21"/>
      <c r="CB241" s="21"/>
      <c r="CC241" s="21"/>
      <c r="CD241" s="21"/>
      <c r="CE241" s="21"/>
      <c r="CF241" s="21"/>
      <c r="CG241" s="21"/>
      <c r="CH241" s="21"/>
      <c r="CI241" s="21"/>
      <c r="CJ241" s="21"/>
      <c r="CK241" s="21"/>
      <c r="CL241" s="21"/>
      <c r="CM241" s="21"/>
      <c r="CN241" s="21"/>
      <c r="CO241" s="21"/>
      <c r="CP241" s="21"/>
      <c r="CQ241" s="21"/>
      <c r="CR241" s="21"/>
      <c r="CS241" s="21"/>
      <c r="CT241" s="21"/>
      <c r="CU241" s="21"/>
      <c r="CV241" s="21"/>
      <c r="CW241" s="21"/>
      <c r="CX241" s="21"/>
      <c r="CY241" s="21"/>
      <c r="CZ241" s="21"/>
      <c r="DA241" s="21"/>
      <c r="DB241" s="21"/>
      <c r="DC241" s="21"/>
      <c r="DD241" s="21"/>
      <c r="DE241" s="21"/>
      <c r="DF241" s="21"/>
    </row>
    <row r="242" spans="1:110" s="16" customFormat="1" x14ac:dyDescent="0.3">
      <c r="A242" s="21" t="s">
        <v>32</v>
      </c>
      <c r="B242" s="21" t="s">
        <v>290</v>
      </c>
      <c r="C242" s="21" t="s">
        <v>373</v>
      </c>
      <c r="D242" s="42">
        <f>D241-D241*inputs!$E$34</f>
        <v>0</v>
      </c>
      <c r="E242" s="21" t="str">
        <f t="shared" ca="1" si="4"/>
        <v>=D241-D241*inputs!$E$34</v>
      </c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21"/>
      <c r="BZ242" s="21"/>
      <c r="CA242" s="21"/>
      <c r="CB242" s="21"/>
      <c r="CC242" s="21"/>
      <c r="CD242" s="21"/>
      <c r="CE242" s="21"/>
      <c r="CF242" s="21"/>
      <c r="CG242" s="21"/>
      <c r="CH242" s="21"/>
      <c r="CI242" s="21"/>
      <c r="CJ242" s="21"/>
      <c r="CK242" s="21"/>
      <c r="CL242" s="21"/>
      <c r="CM242" s="21"/>
      <c r="CN242" s="21"/>
      <c r="CO242" s="21"/>
      <c r="CP242" s="21"/>
      <c r="CQ242" s="21"/>
      <c r="CR242" s="21"/>
      <c r="CS242" s="21"/>
      <c r="CT242" s="21"/>
      <c r="CU242" s="21"/>
      <c r="CV242" s="21"/>
      <c r="CW242" s="21"/>
      <c r="CX242" s="21"/>
      <c r="CY242" s="21"/>
      <c r="CZ242" s="21"/>
      <c r="DA242" s="21"/>
      <c r="DB242" s="21"/>
      <c r="DC242" s="21"/>
      <c r="DD242" s="21"/>
      <c r="DE242" s="21"/>
      <c r="DF242" s="21"/>
    </row>
    <row r="243" spans="1:110" s="16" customFormat="1" x14ac:dyDescent="0.3">
      <c r="A243" s="21" t="s">
        <v>32</v>
      </c>
      <c r="B243" s="21" t="s">
        <v>290</v>
      </c>
      <c r="C243" s="21" t="s">
        <v>374</v>
      </c>
      <c r="D243" s="42">
        <f>D242-D242*inputs!$E$34</f>
        <v>0</v>
      </c>
      <c r="E243" s="21" t="str">
        <f t="shared" ca="1" si="4"/>
        <v>=D242-D242*inputs!$E$34</v>
      </c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21"/>
      <c r="BZ243" s="21"/>
      <c r="CA243" s="21"/>
      <c r="CB243" s="21"/>
      <c r="CC243" s="21"/>
      <c r="CD243" s="21"/>
      <c r="CE243" s="21"/>
      <c r="CF243" s="21"/>
      <c r="CG243" s="21"/>
      <c r="CH243" s="21"/>
      <c r="CI243" s="21"/>
      <c r="CJ243" s="21"/>
      <c r="CK243" s="21"/>
      <c r="CL243" s="21"/>
      <c r="CM243" s="21"/>
      <c r="CN243" s="21"/>
      <c r="CO243" s="21"/>
      <c r="CP243" s="21"/>
      <c r="CQ243" s="21"/>
      <c r="CR243" s="21"/>
      <c r="CS243" s="21"/>
      <c r="CT243" s="21"/>
      <c r="CU243" s="21"/>
      <c r="CV243" s="21"/>
      <c r="CW243" s="21"/>
      <c r="CX243" s="21"/>
      <c r="CY243" s="21"/>
      <c r="CZ243" s="21"/>
      <c r="DA243" s="21"/>
      <c r="DB243" s="21"/>
      <c r="DC243" s="21"/>
      <c r="DD243" s="21"/>
      <c r="DE243" s="21"/>
      <c r="DF243" s="21"/>
    </row>
    <row r="244" spans="1:110" s="16" customFormat="1" x14ac:dyDescent="0.3">
      <c r="A244" s="21" t="s">
        <v>32</v>
      </c>
      <c r="B244" s="21" t="s">
        <v>290</v>
      </c>
      <c r="C244" s="21" t="s">
        <v>375</v>
      </c>
      <c r="D244" s="42">
        <f>D243-D243*inputs!$E$34</f>
        <v>0</v>
      </c>
      <c r="E244" s="21" t="str">
        <f t="shared" ca="1" si="4"/>
        <v>=D243-D243*inputs!$E$34</v>
      </c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21"/>
      <c r="BZ244" s="21"/>
      <c r="CA244" s="21"/>
      <c r="CB244" s="21"/>
      <c r="CC244" s="21"/>
      <c r="CD244" s="21"/>
      <c r="CE244" s="21"/>
      <c r="CF244" s="21"/>
      <c r="CG244" s="21"/>
      <c r="CH244" s="21"/>
      <c r="CI244" s="21"/>
      <c r="CJ244" s="21"/>
      <c r="CK244" s="21"/>
      <c r="CL244" s="21"/>
      <c r="CM244" s="21"/>
      <c r="CN244" s="21"/>
      <c r="CO244" s="21"/>
      <c r="CP244" s="21"/>
      <c r="CQ244" s="21"/>
      <c r="CR244" s="21"/>
      <c r="CS244" s="21"/>
      <c r="CT244" s="21"/>
      <c r="CU244" s="21"/>
      <c r="CV244" s="21"/>
      <c r="CW244" s="21"/>
      <c r="CX244" s="21"/>
      <c r="CY244" s="21"/>
      <c r="CZ244" s="21"/>
      <c r="DA244" s="21"/>
      <c r="DB244" s="21"/>
      <c r="DC244" s="21"/>
      <c r="DD244" s="21"/>
      <c r="DE244" s="21"/>
      <c r="DF244" s="21"/>
    </row>
    <row r="245" spans="1:110" s="16" customFormat="1" x14ac:dyDescent="0.3">
      <c r="A245" s="21" t="s">
        <v>32</v>
      </c>
      <c r="B245" s="21" t="s">
        <v>290</v>
      </c>
      <c r="C245" s="21" t="s">
        <v>376</v>
      </c>
      <c r="D245" s="42">
        <f>D244-D244*inputs!$E$34</f>
        <v>0</v>
      </c>
      <c r="E245" s="21" t="str">
        <f t="shared" ca="1" si="4"/>
        <v>=D244-D244*inputs!$E$34</v>
      </c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21"/>
      <c r="BZ245" s="21"/>
      <c r="CA245" s="21"/>
      <c r="CB245" s="21"/>
      <c r="CC245" s="21"/>
      <c r="CD245" s="21"/>
      <c r="CE245" s="21"/>
      <c r="CF245" s="21"/>
      <c r="CG245" s="21"/>
      <c r="CH245" s="21"/>
      <c r="CI245" s="21"/>
      <c r="CJ245" s="21"/>
      <c r="CK245" s="21"/>
      <c r="CL245" s="21"/>
      <c r="CM245" s="21"/>
      <c r="CN245" s="21"/>
      <c r="CO245" s="21"/>
      <c r="CP245" s="21"/>
      <c r="CQ245" s="21"/>
      <c r="CR245" s="21"/>
      <c r="CS245" s="21"/>
      <c r="CT245" s="21"/>
      <c r="CU245" s="21"/>
      <c r="CV245" s="21"/>
      <c r="CW245" s="21"/>
      <c r="CX245" s="21"/>
      <c r="CY245" s="21"/>
      <c r="CZ245" s="21"/>
      <c r="DA245" s="21"/>
      <c r="DB245" s="21"/>
      <c r="DC245" s="21"/>
      <c r="DD245" s="21"/>
      <c r="DE245" s="21"/>
      <c r="DF245" s="21"/>
    </row>
    <row r="246" spans="1:110" s="16" customFormat="1" x14ac:dyDescent="0.3">
      <c r="A246" s="21" t="s">
        <v>32</v>
      </c>
      <c r="B246" s="21" t="s">
        <v>290</v>
      </c>
      <c r="C246" s="21" t="s">
        <v>377</v>
      </c>
      <c r="D246" s="42">
        <f>D245-D245*inputs!$E$34</f>
        <v>0</v>
      </c>
      <c r="E246" s="21" t="str">
        <f t="shared" ca="1" si="4"/>
        <v>=D245-D245*inputs!$E$34</v>
      </c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21"/>
      <c r="BZ246" s="21"/>
      <c r="CA246" s="21"/>
      <c r="CB246" s="21"/>
      <c r="CC246" s="21"/>
      <c r="CD246" s="21"/>
      <c r="CE246" s="21"/>
      <c r="CF246" s="21"/>
      <c r="CG246" s="21"/>
      <c r="CH246" s="21"/>
      <c r="CI246" s="21"/>
      <c r="CJ246" s="21"/>
      <c r="CK246" s="21"/>
      <c r="CL246" s="21"/>
      <c r="CM246" s="21"/>
      <c r="CN246" s="21"/>
      <c r="CO246" s="21"/>
      <c r="CP246" s="21"/>
      <c r="CQ246" s="21"/>
      <c r="CR246" s="21"/>
      <c r="CS246" s="21"/>
      <c r="CT246" s="21"/>
      <c r="CU246" s="21"/>
      <c r="CV246" s="21"/>
      <c r="CW246" s="21"/>
      <c r="CX246" s="21"/>
      <c r="CY246" s="21"/>
      <c r="CZ246" s="21"/>
      <c r="DA246" s="21"/>
      <c r="DB246" s="21"/>
      <c r="DC246" s="21"/>
      <c r="DD246" s="21"/>
      <c r="DE246" s="21"/>
      <c r="DF246" s="21"/>
    </row>
    <row r="247" spans="1:110" s="16" customFormat="1" x14ac:dyDescent="0.3">
      <c r="A247" s="21" t="s">
        <v>32</v>
      </c>
      <c r="B247" s="21" t="s">
        <v>290</v>
      </c>
      <c r="C247" s="21" t="s">
        <v>378</v>
      </c>
      <c r="D247" s="42">
        <f>D246-D246*inputs!$E$35</f>
        <v>0</v>
      </c>
      <c r="E247" s="21" t="str">
        <f t="shared" ca="1" si="4"/>
        <v>=D246-D246*inputs!$E$35</v>
      </c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21"/>
      <c r="BZ247" s="21"/>
      <c r="CA247" s="21"/>
      <c r="CB247" s="21"/>
      <c r="CC247" s="21"/>
      <c r="CD247" s="21"/>
      <c r="CE247" s="21"/>
      <c r="CF247" s="21"/>
      <c r="CG247" s="21"/>
      <c r="CH247" s="21"/>
      <c r="CI247" s="21"/>
      <c r="CJ247" s="21"/>
      <c r="CK247" s="21"/>
      <c r="CL247" s="21"/>
      <c r="CM247" s="21"/>
      <c r="CN247" s="21"/>
      <c r="CO247" s="21"/>
      <c r="CP247" s="21"/>
      <c r="CQ247" s="21"/>
      <c r="CR247" s="21"/>
      <c r="CS247" s="21"/>
      <c r="CT247" s="21"/>
      <c r="CU247" s="21"/>
      <c r="CV247" s="21"/>
      <c r="CW247" s="21"/>
      <c r="CX247" s="21"/>
      <c r="CY247" s="21"/>
      <c r="CZ247" s="21"/>
      <c r="DA247" s="21"/>
      <c r="DB247" s="21"/>
      <c r="DC247" s="21"/>
      <c r="DD247" s="21"/>
      <c r="DE247" s="21"/>
      <c r="DF247" s="21"/>
    </row>
    <row r="248" spans="1:110" s="16" customFormat="1" x14ac:dyDescent="0.3">
      <c r="A248" s="21" t="s">
        <v>32</v>
      </c>
      <c r="B248" s="21" t="s">
        <v>290</v>
      </c>
      <c r="C248" s="21" t="s">
        <v>379</v>
      </c>
      <c r="D248" s="42">
        <f>D247-D247*inputs!$E$35</f>
        <v>0</v>
      </c>
      <c r="E248" s="21" t="str">
        <f t="shared" ca="1" si="4"/>
        <v>=D247-D247*inputs!$E$35</v>
      </c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21"/>
      <c r="BZ248" s="21"/>
      <c r="CA248" s="21"/>
      <c r="CB248" s="21"/>
      <c r="CC248" s="21"/>
      <c r="CD248" s="21"/>
      <c r="CE248" s="21"/>
      <c r="CF248" s="21"/>
      <c r="CG248" s="21"/>
      <c r="CH248" s="21"/>
      <c r="CI248" s="21"/>
      <c r="CJ248" s="21"/>
      <c r="CK248" s="21"/>
      <c r="CL248" s="21"/>
      <c r="CM248" s="21"/>
      <c r="CN248" s="21"/>
      <c r="CO248" s="21"/>
      <c r="CP248" s="21"/>
      <c r="CQ248" s="21"/>
      <c r="CR248" s="21"/>
      <c r="CS248" s="21"/>
      <c r="CT248" s="21"/>
      <c r="CU248" s="21"/>
      <c r="CV248" s="21"/>
      <c r="CW248" s="21"/>
      <c r="CX248" s="21"/>
      <c r="CY248" s="21"/>
      <c r="CZ248" s="21"/>
      <c r="DA248" s="21"/>
      <c r="DB248" s="21"/>
      <c r="DC248" s="21"/>
      <c r="DD248" s="21"/>
      <c r="DE248" s="21"/>
      <c r="DF248" s="21"/>
    </row>
    <row r="249" spans="1:110" s="16" customFormat="1" x14ac:dyDescent="0.3">
      <c r="A249" s="21" t="s">
        <v>32</v>
      </c>
      <c r="B249" s="21" t="s">
        <v>290</v>
      </c>
      <c r="C249" s="21" t="s">
        <v>380</v>
      </c>
      <c r="D249" s="42">
        <f>D248-D248*inputs!$E$35</f>
        <v>0</v>
      </c>
      <c r="E249" s="21" t="str">
        <f t="shared" ca="1" si="4"/>
        <v>=D248-D248*inputs!$E$35</v>
      </c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21"/>
      <c r="BZ249" s="21"/>
      <c r="CA249" s="21"/>
      <c r="CB249" s="21"/>
      <c r="CC249" s="21"/>
      <c r="CD249" s="21"/>
      <c r="CE249" s="21"/>
      <c r="CF249" s="21"/>
      <c r="CG249" s="21"/>
      <c r="CH249" s="21"/>
      <c r="CI249" s="21"/>
      <c r="CJ249" s="21"/>
      <c r="CK249" s="21"/>
      <c r="CL249" s="21"/>
      <c r="CM249" s="21"/>
      <c r="CN249" s="21"/>
      <c r="CO249" s="21"/>
      <c r="CP249" s="21"/>
      <c r="CQ249" s="21"/>
      <c r="CR249" s="21"/>
      <c r="CS249" s="21"/>
      <c r="CT249" s="21"/>
      <c r="CU249" s="21"/>
      <c r="CV249" s="21"/>
      <c r="CW249" s="21"/>
      <c r="CX249" s="21"/>
      <c r="CY249" s="21"/>
      <c r="CZ249" s="21"/>
      <c r="DA249" s="21"/>
      <c r="DB249" s="21"/>
      <c r="DC249" s="21"/>
      <c r="DD249" s="21"/>
      <c r="DE249" s="21"/>
      <c r="DF249" s="21"/>
    </row>
    <row r="250" spans="1:110" s="16" customFormat="1" x14ac:dyDescent="0.3">
      <c r="A250" s="21" t="s">
        <v>32</v>
      </c>
      <c r="B250" s="21" t="s">
        <v>290</v>
      </c>
      <c r="C250" s="21" t="s">
        <v>381</v>
      </c>
      <c r="D250" s="42">
        <f>D249-D249*inputs!$E$35</f>
        <v>0</v>
      </c>
      <c r="E250" s="21" t="str">
        <f t="shared" ca="1" si="4"/>
        <v>=D249-D249*inputs!$E$35</v>
      </c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21"/>
      <c r="BZ250" s="21"/>
      <c r="CA250" s="21"/>
      <c r="CB250" s="21"/>
      <c r="CC250" s="21"/>
      <c r="CD250" s="21"/>
      <c r="CE250" s="21"/>
      <c r="CF250" s="21"/>
      <c r="CG250" s="21"/>
      <c r="CH250" s="21"/>
      <c r="CI250" s="21"/>
      <c r="CJ250" s="21"/>
      <c r="CK250" s="21"/>
      <c r="CL250" s="21"/>
      <c r="CM250" s="21"/>
      <c r="CN250" s="21"/>
      <c r="CO250" s="21"/>
      <c r="CP250" s="21"/>
      <c r="CQ250" s="21"/>
      <c r="CR250" s="21"/>
      <c r="CS250" s="21"/>
      <c r="CT250" s="21"/>
      <c r="CU250" s="21"/>
      <c r="CV250" s="21"/>
      <c r="CW250" s="21"/>
      <c r="CX250" s="21"/>
      <c r="CY250" s="21"/>
      <c r="CZ250" s="21"/>
      <c r="DA250" s="21"/>
      <c r="DB250" s="21"/>
      <c r="DC250" s="21"/>
      <c r="DD250" s="21"/>
      <c r="DE250" s="21"/>
      <c r="DF250" s="21"/>
    </row>
    <row r="251" spans="1:110" s="16" customFormat="1" x14ac:dyDescent="0.3">
      <c r="A251" s="21" t="s">
        <v>32</v>
      </c>
      <c r="B251" s="21" t="s">
        <v>290</v>
      </c>
      <c r="C251" s="21" t="s">
        <v>382</v>
      </c>
      <c r="D251" s="42">
        <f>D250-D250*inputs!$E$35</f>
        <v>0</v>
      </c>
      <c r="E251" s="21" t="str">
        <f t="shared" ca="1" si="4"/>
        <v>=D250-D250*inputs!$E$35</v>
      </c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21"/>
      <c r="BZ251" s="21"/>
      <c r="CA251" s="21"/>
      <c r="CB251" s="21"/>
      <c r="CC251" s="21"/>
      <c r="CD251" s="21"/>
      <c r="CE251" s="21"/>
      <c r="CF251" s="21"/>
      <c r="CG251" s="21"/>
      <c r="CH251" s="21"/>
      <c r="CI251" s="21"/>
      <c r="CJ251" s="21"/>
      <c r="CK251" s="21"/>
      <c r="CL251" s="21"/>
      <c r="CM251" s="21"/>
      <c r="CN251" s="21"/>
      <c r="CO251" s="21"/>
      <c r="CP251" s="21"/>
      <c r="CQ251" s="21"/>
      <c r="CR251" s="21"/>
      <c r="CS251" s="21"/>
      <c r="CT251" s="21"/>
      <c r="CU251" s="21"/>
      <c r="CV251" s="21"/>
      <c r="CW251" s="21"/>
      <c r="CX251" s="21"/>
      <c r="CY251" s="21"/>
      <c r="CZ251" s="21"/>
      <c r="DA251" s="21"/>
      <c r="DB251" s="21"/>
      <c r="DC251" s="21"/>
      <c r="DD251" s="21"/>
      <c r="DE251" s="21"/>
      <c r="DF251" s="21"/>
    </row>
    <row r="252" spans="1:110" s="16" customFormat="1" x14ac:dyDescent="0.3">
      <c r="A252" s="21" t="s">
        <v>32</v>
      </c>
      <c r="B252" s="21" t="s">
        <v>290</v>
      </c>
      <c r="C252" s="21" t="s">
        <v>383</v>
      </c>
      <c r="D252" s="42">
        <f>D251-D251*inputs!$E$35</f>
        <v>0</v>
      </c>
      <c r="E252" s="21" t="str">
        <f t="shared" ca="1" si="4"/>
        <v>=D251-D251*inputs!$E$35</v>
      </c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21"/>
      <c r="BZ252" s="21"/>
      <c r="CA252" s="21"/>
      <c r="CB252" s="21"/>
      <c r="CC252" s="21"/>
      <c r="CD252" s="21"/>
      <c r="CE252" s="21"/>
      <c r="CF252" s="21"/>
      <c r="CG252" s="21"/>
      <c r="CH252" s="21"/>
      <c r="CI252" s="21"/>
      <c r="CJ252" s="21"/>
      <c r="CK252" s="21"/>
      <c r="CL252" s="21"/>
      <c r="CM252" s="21"/>
      <c r="CN252" s="21"/>
      <c r="CO252" s="21"/>
      <c r="CP252" s="21"/>
      <c r="CQ252" s="21"/>
      <c r="CR252" s="21"/>
      <c r="CS252" s="21"/>
      <c r="CT252" s="21"/>
      <c r="CU252" s="21"/>
      <c r="CV252" s="21"/>
      <c r="CW252" s="21"/>
      <c r="CX252" s="21"/>
      <c r="CY252" s="21"/>
      <c r="CZ252" s="21"/>
      <c r="DA252" s="21"/>
      <c r="DB252" s="21"/>
      <c r="DC252" s="21"/>
      <c r="DD252" s="21"/>
      <c r="DE252" s="21"/>
      <c r="DF252" s="21"/>
    </row>
    <row r="253" spans="1:110" s="16" customFormat="1" x14ac:dyDescent="0.3">
      <c r="A253" s="21" t="s">
        <v>32</v>
      </c>
      <c r="B253" s="21" t="s">
        <v>290</v>
      </c>
      <c r="C253" s="21" t="s">
        <v>384</v>
      </c>
      <c r="D253" s="42">
        <f>D252-D252*inputs!$E$35</f>
        <v>0</v>
      </c>
      <c r="E253" s="21" t="str">
        <f t="shared" ca="1" si="4"/>
        <v>=D252-D252*inputs!$E$35</v>
      </c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21"/>
      <c r="BZ253" s="21"/>
      <c r="CA253" s="21"/>
      <c r="CB253" s="21"/>
      <c r="CC253" s="21"/>
      <c r="CD253" s="21"/>
      <c r="CE253" s="21"/>
      <c r="CF253" s="21"/>
      <c r="CG253" s="21"/>
      <c r="CH253" s="21"/>
      <c r="CI253" s="21"/>
      <c r="CJ253" s="21"/>
      <c r="CK253" s="21"/>
      <c r="CL253" s="21"/>
      <c r="CM253" s="21"/>
      <c r="CN253" s="21"/>
      <c r="CO253" s="21"/>
      <c r="CP253" s="21"/>
      <c r="CQ253" s="21"/>
      <c r="CR253" s="21"/>
      <c r="CS253" s="21"/>
      <c r="CT253" s="21"/>
      <c r="CU253" s="21"/>
      <c r="CV253" s="21"/>
      <c r="CW253" s="21"/>
      <c r="CX253" s="21"/>
      <c r="CY253" s="21"/>
      <c r="CZ253" s="21"/>
      <c r="DA253" s="21"/>
      <c r="DB253" s="21"/>
      <c r="DC253" s="21"/>
      <c r="DD253" s="21"/>
      <c r="DE253" s="21"/>
      <c r="DF253" s="21"/>
    </row>
    <row r="254" spans="1:110" s="16" customFormat="1" x14ac:dyDescent="0.3">
      <c r="A254" s="21" t="s">
        <v>32</v>
      </c>
      <c r="B254" s="21" t="s">
        <v>290</v>
      </c>
      <c r="C254" s="21" t="s">
        <v>385</v>
      </c>
      <c r="D254" s="42">
        <f>D253-D253*inputs!$E$35</f>
        <v>0</v>
      </c>
      <c r="E254" s="21" t="str">
        <f t="shared" ca="1" si="4"/>
        <v>=D253-D253*inputs!$E$35</v>
      </c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21"/>
      <c r="BZ254" s="21"/>
      <c r="CA254" s="21"/>
      <c r="CB254" s="21"/>
      <c r="CC254" s="21"/>
      <c r="CD254" s="21"/>
      <c r="CE254" s="21"/>
      <c r="CF254" s="21"/>
      <c r="CG254" s="21"/>
      <c r="CH254" s="21"/>
      <c r="CI254" s="21"/>
      <c r="CJ254" s="21"/>
      <c r="CK254" s="21"/>
      <c r="CL254" s="21"/>
      <c r="CM254" s="21"/>
      <c r="CN254" s="21"/>
      <c r="CO254" s="21"/>
      <c r="CP254" s="21"/>
      <c r="CQ254" s="21"/>
      <c r="CR254" s="21"/>
      <c r="CS254" s="21"/>
      <c r="CT254" s="21"/>
      <c r="CU254" s="21"/>
      <c r="CV254" s="21"/>
      <c r="CW254" s="21"/>
      <c r="CX254" s="21"/>
      <c r="CY254" s="21"/>
      <c r="CZ254" s="21"/>
      <c r="DA254" s="21"/>
      <c r="DB254" s="21"/>
      <c r="DC254" s="21"/>
      <c r="DD254" s="21"/>
      <c r="DE254" s="21"/>
      <c r="DF254" s="21"/>
    </row>
    <row r="255" spans="1:110" s="16" customFormat="1" x14ac:dyDescent="0.3">
      <c r="A255" s="21" t="s">
        <v>32</v>
      </c>
      <c r="B255" s="21" t="s">
        <v>290</v>
      </c>
      <c r="C255" s="21" t="s">
        <v>386</v>
      </c>
      <c r="D255" s="42">
        <f>D254-D254*inputs!$E$35</f>
        <v>0</v>
      </c>
      <c r="E255" s="21" t="str">
        <f t="shared" ca="1" si="4"/>
        <v>=D254-D254*inputs!$E$35</v>
      </c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21"/>
      <c r="BZ255" s="21"/>
      <c r="CA255" s="21"/>
      <c r="CB255" s="21"/>
      <c r="CC255" s="21"/>
      <c r="CD255" s="21"/>
      <c r="CE255" s="21"/>
      <c r="CF255" s="21"/>
      <c r="CG255" s="21"/>
      <c r="CH255" s="21"/>
      <c r="CI255" s="21"/>
      <c r="CJ255" s="21"/>
      <c r="CK255" s="21"/>
      <c r="CL255" s="21"/>
      <c r="CM255" s="21"/>
      <c r="CN255" s="21"/>
      <c r="CO255" s="21"/>
      <c r="CP255" s="21"/>
      <c r="CQ255" s="21"/>
      <c r="CR255" s="21"/>
      <c r="CS255" s="21"/>
      <c r="CT255" s="21"/>
      <c r="CU255" s="21"/>
      <c r="CV255" s="21"/>
      <c r="CW255" s="21"/>
      <c r="CX255" s="21"/>
      <c r="CY255" s="21"/>
      <c r="CZ255" s="21"/>
      <c r="DA255" s="21"/>
      <c r="DB255" s="21"/>
      <c r="DC255" s="21"/>
      <c r="DD255" s="21"/>
      <c r="DE255" s="21"/>
      <c r="DF255" s="21"/>
    </row>
    <row r="256" spans="1:110" s="16" customFormat="1" x14ac:dyDescent="0.3">
      <c r="A256" s="21" t="s">
        <v>32</v>
      </c>
      <c r="B256" s="21" t="s">
        <v>290</v>
      </c>
      <c r="C256" s="21" t="s">
        <v>387</v>
      </c>
      <c r="D256" s="42">
        <f>D255-D255*inputs!$E$35</f>
        <v>0</v>
      </c>
      <c r="E256" s="21" t="str">
        <f t="shared" ca="1" si="4"/>
        <v>=D255-D255*inputs!$E$35</v>
      </c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21"/>
      <c r="BZ256" s="21"/>
      <c r="CA256" s="21"/>
      <c r="CB256" s="21"/>
      <c r="CC256" s="21"/>
      <c r="CD256" s="21"/>
      <c r="CE256" s="21"/>
      <c r="CF256" s="21"/>
      <c r="CG256" s="21"/>
      <c r="CH256" s="21"/>
      <c r="CI256" s="21"/>
      <c r="CJ256" s="21"/>
      <c r="CK256" s="21"/>
      <c r="CL256" s="21"/>
      <c r="CM256" s="21"/>
      <c r="CN256" s="21"/>
      <c r="CO256" s="21"/>
      <c r="CP256" s="21"/>
      <c r="CQ256" s="21"/>
      <c r="CR256" s="21"/>
      <c r="CS256" s="21"/>
      <c r="CT256" s="21"/>
      <c r="CU256" s="21"/>
      <c r="CV256" s="21"/>
      <c r="CW256" s="21"/>
      <c r="CX256" s="21"/>
      <c r="CY256" s="21"/>
      <c r="CZ256" s="21"/>
      <c r="DA256" s="21"/>
      <c r="DB256" s="21"/>
      <c r="DC256" s="21"/>
      <c r="DD256" s="21"/>
      <c r="DE256" s="21"/>
      <c r="DF256" s="21"/>
    </row>
    <row r="257" spans="1:110" s="16" customFormat="1" x14ac:dyDescent="0.3">
      <c r="A257" s="21" t="s">
        <v>32</v>
      </c>
      <c r="B257" s="21" t="s">
        <v>290</v>
      </c>
      <c r="C257" s="21" t="s">
        <v>388</v>
      </c>
      <c r="D257" s="42">
        <f>D256-D256*inputs!$E$36</f>
        <v>0</v>
      </c>
      <c r="E257" s="21" t="str">
        <f t="shared" ca="1" si="4"/>
        <v>=D256-D256*inputs!$E$36</v>
      </c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21"/>
      <c r="BZ257" s="21"/>
      <c r="CA257" s="21"/>
      <c r="CB257" s="21"/>
      <c r="CC257" s="21"/>
      <c r="CD257" s="21"/>
      <c r="CE257" s="21"/>
      <c r="CF257" s="21"/>
      <c r="CG257" s="21"/>
      <c r="CH257" s="21"/>
      <c r="CI257" s="21"/>
      <c r="CJ257" s="21"/>
      <c r="CK257" s="21"/>
      <c r="CL257" s="21"/>
      <c r="CM257" s="21"/>
      <c r="CN257" s="21"/>
      <c r="CO257" s="21"/>
      <c r="CP257" s="21"/>
      <c r="CQ257" s="21"/>
      <c r="CR257" s="21"/>
      <c r="CS257" s="21"/>
      <c r="CT257" s="21"/>
      <c r="CU257" s="21"/>
      <c r="CV257" s="21"/>
      <c r="CW257" s="21"/>
      <c r="CX257" s="21"/>
      <c r="CY257" s="21"/>
      <c r="CZ257" s="21"/>
      <c r="DA257" s="21"/>
      <c r="DB257" s="21"/>
      <c r="DC257" s="21"/>
      <c r="DD257" s="21"/>
      <c r="DE257" s="21"/>
      <c r="DF257" s="21"/>
    </row>
    <row r="258" spans="1:110" s="16" customFormat="1" x14ac:dyDescent="0.3">
      <c r="A258" s="21" t="s">
        <v>32</v>
      </c>
      <c r="B258" s="21" t="s">
        <v>290</v>
      </c>
      <c r="C258" s="21" t="s">
        <v>389</v>
      </c>
      <c r="D258" s="42">
        <f>D257-D257*inputs!$E$36</f>
        <v>0</v>
      </c>
      <c r="E258" s="21" t="str">
        <f t="shared" ca="1" si="4"/>
        <v>=D257-D257*inputs!$E$36</v>
      </c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21"/>
      <c r="BZ258" s="21"/>
      <c r="CA258" s="21"/>
      <c r="CB258" s="21"/>
      <c r="CC258" s="21"/>
      <c r="CD258" s="21"/>
      <c r="CE258" s="21"/>
      <c r="CF258" s="21"/>
      <c r="CG258" s="21"/>
      <c r="CH258" s="21"/>
      <c r="CI258" s="21"/>
      <c r="CJ258" s="21"/>
      <c r="CK258" s="21"/>
      <c r="CL258" s="21"/>
      <c r="CM258" s="21"/>
      <c r="CN258" s="21"/>
      <c r="CO258" s="21"/>
      <c r="CP258" s="21"/>
      <c r="CQ258" s="21"/>
      <c r="CR258" s="21"/>
      <c r="CS258" s="21"/>
      <c r="CT258" s="21"/>
      <c r="CU258" s="21"/>
      <c r="CV258" s="21"/>
      <c r="CW258" s="21"/>
      <c r="CX258" s="21"/>
      <c r="CY258" s="21"/>
      <c r="CZ258" s="21"/>
      <c r="DA258" s="21"/>
      <c r="DB258" s="21"/>
      <c r="DC258" s="21"/>
      <c r="DD258" s="21"/>
      <c r="DE258" s="21"/>
      <c r="DF258" s="21"/>
    </row>
    <row r="259" spans="1:110" s="16" customFormat="1" x14ac:dyDescent="0.3">
      <c r="A259" s="21" t="s">
        <v>32</v>
      </c>
      <c r="B259" s="21" t="s">
        <v>290</v>
      </c>
      <c r="C259" s="21" t="s">
        <v>390</v>
      </c>
      <c r="D259" s="42">
        <f>D258-D258*inputs!$E$36</f>
        <v>0</v>
      </c>
      <c r="E259" s="21" t="str">
        <f t="shared" ca="1" si="4"/>
        <v>=D258-D258*inputs!$E$36</v>
      </c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21"/>
      <c r="BZ259" s="21"/>
      <c r="CA259" s="21"/>
      <c r="CB259" s="21"/>
      <c r="CC259" s="21"/>
      <c r="CD259" s="21"/>
      <c r="CE259" s="21"/>
      <c r="CF259" s="21"/>
      <c r="CG259" s="21"/>
      <c r="CH259" s="21"/>
      <c r="CI259" s="21"/>
      <c r="CJ259" s="21"/>
      <c r="CK259" s="21"/>
      <c r="CL259" s="21"/>
      <c r="CM259" s="21"/>
      <c r="CN259" s="21"/>
      <c r="CO259" s="21"/>
      <c r="CP259" s="21"/>
      <c r="CQ259" s="21"/>
      <c r="CR259" s="21"/>
      <c r="CS259" s="21"/>
      <c r="CT259" s="21"/>
      <c r="CU259" s="21"/>
      <c r="CV259" s="21"/>
      <c r="CW259" s="21"/>
      <c r="CX259" s="21"/>
      <c r="CY259" s="21"/>
      <c r="CZ259" s="21"/>
      <c r="DA259" s="21"/>
      <c r="DB259" s="21"/>
      <c r="DC259" s="21"/>
      <c r="DD259" s="21"/>
      <c r="DE259" s="21"/>
      <c r="DF259" s="21"/>
    </row>
    <row r="260" spans="1:110" s="16" customFormat="1" x14ac:dyDescent="0.3">
      <c r="A260" s="21" t="s">
        <v>32</v>
      </c>
      <c r="B260" s="21" t="s">
        <v>290</v>
      </c>
      <c r="C260" s="21" t="s">
        <v>391</v>
      </c>
      <c r="D260" s="42">
        <f>D259-D259*inputs!$E$36</f>
        <v>0</v>
      </c>
      <c r="E260" s="21" t="str">
        <f t="shared" ca="1" si="4"/>
        <v>=D259-D259*inputs!$E$36</v>
      </c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21"/>
      <c r="BZ260" s="21"/>
      <c r="CA260" s="21"/>
      <c r="CB260" s="21"/>
      <c r="CC260" s="21"/>
      <c r="CD260" s="21"/>
      <c r="CE260" s="21"/>
      <c r="CF260" s="21"/>
      <c r="CG260" s="21"/>
      <c r="CH260" s="21"/>
      <c r="CI260" s="21"/>
      <c r="CJ260" s="21"/>
      <c r="CK260" s="21"/>
      <c r="CL260" s="21"/>
      <c r="CM260" s="21"/>
      <c r="CN260" s="21"/>
      <c r="CO260" s="21"/>
      <c r="CP260" s="21"/>
      <c r="CQ260" s="21"/>
      <c r="CR260" s="21"/>
      <c r="CS260" s="21"/>
      <c r="CT260" s="21"/>
      <c r="CU260" s="21"/>
      <c r="CV260" s="21"/>
      <c r="CW260" s="21"/>
      <c r="CX260" s="21"/>
      <c r="CY260" s="21"/>
      <c r="CZ260" s="21"/>
      <c r="DA260" s="21"/>
      <c r="DB260" s="21"/>
      <c r="DC260" s="21"/>
      <c r="DD260" s="21"/>
      <c r="DE260" s="21"/>
      <c r="DF260" s="21"/>
    </row>
    <row r="261" spans="1:110" s="16" customFormat="1" x14ac:dyDescent="0.3">
      <c r="A261" s="21" t="s">
        <v>32</v>
      </c>
      <c r="B261" s="21" t="s">
        <v>290</v>
      </c>
      <c r="C261" s="21" t="s">
        <v>392</v>
      </c>
      <c r="D261" s="42">
        <f>D260-D260*inputs!$E$36</f>
        <v>0</v>
      </c>
      <c r="E261" s="21" t="str">
        <f t="shared" ca="1" si="4"/>
        <v>=D260-D260*inputs!$E$36</v>
      </c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21"/>
      <c r="BZ261" s="21"/>
      <c r="CA261" s="21"/>
      <c r="CB261" s="21"/>
      <c r="CC261" s="21"/>
      <c r="CD261" s="21"/>
      <c r="CE261" s="21"/>
      <c r="CF261" s="21"/>
      <c r="CG261" s="21"/>
      <c r="CH261" s="21"/>
      <c r="CI261" s="21"/>
      <c r="CJ261" s="21"/>
      <c r="CK261" s="21"/>
      <c r="CL261" s="21"/>
      <c r="CM261" s="21"/>
      <c r="CN261" s="21"/>
      <c r="CO261" s="21"/>
      <c r="CP261" s="21"/>
      <c r="CQ261" s="21"/>
      <c r="CR261" s="21"/>
      <c r="CS261" s="21"/>
      <c r="CT261" s="21"/>
      <c r="CU261" s="21"/>
      <c r="CV261" s="21"/>
      <c r="CW261" s="21"/>
      <c r="CX261" s="21"/>
      <c r="CY261" s="21"/>
      <c r="CZ261" s="21"/>
      <c r="DA261" s="21"/>
      <c r="DB261" s="21"/>
      <c r="DC261" s="21"/>
      <c r="DD261" s="21"/>
      <c r="DE261" s="21"/>
      <c r="DF261" s="21"/>
    </row>
    <row r="262" spans="1:110" s="16" customFormat="1" x14ac:dyDescent="0.3">
      <c r="A262" s="21" t="s">
        <v>32</v>
      </c>
      <c r="B262" s="21" t="s">
        <v>290</v>
      </c>
      <c r="C262" s="21" t="s">
        <v>393</v>
      </c>
      <c r="D262" s="42">
        <f>D261-D261*inputs!$E$37</f>
        <v>0</v>
      </c>
      <c r="E262" s="21" t="str">
        <f t="shared" ca="1" si="4"/>
        <v>=D261-D261*inputs!$E$37</v>
      </c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21"/>
      <c r="BZ262" s="21"/>
      <c r="CA262" s="21"/>
      <c r="CB262" s="21"/>
      <c r="CC262" s="21"/>
      <c r="CD262" s="21"/>
      <c r="CE262" s="21"/>
      <c r="CF262" s="21"/>
      <c r="CG262" s="21"/>
      <c r="CH262" s="21"/>
      <c r="CI262" s="21"/>
      <c r="CJ262" s="21"/>
      <c r="CK262" s="21"/>
      <c r="CL262" s="21"/>
      <c r="CM262" s="21"/>
      <c r="CN262" s="21"/>
      <c r="CO262" s="21"/>
      <c r="CP262" s="21"/>
      <c r="CQ262" s="21"/>
      <c r="CR262" s="21"/>
      <c r="CS262" s="21"/>
      <c r="CT262" s="21"/>
      <c r="CU262" s="21"/>
      <c r="CV262" s="21"/>
      <c r="CW262" s="21"/>
      <c r="CX262" s="21"/>
      <c r="CY262" s="21"/>
      <c r="CZ262" s="21"/>
      <c r="DA262" s="21"/>
      <c r="DB262" s="21"/>
      <c r="DC262" s="21"/>
      <c r="DD262" s="21"/>
      <c r="DE262" s="21"/>
      <c r="DF262" s="21"/>
    </row>
    <row r="263" spans="1:110" s="16" customFormat="1" x14ac:dyDescent="0.3">
      <c r="A263" s="21" t="s">
        <v>32</v>
      </c>
      <c r="B263" s="21" t="s">
        <v>290</v>
      </c>
      <c r="C263" s="21" t="s">
        <v>394</v>
      </c>
      <c r="D263" s="42">
        <f>D262-D262*inputs!$E$37</f>
        <v>0</v>
      </c>
      <c r="E263" s="21" t="str">
        <f t="shared" ca="1" si="4"/>
        <v>=D262-D262*inputs!$E$37</v>
      </c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21"/>
      <c r="BZ263" s="21"/>
      <c r="CA263" s="21"/>
      <c r="CB263" s="21"/>
      <c r="CC263" s="21"/>
      <c r="CD263" s="21"/>
      <c r="CE263" s="21"/>
      <c r="CF263" s="21"/>
      <c r="CG263" s="21"/>
      <c r="CH263" s="21"/>
      <c r="CI263" s="21"/>
      <c r="CJ263" s="21"/>
      <c r="CK263" s="21"/>
      <c r="CL263" s="21"/>
      <c r="CM263" s="21"/>
      <c r="CN263" s="21"/>
      <c r="CO263" s="21"/>
      <c r="CP263" s="21"/>
      <c r="CQ263" s="21"/>
      <c r="CR263" s="21"/>
      <c r="CS263" s="21"/>
      <c r="CT263" s="21"/>
      <c r="CU263" s="21"/>
      <c r="CV263" s="21"/>
      <c r="CW263" s="21"/>
      <c r="CX263" s="21"/>
      <c r="CY263" s="21"/>
      <c r="CZ263" s="21"/>
      <c r="DA263" s="21"/>
      <c r="DB263" s="21"/>
      <c r="DC263" s="21"/>
      <c r="DD263" s="21"/>
      <c r="DE263" s="21"/>
      <c r="DF263" s="21"/>
    </row>
    <row r="264" spans="1:110" s="16" customFormat="1" x14ac:dyDescent="0.3">
      <c r="A264" s="21" t="s">
        <v>32</v>
      </c>
      <c r="B264" s="21" t="s">
        <v>290</v>
      </c>
      <c r="C264" s="21" t="s">
        <v>395</v>
      </c>
      <c r="D264" s="42">
        <f>D263-D263*inputs!$E$37</f>
        <v>0</v>
      </c>
      <c r="E264" s="21" t="str">
        <f t="shared" ca="1" si="4"/>
        <v>=D263-D263*inputs!$E$37</v>
      </c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21"/>
      <c r="BZ264" s="21"/>
      <c r="CA264" s="21"/>
      <c r="CB264" s="21"/>
      <c r="CC264" s="21"/>
      <c r="CD264" s="21"/>
      <c r="CE264" s="21"/>
      <c r="CF264" s="21"/>
      <c r="CG264" s="21"/>
      <c r="CH264" s="21"/>
      <c r="CI264" s="21"/>
      <c r="CJ264" s="21"/>
      <c r="CK264" s="21"/>
      <c r="CL264" s="21"/>
      <c r="CM264" s="21"/>
      <c r="CN264" s="21"/>
      <c r="CO264" s="21"/>
      <c r="CP264" s="21"/>
      <c r="CQ264" s="21"/>
      <c r="CR264" s="21"/>
      <c r="CS264" s="21"/>
      <c r="CT264" s="21"/>
      <c r="CU264" s="21"/>
      <c r="CV264" s="21"/>
      <c r="CW264" s="21"/>
      <c r="CX264" s="21"/>
      <c r="CY264" s="21"/>
      <c r="CZ264" s="21"/>
      <c r="DA264" s="21"/>
      <c r="DB264" s="21"/>
      <c r="DC264" s="21"/>
      <c r="DD264" s="21"/>
      <c r="DE264" s="21"/>
      <c r="DF264" s="21"/>
    </row>
    <row r="265" spans="1:110" s="16" customFormat="1" x14ac:dyDescent="0.3">
      <c r="A265" s="21" t="s">
        <v>32</v>
      </c>
      <c r="B265" s="21" t="s">
        <v>290</v>
      </c>
      <c r="C265" s="21" t="s">
        <v>396</v>
      </c>
      <c r="D265" s="42">
        <f>D264-D264*inputs!$E$37</f>
        <v>0</v>
      </c>
      <c r="E265" s="21" t="str">
        <f t="shared" ca="1" si="4"/>
        <v>=D264-D264*inputs!$E$37</v>
      </c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21"/>
      <c r="BZ265" s="21"/>
      <c r="CA265" s="21"/>
      <c r="CB265" s="21"/>
      <c r="CC265" s="21"/>
      <c r="CD265" s="21"/>
      <c r="CE265" s="21"/>
      <c r="CF265" s="21"/>
      <c r="CG265" s="21"/>
      <c r="CH265" s="21"/>
      <c r="CI265" s="21"/>
      <c r="CJ265" s="21"/>
      <c r="CK265" s="21"/>
      <c r="CL265" s="21"/>
      <c r="CM265" s="21"/>
      <c r="CN265" s="21"/>
      <c r="CO265" s="21"/>
      <c r="CP265" s="21"/>
      <c r="CQ265" s="21"/>
      <c r="CR265" s="21"/>
      <c r="CS265" s="21"/>
      <c r="CT265" s="21"/>
      <c r="CU265" s="21"/>
      <c r="CV265" s="21"/>
      <c r="CW265" s="21"/>
      <c r="CX265" s="21"/>
      <c r="CY265" s="21"/>
      <c r="CZ265" s="21"/>
      <c r="DA265" s="21"/>
      <c r="DB265" s="21"/>
      <c r="DC265" s="21"/>
      <c r="DD265" s="21"/>
      <c r="DE265" s="21"/>
      <c r="DF265" s="21"/>
    </row>
    <row r="266" spans="1:110" s="16" customFormat="1" x14ac:dyDescent="0.3">
      <c r="A266" s="21" t="s">
        <v>32</v>
      </c>
      <c r="B266" s="21" t="s">
        <v>290</v>
      </c>
      <c r="C266" s="21" t="s">
        <v>397</v>
      </c>
      <c r="D266" s="42">
        <f>D265-D265*inputs!$E$37</f>
        <v>0</v>
      </c>
      <c r="E266" s="21" t="str">
        <f t="shared" ca="1" si="4"/>
        <v>=D265-D265*inputs!$E$37</v>
      </c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21"/>
      <c r="BZ266" s="21"/>
      <c r="CA266" s="21"/>
      <c r="CB266" s="21"/>
      <c r="CC266" s="21"/>
      <c r="CD266" s="21"/>
      <c r="CE266" s="21"/>
      <c r="CF266" s="21"/>
      <c r="CG266" s="21"/>
      <c r="CH266" s="21"/>
      <c r="CI266" s="21"/>
      <c r="CJ266" s="21"/>
      <c r="CK266" s="21"/>
      <c r="CL266" s="21"/>
      <c r="CM266" s="21"/>
      <c r="CN266" s="21"/>
      <c r="CO266" s="21"/>
      <c r="CP266" s="21"/>
      <c r="CQ266" s="21"/>
      <c r="CR266" s="21"/>
      <c r="CS266" s="21"/>
      <c r="CT266" s="21"/>
      <c r="CU266" s="21"/>
      <c r="CV266" s="21"/>
      <c r="CW266" s="21"/>
      <c r="CX266" s="21"/>
      <c r="CY266" s="21"/>
      <c r="CZ266" s="21"/>
      <c r="DA266" s="21"/>
      <c r="DB266" s="21"/>
      <c r="DC266" s="21"/>
      <c r="DD266" s="21"/>
      <c r="DE266" s="21"/>
      <c r="DF266" s="21"/>
    </row>
    <row r="267" spans="1:110" s="16" customFormat="1" x14ac:dyDescent="0.3">
      <c r="A267" s="21" t="s">
        <v>32</v>
      </c>
      <c r="B267" s="21" t="s">
        <v>290</v>
      </c>
      <c r="C267" s="21" t="s">
        <v>398</v>
      </c>
      <c r="D267" s="42">
        <f>D266-D266*inputs!$E$38</f>
        <v>0</v>
      </c>
      <c r="E267" s="21" t="str">
        <f t="shared" ca="1" si="4"/>
        <v>=D266-D266*inputs!$E$38</v>
      </c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21"/>
      <c r="BZ267" s="21"/>
      <c r="CA267" s="21"/>
      <c r="CB267" s="21"/>
      <c r="CC267" s="21"/>
      <c r="CD267" s="21"/>
      <c r="CE267" s="21"/>
      <c r="CF267" s="21"/>
      <c r="CG267" s="21"/>
      <c r="CH267" s="21"/>
      <c r="CI267" s="21"/>
      <c r="CJ267" s="21"/>
      <c r="CK267" s="21"/>
      <c r="CL267" s="21"/>
      <c r="CM267" s="21"/>
      <c r="CN267" s="21"/>
      <c r="CO267" s="21"/>
      <c r="CP267" s="21"/>
      <c r="CQ267" s="21"/>
      <c r="CR267" s="21"/>
      <c r="CS267" s="21"/>
      <c r="CT267" s="21"/>
      <c r="CU267" s="21"/>
      <c r="CV267" s="21"/>
      <c r="CW267" s="21"/>
      <c r="CX267" s="21"/>
      <c r="CY267" s="21"/>
      <c r="CZ267" s="21"/>
      <c r="DA267" s="21"/>
      <c r="DB267" s="21"/>
      <c r="DC267" s="21"/>
      <c r="DD267" s="21"/>
      <c r="DE267" s="21"/>
      <c r="DF267" s="21"/>
    </row>
    <row r="268" spans="1:110" s="16" customFormat="1" x14ac:dyDescent="0.3">
      <c r="A268" s="21" t="s">
        <v>32</v>
      </c>
      <c r="B268" s="21" t="s">
        <v>290</v>
      </c>
      <c r="C268" s="21" t="s">
        <v>399</v>
      </c>
      <c r="D268" s="42">
        <f>D267-D267*inputs!$E$38</f>
        <v>0</v>
      </c>
      <c r="E268" s="21" t="str">
        <f t="shared" ca="1" si="4"/>
        <v>=D267-D267*inputs!$E$38</v>
      </c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21"/>
      <c r="BZ268" s="21"/>
      <c r="CA268" s="21"/>
      <c r="CB268" s="21"/>
      <c r="CC268" s="21"/>
      <c r="CD268" s="21"/>
      <c r="CE268" s="21"/>
      <c r="CF268" s="21"/>
      <c r="CG268" s="21"/>
      <c r="CH268" s="21"/>
      <c r="CI268" s="21"/>
      <c r="CJ268" s="21"/>
      <c r="CK268" s="21"/>
      <c r="CL268" s="21"/>
      <c r="CM268" s="21"/>
      <c r="CN268" s="21"/>
      <c r="CO268" s="21"/>
      <c r="CP268" s="21"/>
      <c r="CQ268" s="21"/>
      <c r="CR268" s="21"/>
      <c r="CS268" s="21"/>
      <c r="CT268" s="21"/>
      <c r="CU268" s="21"/>
      <c r="CV268" s="21"/>
      <c r="CW268" s="21"/>
      <c r="CX268" s="21"/>
      <c r="CY268" s="21"/>
      <c r="CZ268" s="21"/>
      <c r="DA268" s="21"/>
      <c r="DB268" s="21"/>
      <c r="DC268" s="21"/>
      <c r="DD268" s="21"/>
      <c r="DE268" s="21"/>
      <c r="DF268" s="21"/>
    </row>
    <row r="269" spans="1:110" s="16" customFormat="1" x14ac:dyDescent="0.3">
      <c r="A269" s="21" t="s">
        <v>32</v>
      </c>
      <c r="B269" s="21" t="s">
        <v>290</v>
      </c>
      <c r="C269" s="21" t="s">
        <v>400</v>
      </c>
      <c r="D269" s="42">
        <f>D268-D268*inputs!$E$38</f>
        <v>0</v>
      </c>
      <c r="E269" s="21" t="str">
        <f t="shared" ca="1" si="4"/>
        <v>=D268-D268*inputs!$E$38</v>
      </c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21"/>
      <c r="BZ269" s="21"/>
      <c r="CA269" s="21"/>
      <c r="CB269" s="21"/>
      <c r="CC269" s="21"/>
      <c r="CD269" s="21"/>
      <c r="CE269" s="21"/>
      <c r="CF269" s="21"/>
      <c r="CG269" s="21"/>
      <c r="CH269" s="21"/>
      <c r="CI269" s="21"/>
      <c r="CJ269" s="21"/>
      <c r="CK269" s="21"/>
      <c r="CL269" s="21"/>
      <c r="CM269" s="21"/>
      <c r="CN269" s="21"/>
      <c r="CO269" s="21"/>
      <c r="CP269" s="21"/>
      <c r="CQ269" s="21"/>
      <c r="CR269" s="21"/>
      <c r="CS269" s="21"/>
      <c r="CT269" s="21"/>
      <c r="CU269" s="21"/>
      <c r="CV269" s="21"/>
      <c r="CW269" s="21"/>
      <c r="CX269" s="21"/>
      <c r="CY269" s="21"/>
      <c r="CZ269" s="21"/>
      <c r="DA269" s="21"/>
      <c r="DB269" s="21"/>
      <c r="DC269" s="21"/>
      <c r="DD269" s="21"/>
      <c r="DE269" s="21"/>
      <c r="DF269" s="21"/>
    </row>
    <row r="270" spans="1:110" s="16" customFormat="1" x14ac:dyDescent="0.3">
      <c r="A270" s="21" t="s">
        <v>32</v>
      </c>
      <c r="B270" s="21" t="s">
        <v>290</v>
      </c>
      <c r="C270" s="21" t="s">
        <v>401</v>
      </c>
      <c r="D270" s="42">
        <f>D269-D269*inputs!$E$38</f>
        <v>0</v>
      </c>
      <c r="E270" s="21" t="str">
        <f t="shared" ca="1" si="4"/>
        <v>=D269-D269*inputs!$E$38</v>
      </c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21"/>
      <c r="BZ270" s="21"/>
      <c r="CA270" s="21"/>
      <c r="CB270" s="21"/>
      <c r="CC270" s="21"/>
      <c r="CD270" s="21"/>
      <c r="CE270" s="21"/>
      <c r="CF270" s="21"/>
      <c r="CG270" s="21"/>
      <c r="CH270" s="21"/>
      <c r="CI270" s="21"/>
      <c r="CJ270" s="21"/>
      <c r="CK270" s="21"/>
      <c r="CL270" s="21"/>
      <c r="CM270" s="21"/>
      <c r="CN270" s="21"/>
      <c r="CO270" s="21"/>
      <c r="CP270" s="21"/>
      <c r="CQ270" s="21"/>
      <c r="CR270" s="21"/>
      <c r="CS270" s="21"/>
      <c r="CT270" s="21"/>
      <c r="CU270" s="21"/>
      <c r="CV270" s="21"/>
      <c r="CW270" s="21"/>
      <c r="CX270" s="21"/>
      <c r="CY270" s="21"/>
      <c r="CZ270" s="21"/>
      <c r="DA270" s="21"/>
      <c r="DB270" s="21"/>
      <c r="DC270" s="21"/>
      <c r="DD270" s="21"/>
      <c r="DE270" s="21"/>
      <c r="DF270" s="21"/>
    </row>
    <row r="271" spans="1:110" s="16" customFormat="1" x14ac:dyDescent="0.3">
      <c r="A271" s="21" t="s">
        <v>32</v>
      </c>
      <c r="B271" s="21" t="s">
        <v>290</v>
      </c>
      <c r="C271" s="21" t="s">
        <v>402</v>
      </c>
      <c r="D271" s="42">
        <f>D270-D270*inputs!$E$38</f>
        <v>0</v>
      </c>
      <c r="E271" s="21" t="str">
        <f t="shared" ca="1" si="4"/>
        <v>=D270-D270*inputs!$E$38</v>
      </c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21"/>
      <c r="BZ271" s="21"/>
      <c r="CA271" s="21"/>
      <c r="CB271" s="21"/>
      <c r="CC271" s="21"/>
      <c r="CD271" s="21"/>
      <c r="CE271" s="21"/>
      <c r="CF271" s="21"/>
      <c r="CG271" s="21"/>
      <c r="CH271" s="21"/>
      <c r="CI271" s="21"/>
      <c r="CJ271" s="21"/>
      <c r="CK271" s="21"/>
      <c r="CL271" s="21"/>
      <c r="CM271" s="21"/>
      <c r="CN271" s="21"/>
      <c r="CO271" s="21"/>
      <c r="CP271" s="21"/>
      <c r="CQ271" s="21"/>
      <c r="CR271" s="21"/>
      <c r="CS271" s="21"/>
      <c r="CT271" s="21"/>
      <c r="CU271" s="21"/>
      <c r="CV271" s="21"/>
      <c r="CW271" s="21"/>
      <c r="CX271" s="21"/>
      <c r="CY271" s="21"/>
      <c r="CZ271" s="21"/>
      <c r="DA271" s="21"/>
      <c r="DB271" s="21"/>
      <c r="DC271" s="21"/>
      <c r="DD271" s="21"/>
      <c r="DE271" s="21"/>
      <c r="DF271" s="21"/>
    </row>
    <row r="272" spans="1:110" s="16" customFormat="1" x14ac:dyDescent="0.3">
      <c r="A272" s="21" t="s">
        <v>32</v>
      </c>
      <c r="B272" s="21" t="s">
        <v>290</v>
      </c>
      <c r="C272" s="21" t="s">
        <v>403</v>
      </c>
      <c r="D272" s="42">
        <f>D271-D271*inputs!$E$38</f>
        <v>0</v>
      </c>
      <c r="E272" s="21" t="str">
        <f t="shared" ca="1" si="4"/>
        <v>=D271-D271*inputs!$E$38</v>
      </c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21"/>
      <c r="BZ272" s="21"/>
      <c r="CA272" s="21"/>
      <c r="CB272" s="21"/>
      <c r="CC272" s="21"/>
      <c r="CD272" s="21"/>
      <c r="CE272" s="21"/>
      <c r="CF272" s="21"/>
      <c r="CG272" s="21"/>
      <c r="CH272" s="21"/>
      <c r="CI272" s="21"/>
      <c r="CJ272" s="21"/>
      <c r="CK272" s="21"/>
      <c r="CL272" s="21"/>
      <c r="CM272" s="21"/>
      <c r="CN272" s="21"/>
      <c r="CO272" s="21"/>
      <c r="CP272" s="21"/>
      <c r="CQ272" s="21"/>
      <c r="CR272" s="21"/>
      <c r="CS272" s="21"/>
      <c r="CT272" s="21"/>
      <c r="CU272" s="21"/>
      <c r="CV272" s="21"/>
      <c r="CW272" s="21"/>
      <c r="CX272" s="21"/>
      <c r="CY272" s="21"/>
      <c r="CZ272" s="21"/>
      <c r="DA272" s="21"/>
      <c r="DB272" s="21"/>
      <c r="DC272" s="21"/>
      <c r="DD272" s="21"/>
      <c r="DE272" s="21"/>
      <c r="DF272" s="21"/>
    </row>
    <row r="273" spans="1:110" s="16" customFormat="1" x14ac:dyDescent="0.3">
      <c r="A273" s="21" t="s">
        <v>32</v>
      </c>
      <c r="B273" s="21" t="s">
        <v>290</v>
      </c>
      <c r="C273" s="21" t="s">
        <v>404</v>
      </c>
      <c r="D273" s="42">
        <f>D272-D272*inputs!$E$38</f>
        <v>0</v>
      </c>
      <c r="E273" s="21" t="str">
        <f t="shared" ca="1" si="4"/>
        <v>=D272-D272*inputs!$E$38</v>
      </c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21"/>
      <c r="BZ273" s="21"/>
      <c r="CA273" s="21"/>
      <c r="CB273" s="21"/>
      <c r="CC273" s="21"/>
      <c r="CD273" s="21"/>
      <c r="CE273" s="21"/>
      <c r="CF273" s="21"/>
      <c r="CG273" s="21"/>
      <c r="CH273" s="21"/>
      <c r="CI273" s="21"/>
      <c r="CJ273" s="21"/>
      <c r="CK273" s="21"/>
      <c r="CL273" s="21"/>
      <c r="CM273" s="21"/>
      <c r="CN273" s="21"/>
      <c r="CO273" s="21"/>
      <c r="CP273" s="21"/>
      <c r="CQ273" s="21"/>
      <c r="CR273" s="21"/>
      <c r="CS273" s="21"/>
      <c r="CT273" s="21"/>
      <c r="CU273" s="21"/>
      <c r="CV273" s="21"/>
      <c r="CW273" s="21"/>
      <c r="CX273" s="21"/>
      <c r="CY273" s="21"/>
      <c r="CZ273" s="21"/>
      <c r="DA273" s="21"/>
      <c r="DB273" s="21"/>
      <c r="DC273" s="21"/>
      <c r="DD273" s="21"/>
      <c r="DE273" s="21"/>
      <c r="DF273" s="21"/>
    </row>
    <row r="274" spans="1:110" s="16" customFormat="1" x14ac:dyDescent="0.3">
      <c r="A274" s="21" t="s">
        <v>32</v>
      </c>
      <c r="B274" s="21" t="s">
        <v>290</v>
      </c>
      <c r="C274" s="21" t="s">
        <v>405</v>
      </c>
      <c r="D274" s="42">
        <f>D273-D273*inputs!$E$38</f>
        <v>0</v>
      </c>
      <c r="E274" s="21" t="str">
        <f t="shared" ca="1" si="4"/>
        <v>=D273-D273*inputs!$E$38</v>
      </c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21"/>
      <c r="BZ274" s="21"/>
      <c r="CA274" s="21"/>
      <c r="CB274" s="21"/>
      <c r="CC274" s="21"/>
      <c r="CD274" s="21"/>
      <c r="CE274" s="21"/>
      <c r="CF274" s="21"/>
      <c r="CG274" s="21"/>
      <c r="CH274" s="21"/>
      <c r="CI274" s="21"/>
      <c r="CJ274" s="21"/>
      <c r="CK274" s="21"/>
      <c r="CL274" s="21"/>
      <c r="CM274" s="21"/>
      <c r="CN274" s="21"/>
      <c r="CO274" s="21"/>
      <c r="CP274" s="21"/>
      <c r="CQ274" s="21"/>
      <c r="CR274" s="21"/>
      <c r="CS274" s="21"/>
      <c r="CT274" s="21"/>
      <c r="CU274" s="21"/>
      <c r="CV274" s="21"/>
      <c r="CW274" s="21"/>
      <c r="CX274" s="21"/>
      <c r="CY274" s="21"/>
      <c r="CZ274" s="21"/>
      <c r="DA274" s="21"/>
      <c r="DB274" s="21"/>
      <c r="DC274" s="21"/>
      <c r="DD274" s="21"/>
      <c r="DE274" s="21"/>
      <c r="DF274" s="21"/>
    </row>
    <row r="275" spans="1:110" s="16" customFormat="1" x14ac:dyDescent="0.3">
      <c r="A275" s="21" t="s">
        <v>32</v>
      </c>
      <c r="B275" s="21" t="s">
        <v>290</v>
      </c>
      <c r="C275" s="21" t="s">
        <v>406</v>
      </c>
      <c r="D275" s="42">
        <f>D274-D274*inputs!$E$38</f>
        <v>0</v>
      </c>
      <c r="E275" s="21" t="str">
        <f t="shared" ca="1" si="4"/>
        <v>=D274-D274*inputs!$E$38</v>
      </c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21"/>
      <c r="BZ275" s="21"/>
      <c r="CA275" s="21"/>
      <c r="CB275" s="21"/>
      <c r="CC275" s="21"/>
      <c r="CD275" s="21"/>
      <c r="CE275" s="21"/>
      <c r="CF275" s="21"/>
      <c r="CG275" s="21"/>
      <c r="CH275" s="21"/>
      <c r="CI275" s="21"/>
      <c r="CJ275" s="21"/>
      <c r="CK275" s="21"/>
      <c r="CL275" s="21"/>
      <c r="CM275" s="21"/>
      <c r="CN275" s="21"/>
      <c r="CO275" s="21"/>
      <c r="CP275" s="21"/>
      <c r="CQ275" s="21"/>
      <c r="CR275" s="21"/>
      <c r="CS275" s="21"/>
      <c r="CT275" s="21"/>
      <c r="CU275" s="21"/>
      <c r="CV275" s="21"/>
      <c r="CW275" s="21"/>
      <c r="CX275" s="21"/>
      <c r="CY275" s="21"/>
      <c r="CZ275" s="21"/>
      <c r="DA275" s="21"/>
      <c r="DB275" s="21"/>
      <c r="DC275" s="21"/>
      <c r="DD275" s="21"/>
      <c r="DE275" s="21"/>
      <c r="DF275" s="21"/>
    </row>
    <row r="276" spans="1:110" s="16" customFormat="1" x14ac:dyDescent="0.3">
      <c r="A276" s="21" t="s">
        <v>32</v>
      </c>
      <c r="B276" s="21" t="s">
        <v>290</v>
      </c>
      <c r="C276" s="21" t="s">
        <v>407</v>
      </c>
      <c r="D276" s="42">
        <f>D275-D275*inputs!$E$38</f>
        <v>0</v>
      </c>
      <c r="E276" s="21" t="str">
        <f t="shared" ca="1" si="4"/>
        <v>=D275-D275*inputs!$E$38</v>
      </c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21"/>
      <c r="BZ276" s="21"/>
      <c r="CA276" s="21"/>
      <c r="CB276" s="21"/>
      <c r="CC276" s="21"/>
      <c r="CD276" s="21"/>
      <c r="CE276" s="21"/>
      <c r="CF276" s="21"/>
      <c r="CG276" s="21"/>
      <c r="CH276" s="21"/>
      <c r="CI276" s="21"/>
      <c r="CJ276" s="21"/>
      <c r="CK276" s="21"/>
      <c r="CL276" s="21"/>
      <c r="CM276" s="21"/>
      <c r="CN276" s="21"/>
      <c r="CO276" s="21"/>
      <c r="CP276" s="21"/>
      <c r="CQ276" s="21"/>
      <c r="CR276" s="21"/>
      <c r="CS276" s="21"/>
      <c r="CT276" s="21"/>
      <c r="CU276" s="21"/>
      <c r="CV276" s="21"/>
      <c r="CW276" s="21"/>
      <c r="CX276" s="21"/>
      <c r="CY276" s="21"/>
      <c r="CZ276" s="21"/>
      <c r="DA276" s="21"/>
      <c r="DB276" s="21"/>
      <c r="DC276" s="21"/>
      <c r="DD276" s="21"/>
      <c r="DE276" s="21"/>
      <c r="DF276" s="21"/>
    </row>
    <row r="277" spans="1:110" s="14" customFormat="1" x14ac:dyDescent="0.3">
      <c r="A277" s="21" t="s">
        <v>32</v>
      </c>
      <c r="B277" s="21" t="s">
        <v>290</v>
      </c>
      <c r="C277" s="21" t="s">
        <v>408</v>
      </c>
      <c r="D277" s="42">
        <f>$D$158-$D$158*inputs!$E$33</f>
        <v>0</v>
      </c>
      <c r="E277" s="21" t="str">
        <f t="shared" ca="1" si="4"/>
        <v>=$D$158-$D$158*inputs!$E$33</v>
      </c>
      <c r="F277" s="21" t="s">
        <v>818</v>
      </c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21"/>
      <c r="BZ277" s="21"/>
      <c r="CA277" s="21"/>
      <c r="CB277" s="21"/>
      <c r="CC277" s="21"/>
      <c r="CD277" s="21"/>
      <c r="CE277" s="21"/>
      <c r="CF277" s="21"/>
      <c r="CG277" s="21"/>
      <c r="CH277" s="21"/>
      <c r="CI277" s="21"/>
      <c r="CJ277" s="21"/>
      <c r="CK277" s="21"/>
      <c r="CL277" s="21"/>
      <c r="CM277" s="21"/>
      <c r="CN277" s="21"/>
      <c r="CO277" s="21"/>
      <c r="CP277" s="21"/>
      <c r="CQ277" s="21"/>
      <c r="CR277" s="21"/>
      <c r="CS277" s="21"/>
      <c r="CT277" s="21"/>
      <c r="CU277" s="21"/>
      <c r="CV277" s="21"/>
      <c r="CW277" s="21"/>
      <c r="CX277" s="21"/>
      <c r="CY277" s="21"/>
      <c r="CZ277" s="21"/>
      <c r="DA277" s="21"/>
      <c r="DB277" s="21"/>
      <c r="DC277" s="21"/>
      <c r="DD277" s="21"/>
      <c r="DE277" s="21"/>
      <c r="DF277" s="21"/>
    </row>
    <row r="278" spans="1:110" s="14" customFormat="1" x14ac:dyDescent="0.3">
      <c r="A278" s="21" t="s">
        <v>32</v>
      </c>
      <c r="B278" s="21" t="s">
        <v>290</v>
      </c>
      <c r="C278" s="21" t="s">
        <v>409</v>
      </c>
      <c r="D278" s="42">
        <f>D277-D277*inputs!$E$33</f>
        <v>0</v>
      </c>
      <c r="E278" s="21" t="str">
        <f t="shared" ca="1" si="4"/>
        <v>=D277-D277*inputs!$E$33</v>
      </c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21"/>
      <c r="BZ278" s="21"/>
      <c r="CA278" s="21"/>
      <c r="CB278" s="21"/>
      <c r="CC278" s="21"/>
      <c r="CD278" s="21"/>
      <c r="CE278" s="21"/>
      <c r="CF278" s="21"/>
      <c r="CG278" s="21"/>
      <c r="CH278" s="21"/>
      <c r="CI278" s="21"/>
      <c r="CJ278" s="21"/>
      <c r="CK278" s="21"/>
      <c r="CL278" s="21"/>
      <c r="CM278" s="21"/>
      <c r="CN278" s="21"/>
      <c r="CO278" s="21"/>
      <c r="CP278" s="21"/>
      <c r="CQ278" s="21"/>
      <c r="CR278" s="21"/>
      <c r="CS278" s="21"/>
      <c r="CT278" s="21"/>
      <c r="CU278" s="21"/>
      <c r="CV278" s="21"/>
      <c r="CW278" s="21"/>
      <c r="CX278" s="21"/>
      <c r="CY278" s="21"/>
      <c r="CZ278" s="21"/>
      <c r="DA278" s="21"/>
      <c r="DB278" s="21"/>
      <c r="DC278" s="21"/>
      <c r="DD278" s="21"/>
      <c r="DE278" s="21"/>
      <c r="DF278" s="21"/>
    </row>
    <row r="279" spans="1:110" s="14" customFormat="1" x14ac:dyDescent="0.3">
      <c r="A279" s="21" t="s">
        <v>32</v>
      </c>
      <c r="B279" s="21" t="s">
        <v>290</v>
      </c>
      <c r="C279" s="21" t="s">
        <v>410</v>
      </c>
      <c r="D279" s="42">
        <f>D278-D278*inputs!$E$33</f>
        <v>0</v>
      </c>
      <c r="E279" s="21" t="str">
        <f t="shared" ca="1" si="4"/>
        <v>=D278-D278*inputs!$E$33</v>
      </c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21"/>
      <c r="BZ279" s="21"/>
      <c r="CA279" s="21"/>
      <c r="CB279" s="21"/>
      <c r="CC279" s="21"/>
      <c r="CD279" s="21"/>
      <c r="CE279" s="21"/>
      <c r="CF279" s="21"/>
      <c r="CG279" s="21"/>
      <c r="CH279" s="21"/>
      <c r="CI279" s="21"/>
      <c r="CJ279" s="21"/>
      <c r="CK279" s="21"/>
      <c r="CL279" s="21"/>
      <c r="CM279" s="21"/>
      <c r="CN279" s="21"/>
      <c r="CO279" s="21"/>
      <c r="CP279" s="21"/>
      <c r="CQ279" s="21"/>
      <c r="CR279" s="21"/>
      <c r="CS279" s="21"/>
      <c r="CT279" s="21"/>
      <c r="CU279" s="21"/>
      <c r="CV279" s="21"/>
      <c r="CW279" s="21"/>
      <c r="CX279" s="21"/>
      <c r="CY279" s="21"/>
      <c r="CZ279" s="21"/>
      <c r="DA279" s="21"/>
      <c r="DB279" s="21"/>
      <c r="DC279" s="21"/>
      <c r="DD279" s="21"/>
      <c r="DE279" s="21"/>
      <c r="DF279" s="21"/>
    </row>
    <row r="280" spans="1:110" s="14" customFormat="1" x14ac:dyDescent="0.3">
      <c r="A280" s="21" t="s">
        <v>32</v>
      </c>
      <c r="B280" s="21" t="s">
        <v>290</v>
      </c>
      <c r="C280" s="21" t="s">
        <v>411</v>
      </c>
      <c r="D280" s="42">
        <f>D279-D279*inputs!$E$33</f>
        <v>0</v>
      </c>
      <c r="E280" s="21" t="str">
        <f t="shared" ref="E280:E343" ca="1" si="5">_xlfn.FORMULATEXT(D280)</f>
        <v>=D279-D279*inputs!$E$33</v>
      </c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21"/>
      <c r="BZ280" s="21"/>
      <c r="CA280" s="21"/>
      <c r="CB280" s="21"/>
      <c r="CC280" s="21"/>
      <c r="CD280" s="21"/>
      <c r="CE280" s="21"/>
      <c r="CF280" s="21"/>
      <c r="CG280" s="21"/>
      <c r="CH280" s="21"/>
      <c r="CI280" s="21"/>
      <c r="CJ280" s="21"/>
      <c r="CK280" s="21"/>
      <c r="CL280" s="21"/>
      <c r="CM280" s="21"/>
      <c r="CN280" s="21"/>
      <c r="CO280" s="21"/>
      <c r="CP280" s="21"/>
      <c r="CQ280" s="21"/>
      <c r="CR280" s="21"/>
      <c r="CS280" s="21"/>
      <c r="CT280" s="21"/>
      <c r="CU280" s="21"/>
      <c r="CV280" s="21"/>
      <c r="CW280" s="21"/>
      <c r="CX280" s="21"/>
      <c r="CY280" s="21"/>
      <c r="CZ280" s="21"/>
      <c r="DA280" s="21"/>
      <c r="DB280" s="21"/>
      <c r="DC280" s="21"/>
      <c r="DD280" s="21"/>
      <c r="DE280" s="21"/>
      <c r="DF280" s="21"/>
    </row>
    <row r="281" spans="1:110" s="14" customFormat="1" x14ac:dyDescent="0.3">
      <c r="A281" s="21" t="s">
        <v>32</v>
      </c>
      <c r="B281" s="21" t="s">
        <v>290</v>
      </c>
      <c r="C281" s="21" t="s">
        <v>412</v>
      </c>
      <c r="D281" s="42">
        <f>D280-D280*inputs!$E$34</f>
        <v>0</v>
      </c>
      <c r="E281" s="21" t="str">
        <f t="shared" ca="1" si="5"/>
        <v>=D280-D280*inputs!$E$34</v>
      </c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21"/>
      <c r="BZ281" s="21"/>
      <c r="CA281" s="21"/>
      <c r="CB281" s="21"/>
      <c r="CC281" s="21"/>
      <c r="CD281" s="21"/>
      <c r="CE281" s="21"/>
      <c r="CF281" s="21"/>
      <c r="CG281" s="21"/>
      <c r="CH281" s="21"/>
      <c r="CI281" s="21"/>
      <c r="CJ281" s="21"/>
      <c r="CK281" s="21"/>
      <c r="CL281" s="21"/>
      <c r="CM281" s="21"/>
      <c r="CN281" s="21"/>
      <c r="CO281" s="21"/>
      <c r="CP281" s="21"/>
      <c r="CQ281" s="21"/>
      <c r="CR281" s="21"/>
      <c r="CS281" s="21"/>
      <c r="CT281" s="21"/>
      <c r="CU281" s="21"/>
      <c r="CV281" s="21"/>
      <c r="CW281" s="21"/>
      <c r="CX281" s="21"/>
      <c r="CY281" s="21"/>
      <c r="CZ281" s="21"/>
      <c r="DA281" s="21"/>
      <c r="DB281" s="21"/>
      <c r="DC281" s="21"/>
      <c r="DD281" s="21"/>
      <c r="DE281" s="21"/>
      <c r="DF281" s="21"/>
    </row>
    <row r="282" spans="1:110" s="14" customFormat="1" x14ac:dyDescent="0.3">
      <c r="A282" s="21" t="s">
        <v>32</v>
      </c>
      <c r="B282" s="21" t="s">
        <v>290</v>
      </c>
      <c r="C282" s="21" t="s">
        <v>413</v>
      </c>
      <c r="D282" s="42">
        <f>D281-D281*inputs!$E$34</f>
        <v>0</v>
      </c>
      <c r="E282" s="21" t="str">
        <f t="shared" ca="1" si="5"/>
        <v>=D281-D281*inputs!$E$34</v>
      </c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  <c r="AT282" s="21"/>
      <c r="AU282" s="21"/>
      <c r="AV282" s="21"/>
      <c r="AW282" s="21"/>
      <c r="AX282" s="21"/>
      <c r="AY282" s="21"/>
      <c r="AZ282" s="21"/>
      <c r="BA282" s="21"/>
      <c r="BB282" s="21"/>
      <c r="BC282" s="21"/>
      <c r="BD282" s="21"/>
      <c r="BE282" s="21"/>
      <c r="BF282" s="21"/>
      <c r="BG282" s="21"/>
      <c r="BH282" s="21"/>
      <c r="BI282" s="21"/>
      <c r="BJ282" s="21"/>
      <c r="BK282" s="21"/>
      <c r="BL282" s="21"/>
      <c r="BM282" s="21"/>
      <c r="BN282" s="21"/>
      <c r="BO282" s="21"/>
      <c r="BP282" s="21"/>
      <c r="BQ282" s="21"/>
      <c r="BR282" s="21"/>
      <c r="BS282" s="21"/>
      <c r="BT282" s="21"/>
      <c r="BU282" s="21"/>
      <c r="BV282" s="21"/>
      <c r="BW282" s="21"/>
      <c r="BX282" s="21"/>
      <c r="BY282" s="21"/>
      <c r="BZ282" s="21"/>
      <c r="CA282" s="21"/>
      <c r="CB282" s="21"/>
      <c r="CC282" s="21"/>
      <c r="CD282" s="21"/>
      <c r="CE282" s="21"/>
      <c r="CF282" s="21"/>
      <c r="CG282" s="21"/>
      <c r="CH282" s="21"/>
      <c r="CI282" s="21"/>
      <c r="CJ282" s="21"/>
      <c r="CK282" s="21"/>
      <c r="CL282" s="21"/>
      <c r="CM282" s="21"/>
      <c r="CN282" s="21"/>
      <c r="CO282" s="21"/>
      <c r="CP282" s="21"/>
      <c r="CQ282" s="21"/>
      <c r="CR282" s="21"/>
      <c r="CS282" s="21"/>
      <c r="CT282" s="21"/>
      <c r="CU282" s="21"/>
      <c r="CV282" s="21"/>
      <c r="CW282" s="21"/>
      <c r="CX282" s="21"/>
      <c r="CY282" s="21"/>
      <c r="CZ282" s="21"/>
      <c r="DA282" s="21"/>
      <c r="DB282" s="21"/>
      <c r="DC282" s="21"/>
      <c r="DD282" s="21"/>
      <c r="DE282" s="21"/>
      <c r="DF282" s="21"/>
    </row>
    <row r="283" spans="1:110" s="14" customFormat="1" x14ac:dyDescent="0.3">
      <c r="A283" s="21" t="s">
        <v>32</v>
      </c>
      <c r="B283" s="21" t="s">
        <v>290</v>
      </c>
      <c r="C283" s="21" t="s">
        <v>414</v>
      </c>
      <c r="D283" s="42">
        <f>D282-D282*inputs!$E$34</f>
        <v>0</v>
      </c>
      <c r="E283" s="21" t="str">
        <f t="shared" ca="1" si="5"/>
        <v>=D282-D282*inputs!$E$34</v>
      </c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  <c r="AT283" s="21"/>
      <c r="AU283" s="21"/>
      <c r="AV283" s="21"/>
      <c r="AW283" s="21"/>
      <c r="AX283" s="21"/>
      <c r="AY283" s="21"/>
      <c r="AZ283" s="21"/>
      <c r="BA283" s="21"/>
      <c r="BB283" s="21"/>
      <c r="BC283" s="21"/>
      <c r="BD283" s="21"/>
      <c r="BE283" s="21"/>
      <c r="BF283" s="21"/>
      <c r="BG283" s="21"/>
      <c r="BH283" s="21"/>
      <c r="BI283" s="21"/>
      <c r="BJ283" s="21"/>
      <c r="BK283" s="21"/>
      <c r="BL283" s="21"/>
      <c r="BM283" s="21"/>
      <c r="BN283" s="21"/>
      <c r="BO283" s="21"/>
      <c r="BP283" s="21"/>
      <c r="BQ283" s="21"/>
      <c r="BR283" s="21"/>
      <c r="BS283" s="21"/>
      <c r="BT283" s="21"/>
      <c r="BU283" s="21"/>
      <c r="BV283" s="21"/>
      <c r="BW283" s="21"/>
      <c r="BX283" s="21"/>
      <c r="BY283" s="21"/>
      <c r="BZ283" s="21"/>
      <c r="CA283" s="21"/>
      <c r="CB283" s="21"/>
      <c r="CC283" s="21"/>
      <c r="CD283" s="21"/>
      <c r="CE283" s="21"/>
      <c r="CF283" s="21"/>
      <c r="CG283" s="21"/>
      <c r="CH283" s="21"/>
      <c r="CI283" s="21"/>
      <c r="CJ283" s="21"/>
      <c r="CK283" s="21"/>
      <c r="CL283" s="21"/>
      <c r="CM283" s="21"/>
      <c r="CN283" s="21"/>
      <c r="CO283" s="21"/>
      <c r="CP283" s="21"/>
      <c r="CQ283" s="21"/>
      <c r="CR283" s="21"/>
      <c r="CS283" s="21"/>
      <c r="CT283" s="21"/>
      <c r="CU283" s="21"/>
      <c r="CV283" s="21"/>
      <c r="CW283" s="21"/>
      <c r="CX283" s="21"/>
      <c r="CY283" s="21"/>
      <c r="CZ283" s="21"/>
      <c r="DA283" s="21"/>
      <c r="DB283" s="21"/>
      <c r="DC283" s="21"/>
      <c r="DD283" s="21"/>
      <c r="DE283" s="21"/>
      <c r="DF283" s="21"/>
    </row>
    <row r="284" spans="1:110" s="14" customFormat="1" x14ac:dyDescent="0.3">
      <c r="A284" s="21" t="s">
        <v>32</v>
      </c>
      <c r="B284" s="21" t="s">
        <v>290</v>
      </c>
      <c r="C284" s="21" t="s">
        <v>415</v>
      </c>
      <c r="D284" s="42">
        <f>D283-D283*inputs!$E$34</f>
        <v>0</v>
      </c>
      <c r="E284" s="21" t="str">
        <f t="shared" ca="1" si="5"/>
        <v>=D283-D283*inputs!$E$34</v>
      </c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  <c r="AT284" s="21"/>
      <c r="AU284" s="21"/>
      <c r="AV284" s="21"/>
      <c r="AW284" s="21"/>
      <c r="AX284" s="21"/>
      <c r="AY284" s="21"/>
      <c r="AZ284" s="21"/>
      <c r="BA284" s="21"/>
      <c r="BB284" s="21"/>
      <c r="BC284" s="21"/>
      <c r="BD284" s="21"/>
      <c r="BE284" s="21"/>
      <c r="BF284" s="21"/>
      <c r="BG284" s="21"/>
      <c r="BH284" s="21"/>
      <c r="BI284" s="21"/>
      <c r="BJ284" s="21"/>
      <c r="BK284" s="21"/>
      <c r="BL284" s="21"/>
      <c r="BM284" s="21"/>
      <c r="BN284" s="21"/>
      <c r="BO284" s="21"/>
      <c r="BP284" s="21"/>
      <c r="BQ284" s="21"/>
      <c r="BR284" s="21"/>
      <c r="BS284" s="21"/>
      <c r="BT284" s="21"/>
      <c r="BU284" s="21"/>
      <c r="BV284" s="21"/>
      <c r="BW284" s="21"/>
      <c r="BX284" s="21"/>
      <c r="BY284" s="21"/>
      <c r="BZ284" s="21"/>
      <c r="CA284" s="21"/>
      <c r="CB284" s="21"/>
      <c r="CC284" s="21"/>
      <c r="CD284" s="21"/>
      <c r="CE284" s="21"/>
      <c r="CF284" s="21"/>
      <c r="CG284" s="21"/>
      <c r="CH284" s="21"/>
      <c r="CI284" s="21"/>
      <c r="CJ284" s="21"/>
      <c r="CK284" s="21"/>
      <c r="CL284" s="21"/>
      <c r="CM284" s="21"/>
      <c r="CN284" s="21"/>
      <c r="CO284" s="21"/>
      <c r="CP284" s="21"/>
      <c r="CQ284" s="21"/>
      <c r="CR284" s="21"/>
      <c r="CS284" s="21"/>
      <c r="CT284" s="21"/>
      <c r="CU284" s="21"/>
      <c r="CV284" s="21"/>
      <c r="CW284" s="21"/>
      <c r="CX284" s="21"/>
      <c r="CY284" s="21"/>
      <c r="CZ284" s="21"/>
      <c r="DA284" s="21"/>
      <c r="DB284" s="21"/>
      <c r="DC284" s="21"/>
      <c r="DD284" s="21"/>
      <c r="DE284" s="21"/>
      <c r="DF284" s="21"/>
    </row>
    <row r="285" spans="1:110" s="14" customFormat="1" x14ac:dyDescent="0.3">
      <c r="A285" s="21" t="s">
        <v>32</v>
      </c>
      <c r="B285" s="21" t="s">
        <v>290</v>
      </c>
      <c r="C285" s="21" t="s">
        <v>416</v>
      </c>
      <c r="D285" s="42">
        <f>D284-D284*inputs!$E$34</f>
        <v>0</v>
      </c>
      <c r="E285" s="21" t="str">
        <f t="shared" ca="1" si="5"/>
        <v>=D284-D284*inputs!$E$34</v>
      </c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  <c r="AT285" s="21"/>
      <c r="AU285" s="21"/>
      <c r="AV285" s="21"/>
      <c r="AW285" s="21"/>
      <c r="AX285" s="21"/>
      <c r="AY285" s="21"/>
      <c r="AZ285" s="21"/>
      <c r="BA285" s="21"/>
      <c r="BB285" s="21"/>
      <c r="BC285" s="21"/>
      <c r="BD285" s="21"/>
      <c r="BE285" s="21"/>
      <c r="BF285" s="21"/>
      <c r="BG285" s="21"/>
      <c r="BH285" s="21"/>
      <c r="BI285" s="21"/>
      <c r="BJ285" s="21"/>
      <c r="BK285" s="21"/>
      <c r="BL285" s="21"/>
      <c r="BM285" s="21"/>
      <c r="BN285" s="21"/>
      <c r="BO285" s="21"/>
      <c r="BP285" s="21"/>
      <c r="BQ285" s="21"/>
      <c r="BR285" s="21"/>
      <c r="BS285" s="21"/>
      <c r="BT285" s="21"/>
      <c r="BU285" s="21"/>
      <c r="BV285" s="21"/>
      <c r="BW285" s="21"/>
      <c r="BX285" s="21"/>
      <c r="BY285" s="21"/>
      <c r="BZ285" s="21"/>
      <c r="CA285" s="21"/>
      <c r="CB285" s="21"/>
      <c r="CC285" s="21"/>
      <c r="CD285" s="21"/>
      <c r="CE285" s="21"/>
      <c r="CF285" s="21"/>
      <c r="CG285" s="21"/>
      <c r="CH285" s="21"/>
      <c r="CI285" s="21"/>
      <c r="CJ285" s="21"/>
      <c r="CK285" s="21"/>
      <c r="CL285" s="21"/>
      <c r="CM285" s="21"/>
      <c r="CN285" s="21"/>
      <c r="CO285" s="21"/>
      <c r="CP285" s="21"/>
      <c r="CQ285" s="21"/>
      <c r="CR285" s="21"/>
      <c r="CS285" s="21"/>
      <c r="CT285" s="21"/>
      <c r="CU285" s="21"/>
      <c r="CV285" s="21"/>
      <c r="CW285" s="21"/>
      <c r="CX285" s="21"/>
      <c r="CY285" s="21"/>
      <c r="CZ285" s="21"/>
      <c r="DA285" s="21"/>
      <c r="DB285" s="21"/>
      <c r="DC285" s="21"/>
      <c r="DD285" s="21"/>
      <c r="DE285" s="21"/>
      <c r="DF285" s="21"/>
    </row>
    <row r="286" spans="1:110" s="14" customFormat="1" x14ac:dyDescent="0.3">
      <c r="A286" s="21" t="s">
        <v>32</v>
      </c>
      <c r="B286" s="21" t="s">
        <v>290</v>
      </c>
      <c r="C286" s="21" t="s">
        <v>417</v>
      </c>
      <c r="D286" s="42">
        <f>D285-D285*inputs!$E$35</f>
        <v>0</v>
      </c>
      <c r="E286" s="21" t="str">
        <f t="shared" ca="1" si="5"/>
        <v>=D285-D285*inputs!$E$35</v>
      </c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  <c r="AT286" s="21"/>
      <c r="AU286" s="21"/>
      <c r="AV286" s="21"/>
      <c r="AW286" s="21"/>
      <c r="AX286" s="21"/>
      <c r="AY286" s="21"/>
      <c r="AZ286" s="21"/>
      <c r="BA286" s="21"/>
      <c r="BB286" s="21"/>
      <c r="BC286" s="21"/>
      <c r="BD286" s="21"/>
      <c r="BE286" s="21"/>
      <c r="BF286" s="21"/>
      <c r="BG286" s="21"/>
      <c r="BH286" s="21"/>
      <c r="BI286" s="21"/>
      <c r="BJ286" s="21"/>
      <c r="BK286" s="21"/>
      <c r="BL286" s="21"/>
      <c r="BM286" s="21"/>
      <c r="BN286" s="21"/>
      <c r="BO286" s="21"/>
      <c r="BP286" s="21"/>
      <c r="BQ286" s="21"/>
      <c r="BR286" s="21"/>
      <c r="BS286" s="21"/>
      <c r="BT286" s="21"/>
      <c r="BU286" s="21"/>
      <c r="BV286" s="21"/>
      <c r="BW286" s="21"/>
      <c r="BX286" s="21"/>
      <c r="BY286" s="21"/>
      <c r="BZ286" s="21"/>
      <c r="CA286" s="21"/>
      <c r="CB286" s="21"/>
      <c r="CC286" s="21"/>
      <c r="CD286" s="21"/>
      <c r="CE286" s="21"/>
      <c r="CF286" s="21"/>
      <c r="CG286" s="21"/>
      <c r="CH286" s="21"/>
      <c r="CI286" s="21"/>
      <c r="CJ286" s="21"/>
      <c r="CK286" s="21"/>
      <c r="CL286" s="21"/>
      <c r="CM286" s="21"/>
      <c r="CN286" s="21"/>
      <c r="CO286" s="21"/>
      <c r="CP286" s="21"/>
      <c r="CQ286" s="21"/>
      <c r="CR286" s="21"/>
      <c r="CS286" s="21"/>
      <c r="CT286" s="21"/>
      <c r="CU286" s="21"/>
      <c r="CV286" s="21"/>
      <c r="CW286" s="21"/>
      <c r="CX286" s="21"/>
      <c r="CY286" s="21"/>
      <c r="CZ286" s="21"/>
      <c r="DA286" s="21"/>
      <c r="DB286" s="21"/>
      <c r="DC286" s="21"/>
      <c r="DD286" s="21"/>
      <c r="DE286" s="21"/>
      <c r="DF286" s="21"/>
    </row>
    <row r="287" spans="1:110" s="14" customFormat="1" x14ac:dyDescent="0.3">
      <c r="A287" s="21" t="s">
        <v>32</v>
      </c>
      <c r="B287" s="21" t="s">
        <v>290</v>
      </c>
      <c r="C287" s="21" t="s">
        <v>418</v>
      </c>
      <c r="D287" s="42">
        <f>D286-D286*inputs!$E$35</f>
        <v>0</v>
      </c>
      <c r="E287" s="21" t="str">
        <f t="shared" ca="1" si="5"/>
        <v>=D286-D286*inputs!$E$35</v>
      </c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  <c r="AT287" s="21"/>
      <c r="AU287" s="21"/>
      <c r="AV287" s="21"/>
      <c r="AW287" s="21"/>
      <c r="AX287" s="21"/>
      <c r="AY287" s="21"/>
      <c r="AZ287" s="21"/>
      <c r="BA287" s="21"/>
      <c r="BB287" s="21"/>
      <c r="BC287" s="21"/>
      <c r="BD287" s="21"/>
      <c r="BE287" s="21"/>
      <c r="BF287" s="21"/>
      <c r="BG287" s="21"/>
      <c r="BH287" s="21"/>
      <c r="BI287" s="21"/>
      <c r="BJ287" s="21"/>
      <c r="BK287" s="21"/>
      <c r="BL287" s="21"/>
      <c r="BM287" s="21"/>
      <c r="BN287" s="21"/>
      <c r="BO287" s="21"/>
      <c r="BP287" s="21"/>
      <c r="BQ287" s="21"/>
      <c r="BR287" s="21"/>
      <c r="BS287" s="21"/>
      <c r="BT287" s="21"/>
      <c r="BU287" s="21"/>
      <c r="BV287" s="21"/>
      <c r="BW287" s="21"/>
      <c r="BX287" s="21"/>
      <c r="BY287" s="21"/>
      <c r="BZ287" s="21"/>
      <c r="CA287" s="21"/>
      <c r="CB287" s="21"/>
      <c r="CC287" s="21"/>
      <c r="CD287" s="21"/>
      <c r="CE287" s="21"/>
      <c r="CF287" s="21"/>
      <c r="CG287" s="21"/>
      <c r="CH287" s="21"/>
      <c r="CI287" s="21"/>
      <c r="CJ287" s="21"/>
      <c r="CK287" s="21"/>
      <c r="CL287" s="21"/>
      <c r="CM287" s="21"/>
      <c r="CN287" s="21"/>
      <c r="CO287" s="21"/>
      <c r="CP287" s="21"/>
      <c r="CQ287" s="21"/>
      <c r="CR287" s="21"/>
      <c r="CS287" s="21"/>
      <c r="CT287" s="21"/>
      <c r="CU287" s="21"/>
      <c r="CV287" s="21"/>
      <c r="CW287" s="21"/>
      <c r="CX287" s="21"/>
      <c r="CY287" s="21"/>
      <c r="CZ287" s="21"/>
      <c r="DA287" s="21"/>
      <c r="DB287" s="21"/>
      <c r="DC287" s="21"/>
      <c r="DD287" s="21"/>
      <c r="DE287" s="21"/>
      <c r="DF287" s="21"/>
    </row>
    <row r="288" spans="1:110" s="14" customFormat="1" x14ac:dyDescent="0.3">
      <c r="A288" s="21" t="s">
        <v>32</v>
      </c>
      <c r="B288" s="21" t="s">
        <v>290</v>
      </c>
      <c r="C288" s="21" t="s">
        <v>419</v>
      </c>
      <c r="D288" s="42">
        <f>D287-D287*inputs!$E$35</f>
        <v>0</v>
      </c>
      <c r="E288" s="21" t="str">
        <f t="shared" ca="1" si="5"/>
        <v>=D287-D287*inputs!$E$35</v>
      </c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  <c r="AT288" s="21"/>
      <c r="AU288" s="21"/>
      <c r="AV288" s="21"/>
      <c r="AW288" s="21"/>
      <c r="AX288" s="21"/>
      <c r="AY288" s="21"/>
      <c r="AZ288" s="21"/>
      <c r="BA288" s="21"/>
      <c r="BB288" s="21"/>
      <c r="BC288" s="21"/>
      <c r="BD288" s="21"/>
      <c r="BE288" s="21"/>
      <c r="BF288" s="21"/>
      <c r="BG288" s="21"/>
      <c r="BH288" s="21"/>
      <c r="BI288" s="21"/>
      <c r="BJ288" s="21"/>
      <c r="BK288" s="21"/>
      <c r="BL288" s="21"/>
      <c r="BM288" s="21"/>
      <c r="BN288" s="21"/>
      <c r="BO288" s="21"/>
      <c r="BP288" s="21"/>
      <c r="BQ288" s="21"/>
      <c r="BR288" s="21"/>
      <c r="BS288" s="21"/>
      <c r="BT288" s="21"/>
      <c r="BU288" s="21"/>
      <c r="BV288" s="21"/>
      <c r="BW288" s="21"/>
      <c r="BX288" s="21"/>
      <c r="BY288" s="21"/>
      <c r="BZ288" s="21"/>
      <c r="CA288" s="21"/>
      <c r="CB288" s="21"/>
      <c r="CC288" s="21"/>
      <c r="CD288" s="21"/>
      <c r="CE288" s="21"/>
      <c r="CF288" s="21"/>
      <c r="CG288" s="21"/>
      <c r="CH288" s="21"/>
      <c r="CI288" s="21"/>
      <c r="CJ288" s="21"/>
      <c r="CK288" s="21"/>
      <c r="CL288" s="21"/>
      <c r="CM288" s="21"/>
      <c r="CN288" s="21"/>
      <c r="CO288" s="21"/>
      <c r="CP288" s="21"/>
      <c r="CQ288" s="21"/>
      <c r="CR288" s="21"/>
      <c r="CS288" s="21"/>
      <c r="CT288" s="21"/>
      <c r="CU288" s="21"/>
      <c r="CV288" s="21"/>
      <c r="CW288" s="21"/>
      <c r="CX288" s="21"/>
      <c r="CY288" s="21"/>
      <c r="CZ288" s="21"/>
      <c r="DA288" s="21"/>
      <c r="DB288" s="21"/>
      <c r="DC288" s="21"/>
      <c r="DD288" s="21"/>
      <c r="DE288" s="21"/>
      <c r="DF288" s="21"/>
    </row>
    <row r="289" spans="1:110" s="14" customFormat="1" x14ac:dyDescent="0.3">
      <c r="A289" s="21" t="s">
        <v>32</v>
      </c>
      <c r="B289" s="21" t="s">
        <v>290</v>
      </c>
      <c r="C289" s="21" t="s">
        <v>420</v>
      </c>
      <c r="D289" s="42">
        <f>D288-D288*inputs!$E$35</f>
        <v>0</v>
      </c>
      <c r="E289" s="21" t="str">
        <f t="shared" ca="1" si="5"/>
        <v>=D288-D288*inputs!$E$35</v>
      </c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  <c r="AT289" s="21"/>
      <c r="AU289" s="21"/>
      <c r="AV289" s="21"/>
      <c r="AW289" s="21"/>
      <c r="AX289" s="21"/>
      <c r="AY289" s="21"/>
      <c r="AZ289" s="21"/>
      <c r="BA289" s="21"/>
      <c r="BB289" s="21"/>
      <c r="BC289" s="21"/>
      <c r="BD289" s="21"/>
      <c r="BE289" s="21"/>
      <c r="BF289" s="21"/>
      <c r="BG289" s="21"/>
      <c r="BH289" s="21"/>
      <c r="BI289" s="21"/>
      <c r="BJ289" s="21"/>
      <c r="BK289" s="21"/>
      <c r="BL289" s="21"/>
      <c r="BM289" s="21"/>
      <c r="BN289" s="21"/>
      <c r="BO289" s="21"/>
      <c r="BP289" s="21"/>
      <c r="BQ289" s="21"/>
      <c r="BR289" s="21"/>
      <c r="BS289" s="21"/>
      <c r="BT289" s="21"/>
      <c r="BU289" s="21"/>
      <c r="BV289" s="21"/>
      <c r="BW289" s="21"/>
      <c r="BX289" s="21"/>
      <c r="BY289" s="21"/>
      <c r="BZ289" s="21"/>
      <c r="CA289" s="21"/>
      <c r="CB289" s="21"/>
      <c r="CC289" s="21"/>
      <c r="CD289" s="21"/>
      <c r="CE289" s="21"/>
      <c r="CF289" s="21"/>
      <c r="CG289" s="21"/>
      <c r="CH289" s="21"/>
      <c r="CI289" s="21"/>
      <c r="CJ289" s="21"/>
      <c r="CK289" s="21"/>
      <c r="CL289" s="21"/>
      <c r="CM289" s="21"/>
      <c r="CN289" s="21"/>
      <c r="CO289" s="21"/>
      <c r="CP289" s="21"/>
      <c r="CQ289" s="21"/>
      <c r="CR289" s="21"/>
      <c r="CS289" s="21"/>
      <c r="CT289" s="21"/>
      <c r="CU289" s="21"/>
      <c r="CV289" s="21"/>
      <c r="CW289" s="21"/>
      <c r="CX289" s="21"/>
      <c r="CY289" s="21"/>
      <c r="CZ289" s="21"/>
      <c r="DA289" s="21"/>
      <c r="DB289" s="21"/>
      <c r="DC289" s="21"/>
      <c r="DD289" s="21"/>
      <c r="DE289" s="21"/>
      <c r="DF289" s="21"/>
    </row>
    <row r="290" spans="1:110" s="14" customFormat="1" x14ac:dyDescent="0.3">
      <c r="A290" s="21" t="s">
        <v>32</v>
      </c>
      <c r="B290" s="21" t="s">
        <v>290</v>
      </c>
      <c r="C290" s="21" t="s">
        <v>421</v>
      </c>
      <c r="D290" s="42">
        <f>D289-D289*inputs!$E$35</f>
        <v>0</v>
      </c>
      <c r="E290" s="21" t="str">
        <f t="shared" ca="1" si="5"/>
        <v>=D289-D289*inputs!$E$35</v>
      </c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  <c r="AT290" s="21"/>
      <c r="AU290" s="21"/>
      <c r="AV290" s="21"/>
      <c r="AW290" s="21"/>
      <c r="AX290" s="21"/>
      <c r="AY290" s="21"/>
      <c r="AZ290" s="21"/>
      <c r="BA290" s="21"/>
      <c r="BB290" s="21"/>
      <c r="BC290" s="21"/>
      <c r="BD290" s="21"/>
      <c r="BE290" s="21"/>
      <c r="BF290" s="21"/>
      <c r="BG290" s="21"/>
      <c r="BH290" s="21"/>
      <c r="BI290" s="21"/>
      <c r="BJ290" s="21"/>
      <c r="BK290" s="21"/>
      <c r="BL290" s="21"/>
      <c r="BM290" s="21"/>
      <c r="BN290" s="21"/>
      <c r="BO290" s="21"/>
      <c r="BP290" s="21"/>
      <c r="BQ290" s="21"/>
      <c r="BR290" s="21"/>
      <c r="BS290" s="21"/>
      <c r="BT290" s="21"/>
      <c r="BU290" s="21"/>
      <c r="BV290" s="21"/>
      <c r="BW290" s="21"/>
      <c r="BX290" s="21"/>
      <c r="BY290" s="21"/>
      <c r="BZ290" s="21"/>
      <c r="CA290" s="21"/>
      <c r="CB290" s="21"/>
      <c r="CC290" s="21"/>
      <c r="CD290" s="21"/>
      <c r="CE290" s="21"/>
      <c r="CF290" s="21"/>
      <c r="CG290" s="21"/>
      <c r="CH290" s="21"/>
      <c r="CI290" s="21"/>
      <c r="CJ290" s="21"/>
      <c r="CK290" s="21"/>
      <c r="CL290" s="21"/>
      <c r="CM290" s="21"/>
      <c r="CN290" s="21"/>
      <c r="CO290" s="21"/>
      <c r="CP290" s="21"/>
      <c r="CQ290" s="21"/>
      <c r="CR290" s="21"/>
      <c r="CS290" s="21"/>
      <c r="CT290" s="21"/>
      <c r="CU290" s="21"/>
      <c r="CV290" s="21"/>
      <c r="CW290" s="21"/>
      <c r="CX290" s="21"/>
      <c r="CY290" s="21"/>
      <c r="CZ290" s="21"/>
      <c r="DA290" s="21"/>
      <c r="DB290" s="21"/>
      <c r="DC290" s="21"/>
      <c r="DD290" s="21"/>
      <c r="DE290" s="21"/>
      <c r="DF290" s="21"/>
    </row>
    <row r="291" spans="1:110" s="14" customFormat="1" x14ac:dyDescent="0.3">
      <c r="A291" s="21" t="s">
        <v>32</v>
      </c>
      <c r="B291" s="21" t="s">
        <v>290</v>
      </c>
      <c r="C291" s="21" t="s">
        <v>422</v>
      </c>
      <c r="D291" s="42">
        <f>D290-D290*inputs!$E$35</f>
        <v>0</v>
      </c>
      <c r="E291" s="21" t="str">
        <f t="shared" ca="1" si="5"/>
        <v>=D290-D290*inputs!$E$35</v>
      </c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  <c r="AT291" s="21"/>
      <c r="AU291" s="21"/>
      <c r="AV291" s="21"/>
      <c r="AW291" s="21"/>
      <c r="AX291" s="21"/>
      <c r="AY291" s="21"/>
      <c r="AZ291" s="21"/>
      <c r="BA291" s="21"/>
      <c r="BB291" s="21"/>
      <c r="BC291" s="21"/>
      <c r="BD291" s="21"/>
      <c r="BE291" s="21"/>
      <c r="BF291" s="21"/>
      <c r="BG291" s="21"/>
      <c r="BH291" s="21"/>
      <c r="BI291" s="21"/>
      <c r="BJ291" s="21"/>
      <c r="BK291" s="21"/>
      <c r="BL291" s="21"/>
      <c r="BM291" s="21"/>
      <c r="BN291" s="21"/>
      <c r="BO291" s="21"/>
      <c r="BP291" s="21"/>
      <c r="BQ291" s="21"/>
      <c r="BR291" s="21"/>
      <c r="BS291" s="21"/>
      <c r="BT291" s="21"/>
      <c r="BU291" s="21"/>
      <c r="BV291" s="21"/>
      <c r="BW291" s="21"/>
      <c r="BX291" s="21"/>
      <c r="BY291" s="21"/>
      <c r="BZ291" s="21"/>
      <c r="CA291" s="21"/>
      <c r="CB291" s="21"/>
      <c r="CC291" s="21"/>
      <c r="CD291" s="21"/>
      <c r="CE291" s="21"/>
      <c r="CF291" s="21"/>
      <c r="CG291" s="21"/>
      <c r="CH291" s="21"/>
      <c r="CI291" s="21"/>
      <c r="CJ291" s="21"/>
      <c r="CK291" s="21"/>
      <c r="CL291" s="21"/>
      <c r="CM291" s="21"/>
      <c r="CN291" s="21"/>
      <c r="CO291" s="21"/>
      <c r="CP291" s="21"/>
      <c r="CQ291" s="21"/>
      <c r="CR291" s="21"/>
      <c r="CS291" s="21"/>
      <c r="CT291" s="21"/>
      <c r="CU291" s="21"/>
      <c r="CV291" s="21"/>
      <c r="CW291" s="21"/>
      <c r="CX291" s="21"/>
      <c r="CY291" s="21"/>
      <c r="CZ291" s="21"/>
      <c r="DA291" s="21"/>
      <c r="DB291" s="21"/>
      <c r="DC291" s="21"/>
      <c r="DD291" s="21"/>
      <c r="DE291" s="21"/>
      <c r="DF291" s="21"/>
    </row>
    <row r="292" spans="1:110" s="14" customFormat="1" x14ac:dyDescent="0.3">
      <c r="A292" s="21" t="s">
        <v>32</v>
      </c>
      <c r="B292" s="21" t="s">
        <v>290</v>
      </c>
      <c r="C292" s="21" t="s">
        <v>423</v>
      </c>
      <c r="D292" s="42">
        <f>D291-D291*inputs!$E$35</f>
        <v>0</v>
      </c>
      <c r="E292" s="21" t="str">
        <f t="shared" ca="1" si="5"/>
        <v>=D291-D291*inputs!$E$35</v>
      </c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  <c r="AT292" s="21"/>
      <c r="AU292" s="21"/>
      <c r="AV292" s="21"/>
      <c r="AW292" s="21"/>
      <c r="AX292" s="21"/>
      <c r="AY292" s="21"/>
      <c r="AZ292" s="21"/>
      <c r="BA292" s="21"/>
      <c r="BB292" s="21"/>
      <c r="BC292" s="21"/>
      <c r="BD292" s="21"/>
      <c r="BE292" s="21"/>
      <c r="BF292" s="21"/>
      <c r="BG292" s="21"/>
      <c r="BH292" s="21"/>
      <c r="BI292" s="21"/>
      <c r="BJ292" s="21"/>
      <c r="BK292" s="21"/>
      <c r="BL292" s="21"/>
      <c r="BM292" s="21"/>
      <c r="BN292" s="21"/>
      <c r="BO292" s="21"/>
      <c r="BP292" s="21"/>
      <c r="BQ292" s="21"/>
      <c r="BR292" s="21"/>
      <c r="BS292" s="21"/>
      <c r="BT292" s="21"/>
      <c r="BU292" s="21"/>
      <c r="BV292" s="21"/>
      <c r="BW292" s="21"/>
      <c r="BX292" s="21"/>
      <c r="BY292" s="21"/>
      <c r="BZ292" s="21"/>
      <c r="CA292" s="21"/>
      <c r="CB292" s="21"/>
      <c r="CC292" s="21"/>
      <c r="CD292" s="21"/>
      <c r="CE292" s="21"/>
      <c r="CF292" s="21"/>
      <c r="CG292" s="21"/>
      <c r="CH292" s="21"/>
      <c r="CI292" s="21"/>
      <c r="CJ292" s="21"/>
      <c r="CK292" s="21"/>
      <c r="CL292" s="21"/>
      <c r="CM292" s="21"/>
      <c r="CN292" s="21"/>
      <c r="CO292" s="21"/>
      <c r="CP292" s="21"/>
      <c r="CQ292" s="21"/>
      <c r="CR292" s="21"/>
      <c r="CS292" s="21"/>
      <c r="CT292" s="21"/>
      <c r="CU292" s="21"/>
      <c r="CV292" s="21"/>
      <c r="CW292" s="21"/>
      <c r="CX292" s="21"/>
      <c r="CY292" s="21"/>
      <c r="CZ292" s="21"/>
      <c r="DA292" s="21"/>
      <c r="DB292" s="21"/>
      <c r="DC292" s="21"/>
      <c r="DD292" s="21"/>
      <c r="DE292" s="21"/>
      <c r="DF292" s="21"/>
    </row>
    <row r="293" spans="1:110" s="14" customFormat="1" x14ac:dyDescent="0.3">
      <c r="A293" s="21" t="s">
        <v>32</v>
      </c>
      <c r="B293" s="21" t="s">
        <v>290</v>
      </c>
      <c r="C293" s="21" t="s">
        <v>424</v>
      </c>
      <c r="D293" s="42">
        <f>D292-D292*inputs!$E$35</f>
        <v>0</v>
      </c>
      <c r="E293" s="21" t="str">
        <f t="shared" ca="1" si="5"/>
        <v>=D292-D292*inputs!$E$35</v>
      </c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  <c r="AT293" s="21"/>
      <c r="AU293" s="21"/>
      <c r="AV293" s="21"/>
      <c r="AW293" s="21"/>
      <c r="AX293" s="21"/>
      <c r="AY293" s="21"/>
      <c r="AZ293" s="21"/>
      <c r="BA293" s="21"/>
      <c r="BB293" s="21"/>
      <c r="BC293" s="21"/>
      <c r="BD293" s="21"/>
      <c r="BE293" s="21"/>
      <c r="BF293" s="21"/>
      <c r="BG293" s="21"/>
      <c r="BH293" s="21"/>
      <c r="BI293" s="21"/>
      <c r="BJ293" s="21"/>
      <c r="BK293" s="21"/>
      <c r="BL293" s="21"/>
      <c r="BM293" s="21"/>
      <c r="BN293" s="21"/>
      <c r="BO293" s="21"/>
      <c r="BP293" s="21"/>
      <c r="BQ293" s="21"/>
      <c r="BR293" s="21"/>
      <c r="BS293" s="21"/>
      <c r="BT293" s="21"/>
      <c r="BU293" s="21"/>
      <c r="BV293" s="21"/>
      <c r="BW293" s="21"/>
      <c r="BX293" s="21"/>
      <c r="BY293" s="21"/>
      <c r="BZ293" s="21"/>
      <c r="CA293" s="21"/>
      <c r="CB293" s="21"/>
      <c r="CC293" s="21"/>
      <c r="CD293" s="21"/>
      <c r="CE293" s="21"/>
      <c r="CF293" s="21"/>
      <c r="CG293" s="21"/>
      <c r="CH293" s="21"/>
      <c r="CI293" s="21"/>
      <c r="CJ293" s="21"/>
      <c r="CK293" s="21"/>
      <c r="CL293" s="21"/>
      <c r="CM293" s="21"/>
      <c r="CN293" s="21"/>
      <c r="CO293" s="21"/>
      <c r="CP293" s="21"/>
      <c r="CQ293" s="21"/>
      <c r="CR293" s="21"/>
      <c r="CS293" s="21"/>
      <c r="CT293" s="21"/>
      <c r="CU293" s="21"/>
      <c r="CV293" s="21"/>
      <c r="CW293" s="21"/>
      <c r="CX293" s="21"/>
      <c r="CY293" s="21"/>
      <c r="CZ293" s="21"/>
      <c r="DA293" s="21"/>
      <c r="DB293" s="21"/>
      <c r="DC293" s="21"/>
      <c r="DD293" s="21"/>
      <c r="DE293" s="21"/>
      <c r="DF293" s="21"/>
    </row>
    <row r="294" spans="1:110" s="14" customFormat="1" x14ac:dyDescent="0.3">
      <c r="A294" s="21" t="s">
        <v>32</v>
      </c>
      <c r="B294" s="21" t="s">
        <v>290</v>
      </c>
      <c r="C294" s="21" t="s">
        <v>425</v>
      </c>
      <c r="D294" s="42">
        <f>D293-D293*inputs!$E$35</f>
        <v>0</v>
      </c>
      <c r="E294" s="21" t="str">
        <f t="shared" ca="1" si="5"/>
        <v>=D293-D293*inputs!$E$35</v>
      </c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  <c r="AT294" s="21"/>
      <c r="AU294" s="21"/>
      <c r="AV294" s="21"/>
      <c r="AW294" s="21"/>
      <c r="AX294" s="21"/>
      <c r="AY294" s="21"/>
      <c r="AZ294" s="21"/>
      <c r="BA294" s="21"/>
      <c r="BB294" s="21"/>
      <c r="BC294" s="21"/>
      <c r="BD294" s="21"/>
      <c r="BE294" s="21"/>
      <c r="BF294" s="21"/>
      <c r="BG294" s="21"/>
      <c r="BH294" s="21"/>
      <c r="BI294" s="21"/>
      <c r="BJ294" s="21"/>
      <c r="BK294" s="21"/>
      <c r="BL294" s="21"/>
      <c r="BM294" s="21"/>
      <c r="BN294" s="21"/>
      <c r="BO294" s="21"/>
      <c r="BP294" s="21"/>
      <c r="BQ294" s="21"/>
      <c r="BR294" s="21"/>
      <c r="BS294" s="21"/>
      <c r="BT294" s="21"/>
      <c r="BU294" s="21"/>
      <c r="BV294" s="21"/>
      <c r="BW294" s="21"/>
      <c r="BX294" s="21"/>
      <c r="BY294" s="21"/>
      <c r="BZ294" s="21"/>
      <c r="CA294" s="21"/>
      <c r="CB294" s="21"/>
      <c r="CC294" s="21"/>
      <c r="CD294" s="21"/>
      <c r="CE294" s="21"/>
      <c r="CF294" s="21"/>
      <c r="CG294" s="21"/>
      <c r="CH294" s="21"/>
      <c r="CI294" s="21"/>
      <c r="CJ294" s="21"/>
      <c r="CK294" s="21"/>
      <c r="CL294" s="21"/>
      <c r="CM294" s="21"/>
      <c r="CN294" s="21"/>
      <c r="CO294" s="21"/>
      <c r="CP294" s="21"/>
      <c r="CQ294" s="21"/>
      <c r="CR294" s="21"/>
      <c r="CS294" s="21"/>
      <c r="CT294" s="21"/>
      <c r="CU294" s="21"/>
      <c r="CV294" s="21"/>
      <c r="CW294" s="21"/>
      <c r="CX294" s="21"/>
      <c r="CY294" s="21"/>
      <c r="CZ294" s="21"/>
      <c r="DA294" s="21"/>
      <c r="DB294" s="21"/>
      <c r="DC294" s="21"/>
      <c r="DD294" s="21"/>
      <c r="DE294" s="21"/>
      <c r="DF294" s="21"/>
    </row>
    <row r="295" spans="1:110" s="14" customFormat="1" x14ac:dyDescent="0.3">
      <c r="A295" s="21" t="s">
        <v>32</v>
      </c>
      <c r="B295" s="21" t="s">
        <v>290</v>
      </c>
      <c r="C295" s="21" t="s">
        <v>426</v>
      </c>
      <c r="D295" s="42">
        <f>D294-D294*inputs!$E$35</f>
        <v>0</v>
      </c>
      <c r="E295" s="21" t="str">
        <f t="shared" ca="1" si="5"/>
        <v>=D294-D294*inputs!$E$35</v>
      </c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  <c r="AT295" s="21"/>
      <c r="AU295" s="21"/>
      <c r="AV295" s="21"/>
      <c r="AW295" s="21"/>
      <c r="AX295" s="21"/>
      <c r="AY295" s="21"/>
      <c r="AZ295" s="21"/>
      <c r="BA295" s="21"/>
      <c r="BB295" s="21"/>
      <c r="BC295" s="21"/>
      <c r="BD295" s="21"/>
      <c r="BE295" s="21"/>
      <c r="BF295" s="21"/>
      <c r="BG295" s="21"/>
      <c r="BH295" s="21"/>
      <c r="BI295" s="21"/>
      <c r="BJ295" s="21"/>
      <c r="BK295" s="21"/>
      <c r="BL295" s="21"/>
      <c r="BM295" s="21"/>
      <c r="BN295" s="21"/>
      <c r="BO295" s="21"/>
      <c r="BP295" s="21"/>
      <c r="BQ295" s="21"/>
      <c r="BR295" s="21"/>
      <c r="BS295" s="21"/>
      <c r="BT295" s="21"/>
      <c r="BU295" s="21"/>
      <c r="BV295" s="21"/>
      <c r="BW295" s="21"/>
      <c r="BX295" s="21"/>
      <c r="BY295" s="21"/>
      <c r="BZ295" s="21"/>
      <c r="CA295" s="21"/>
      <c r="CB295" s="21"/>
      <c r="CC295" s="21"/>
      <c r="CD295" s="21"/>
      <c r="CE295" s="21"/>
      <c r="CF295" s="21"/>
      <c r="CG295" s="21"/>
      <c r="CH295" s="21"/>
      <c r="CI295" s="21"/>
      <c r="CJ295" s="21"/>
      <c r="CK295" s="21"/>
      <c r="CL295" s="21"/>
      <c r="CM295" s="21"/>
      <c r="CN295" s="21"/>
      <c r="CO295" s="21"/>
      <c r="CP295" s="21"/>
      <c r="CQ295" s="21"/>
      <c r="CR295" s="21"/>
      <c r="CS295" s="21"/>
      <c r="CT295" s="21"/>
      <c r="CU295" s="21"/>
      <c r="CV295" s="21"/>
      <c r="CW295" s="21"/>
      <c r="CX295" s="21"/>
      <c r="CY295" s="21"/>
      <c r="CZ295" s="21"/>
      <c r="DA295" s="21"/>
      <c r="DB295" s="21"/>
      <c r="DC295" s="21"/>
      <c r="DD295" s="21"/>
      <c r="DE295" s="21"/>
      <c r="DF295" s="21"/>
    </row>
    <row r="296" spans="1:110" s="14" customFormat="1" x14ac:dyDescent="0.3">
      <c r="A296" s="21" t="s">
        <v>32</v>
      </c>
      <c r="B296" s="21" t="s">
        <v>290</v>
      </c>
      <c r="C296" s="21" t="s">
        <v>427</v>
      </c>
      <c r="D296" s="42">
        <f>D295-D295*inputs!$E$36</f>
        <v>0</v>
      </c>
      <c r="E296" s="21" t="str">
        <f t="shared" ca="1" si="5"/>
        <v>=D295-D295*inputs!$E$36</v>
      </c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  <c r="AT296" s="21"/>
      <c r="AU296" s="21"/>
      <c r="AV296" s="21"/>
      <c r="AW296" s="21"/>
      <c r="AX296" s="21"/>
      <c r="AY296" s="21"/>
      <c r="AZ296" s="21"/>
      <c r="BA296" s="21"/>
      <c r="BB296" s="21"/>
      <c r="BC296" s="21"/>
      <c r="BD296" s="21"/>
      <c r="BE296" s="21"/>
      <c r="BF296" s="21"/>
      <c r="BG296" s="21"/>
      <c r="BH296" s="21"/>
      <c r="BI296" s="21"/>
      <c r="BJ296" s="21"/>
      <c r="BK296" s="21"/>
      <c r="BL296" s="21"/>
      <c r="BM296" s="21"/>
      <c r="BN296" s="21"/>
      <c r="BO296" s="21"/>
      <c r="BP296" s="21"/>
      <c r="BQ296" s="21"/>
      <c r="BR296" s="21"/>
      <c r="BS296" s="21"/>
      <c r="BT296" s="21"/>
      <c r="BU296" s="21"/>
      <c r="BV296" s="21"/>
      <c r="BW296" s="21"/>
      <c r="BX296" s="21"/>
      <c r="BY296" s="21"/>
      <c r="BZ296" s="21"/>
      <c r="CA296" s="21"/>
      <c r="CB296" s="21"/>
      <c r="CC296" s="21"/>
      <c r="CD296" s="21"/>
      <c r="CE296" s="21"/>
      <c r="CF296" s="21"/>
      <c r="CG296" s="21"/>
      <c r="CH296" s="21"/>
      <c r="CI296" s="21"/>
      <c r="CJ296" s="21"/>
      <c r="CK296" s="21"/>
      <c r="CL296" s="21"/>
      <c r="CM296" s="21"/>
      <c r="CN296" s="21"/>
      <c r="CO296" s="21"/>
      <c r="CP296" s="21"/>
      <c r="CQ296" s="21"/>
      <c r="CR296" s="21"/>
      <c r="CS296" s="21"/>
      <c r="CT296" s="21"/>
      <c r="CU296" s="21"/>
      <c r="CV296" s="21"/>
      <c r="CW296" s="21"/>
      <c r="CX296" s="21"/>
      <c r="CY296" s="21"/>
      <c r="CZ296" s="21"/>
      <c r="DA296" s="21"/>
      <c r="DB296" s="21"/>
      <c r="DC296" s="21"/>
      <c r="DD296" s="21"/>
      <c r="DE296" s="21"/>
      <c r="DF296" s="21"/>
    </row>
    <row r="297" spans="1:110" s="14" customFormat="1" x14ac:dyDescent="0.3">
      <c r="A297" s="21" t="s">
        <v>32</v>
      </c>
      <c r="B297" s="21" t="s">
        <v>290</v>
      </c>
      <c r="C297" s="21" t="s">
        <v>428</v>
      </c>
      <c r="D297" s="42">
        <f>D296-D296*inputs!$E$36</f>
        <v>0</v>
      </c>
      <c r="E297" s="21" t="str">
        <f t="shared" ca="1" si="5"/>
        <v>=D296-D296*inputs!$E$36</v>
      </c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  <c r="AT297" s="21"/>
      <c r="AU297" s="21"/>
      <c r="AV297" s="21"/>
      <c r="AW297" s="21"/>
      <c r="AX297" s="21"/>
      <c r="AY297" s="21"/>
      <c r="AZ297" s="21"/>
      <c r="BA297" s="21"/>
      <c r="BB297" s="21"/>
      <c r="BC297" s="21"/>
      <c r="BD297" s="21"/>
      <c r="BE297" s="21"/>
      <c r="BF297" s="21"/>
      <c r="BG297" s="21"/>
      <c r="BH297" s="21"/>
      <c r="BI297" s="21"/>
      <c r="BJ297" s="21"/>
      <c r="BK297" s="21"/>
      <c r="BL297" s="21"/>
      <c r="BM297" s="21"/>
      <c r="BN297" s="21"/>
      <c r="BO297" s="21"/>
      <c r="BP297" s="21"/>
      <c r="BQ297" s="21"/>
      <c r="BR297" s="21"/>
      <c r="BS297" s="21"/>
      <c r="BT297" s="21"/>
      <c r="BU297" s="21"/>
      <c r="BV297" s="21"/>
      <c r="BW297" s="21"/>
      <c r="BX297" s="21"/>
      <c r="BY297" s="21"/>
      <c r="BZ297" s="21"/>
      <c r="CA297" s="21"/>
      <c r="CB297" s="21"/>
      <c r="CC297" s="21"/>
      <c r="CD297" s="21"/>
      <c r="CE297" s="21"/>
      <c r="CF297" s="21"/>
      <c r="CG297" s="21"/>
      <c r="CH297" s="21"/>
      <c r="CI297" s="21"/>
      <c r="CJ297" s="21"/>
      <c r="CK297" s="21"/>
      <c r="CL297" s="21"/>
      <c r="CM297" s="21"/>
      <c r="CN297" s="21"/>
      <c r="CO297" s="21"/>
      <c r="CP297" s="21"/>
      <c r="CQ297" s="21"/>
      <c r="CR297" s="21"/>
      <c r="CS297" s="21"/>
      <c r="CT297" s="21"/>
      <c r="CU297" s="21"/>
      <c r="CV297" s="21"/>
      <c r="CW297" s="21"/>
      <c r="CX297" s="21"/>
      <c r="CY297" s="21"/>
      <c r="CZ297" s="21"/>
      <c r="DA297" s="21"/>
      <c r="DB297" s="21"/>
      <c r="DC297" s="21"/>
      <c r="DD297" s="21"/>
      <c r="DE297" s="21"/>
      <c r="DF297" s="21"/>
    </row>
    <row r="298" spans="1:110" s="14" customFormat="1" x14ac:dyDescent="0.3">
      <c r="A298" s="21" t="s">
        <v>32</v>
      </c>
      <c r="B298" s="21" t="s">
        <v>290</v>
      </c>
      <c r="C298" s="21" t="s">
        <v>429</v>
      </c>
      <c r="D298" s="42">
        <f>D297-D297*inputs!$E$36</f>
        <v>0</v>
      </c>
      <c r="E298" s="21" t="str">
        <f t="shared" ca="1" si="5"/>
        <v>=D297-D297*inputs!$E$36</v>
      </c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  <c r="AT298" s="21"/>
      <c r="AU298" s="21"/>
      <c r="AV298" s="21"/>
      <c r="AW298" s="21"/>
      <c r="AX298" s="21"/>
      <c r="AY298" s="21"/>
      <c r="AZ298" s="21"/>
      <c r="BA298" s="21"/>
      <c r="BB298" s="21"/>
      <c r="BC298" s="21"/>
      <c r="BD298" s="21"/>
      <c r="BE298" s="21"/>
      <c r="BF298" s="21"/>
      <c r="BG298" s="21"/>
      <c r="BH298" s="21"/>
      <c r="BI298" s="21"/>
      <c r="BJ298" s="21"/>
      <c r="BK298" s="21"/>
      <c r="BL298" s="21"/>
      <c r="BM298" s="21"/>
      <c r="BN298" s="21"/>
      <c r="BO298" s="21"/>
      <c r="BP298" s="21"/>
      <c r="BQ298" s="21"/>
      <c r="BR298" s="21"/>
      <c r="BS298" s="21"/>
      <c r="BT298" s="21"/>
      <c r="BU298" s="21"/>
      <c r="BV298" s="21"/>
      <c r="BW298" s="21"/>
      <c r="BX298" s="21"/>
      <c r="BY298" s="21"/>
      <c r="BZ298" s="21"/>
      <c r="CA298" s="21"/>
      <c r="CB298" s="21"/>
      <c r="CC298" s="21"/>
      <c r="CD298" s="21"/>
      <c r="CE298" s="21"/>
      <c r="CF298" s="21"/>
      <c r="CG298" s="21"/>
      <c r="CH298" s="21"/>
      <c r="CI298" s="21"/>
      <c r="CJ298" s="21"/>
      <c r="CK298" s="21"/>
      <c r="CL298" s="21"/>
      <c r="CM298" s="21"/>
      <c r="CN298" s="21"/>
      <c r="CO298" s="21"/>
      <c r="CP298" s="21"/>
      <c r="CQ298" s="21"/>
      <c r="CR298" s="21"/>
      <c r="CS298" s="21"/>
      <c r="CT298" s="21"/>
      <c r="CU298" s="21"/>
      <c r="CV298" s="21"/>
      <c r="CW298" s="21"/>
      <c r="CX298" s="21"/>
      <c r="CY298" s="21"/>
      <c r="CZ298" s="21"/>
      <c r="DA298" s="21"/>
      <c r="DB298" s="21"/>
      <c r="DC298" s="21"/>
      <c r="DD298" s="21"/>
      <c r="DE298" s="21"/>
      <c r="DF298" s="21"/>
    </row>
    <row r="299" spans="1:110" s="14" customFormat="1" x14ac:dyDescent="0.3">
      <c r="A299" s="21" t="s">
        <v>32</v>
      </c>
      <c r="B299" s="21" t="s">
        <v>290</v>
      </c>
      <c r="C299" s="21" t="s">
        <v>430</v>
      </c>
      <c r="D299" s="42">
        <f>D298-D298*inputs!$E$36</f>
        <v>0</v>
      </c>
      <c r="E299" s="21" t="str">
        <f t="shared" ca="1" si="5"/>
        <v>=D298-D298*inputs!$E$36</v>
      </c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  <c r="AT299" s="21"/>
      <c r="AU299" s="21"/>
      <c r="AV299" s="21"/>
      <c r="AW299" s="21"/>
      <c r="AX299" s="21"/>
      <c r="AY299" s="21"/>
      <c r="AZ299" s="21"/>
      <c r="BA299" s="21"/>
      <c r="BB299" s="21"/>
      <c r="BC299" s="21"/>
      <c r="BD299" s="21"/>
      <c r="BE299" s="21"/>
      <c r="BF299" s="21"/>
      <c r="BG299" s="21"/>
      <c r="BH299" s="21"/>
      <c r="BI299" s="21"/>
      <c r="BJ299" s="21"/>
      <c r="BK299" s="21"/>
      <c r="BL299" s="21"/>
      <c r="BM299" s="21"/>
      <c r="BN299" s="21"/>
      <c r="BO299" s="21"/>
      <c r="BP299" s="21"/>
      <c r="BQ299" s="21"/>
      <c r="BR299" s="21"/>
      <c r="BS299" s="21"/>
      <c r="BT299" s="21"/>
      <c r="BU299" s="21"/>
      <c r="BV299" s="21"/>
      <c r="BW299" s="21"/>
      <c r="BX299" s="21"/>
      <c r="BY299" s="21"/>
      <c r="BZ299" s="21"/>
      <c r="CA299" s="21"/>
      <c r="CB299" s="21"/>
      <c r="CC299" s="21"/>
      <c r="CD299" s="21"/>
      <c r="CE299" s="21"/>
      <c r="CF299" s="21"/>
      <c r="CG299" s="21"/>
      <c r="CH299" s="21"/>
      <c r="CI299" s="21"/>
      <c r="CJ299" s="21"/>
      <c r="CK299" s="21"/>
      <c r="CL299" s="21"/>
      <c r="CM299" s="21"/>
      <c r="CN299" s="21"/>
      <c r="CO299" s="21"/>
      <c r="CP299" s="21"/>
      <c r="CQ299" s="21"/>
      <c r="CR299" s="21"/>
      <c r="CS299" s="21"/>
      <c r="CT299" s="21"/>
      <c r="CU299" s="21"/>
      <c r="CV299" s="21"/>
      <c r="CW299" s="21"/>
      <c r="CX299" s="21"/>
      <c r="CY299" s="21"/>
      <c r="CZ299" s="21"/>
      <c r="DA299" s="21"/>
      <c r="DB299" s="21"/>
      <c r="DC299" s="21"/>
      <c r="DD299" s="21"/>
      <c r="DE299" s="21"/>
      <c r="DF299" s="21"/>
    </row>
    <row r="300" spans="1:110" s="14" customFormat="1" x14ac:dyDescent="0.3">
      <c r="A300" s="21" t="s">
        <v>32</v>
      </c>
      <c r="B300" s="21" t="s">
        <v>290</v>
      </c>
      <c r="C300" s="21" t="s">
        <v>431</v>
      </c>
      <c r="D300" s="42">
        <f>D299-D299*inputs!$E$36</f>
        <v>0</v>
      </c>
      <c r="E300" s="21" t="str">
        <f t="shared" ca="1" si="5"/>
        <v>=D299-D299*inputs!$E$36</v>
      </c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  <c r="AT300" s="21"/>
      <c r="AU300" s="21"/>
      <c r="AV300" s="21"/>
      <c r="AW300" s="21"/>
      <c r="AX300" s="21"/>
      <c r="AY300" s="21"/>
      <c r="AZ300" s="21"/>
      <c r="BA300" s="21"/>
      <c r="BB300" s="21"/>
      <c r="BC300" s="21"/>
      <c r="BD300" s="21"/>
      <c r="BE300" s="21"/>
      <c r="BF300" s="21"/>
      <c r="BG300" s="21"/>
      <c r="BH300" s="21"/>
      <c r="BI300" s="21"/>
      <c r="BJ300" s="21"/>
      <c r="BK300" s="21"/>
      <c r="BL300" s="21"/>
      <c r="BM300" s="21"/>
      <c r="BN300" s="21"/>
      <c r="BO300" s="21"/>
      <c r="BP300" s="21"/>
      <c r="BQ300" s="21"/>
      <c r="BR300" s="21"/>
      <c r="BS300" s="21"/>
      <c r="BT300" s="21"/>
      <c r="BU300" s="21"/>
      <c r="BV300" s="21"/>
      <c r="BW300" s="21"/>
      <c r="BX300" s="21"/>
      <c r="BY300" s="21"/>
      <c r="BZ300" s="21"/>
      <c r="CA300" s="21"/>
      <c r="CB300" s="21"/>
      <c r="CC300" s="21"/>
      <c r="CD300" s="21"/>
      <c r="CE300" s="21"/>
      <c r="CF300" s="21"/>
      <c r="CG300" s="21"/>
      <c r="CH300" s="21"/>
      <c r="CI300" s="21"/>
      <c r="CJ300" s="21"/>
      <c r="CK300" s="21"/>
      <c r="CL300" s="21"/>
      <c r="CM300" s="21"/>
      <c r="CN300" s="21"/>
      <c r="CO300" s="21"/>
      <c r="CP300" s="21"/>
      <c r="CQ300" s="21"/>
      <c r="CR300" s="21"/>
      <c r="CS300" s="21"/>
      <c r="CT300" s="21"/>
      <c r="CU300" s="21"/>
      <c r="CV300" s="21"/>
      <c r="CW300" s="21"/>
      <c r="CX300" s="21"/>
      <c r="CY300" s="21"/>
      <c r="CZ300" s="21"/>
      <c r="DA300" s="21"/>
      <c r="DB300" s="21"/>
      <c r="DC300" s="21"/>
      <c r="DD300" s="21"/>
      <c r="DE300" s="21"/>
      <c r="DF300" s="21"/>
    </row>
    <row r="301" spans="1:110" s="14" customFormat="1" x14ac:dyDescent="0.3">
      <c r="A301" s="21" t="s">
        <v>32</v>
      </c>
      <c r="B301" s="21" t="s">
        <v>290</v>
      </c>
      <c r="C301" s="21" t="s">
        <v>432</v>
      </c>
      <c r="D301" s="42">
        <f>D300-D300*inputs!$E$37</f>
        <v>0</v>
      </c>
      <c r="E301" s="21" t="str">
        <f t="shared" ca="1" si="5"/>
        <v>=D300-D300*inputs!$E$37</v>
      </c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  <c r="AT301" s="21"/>
      <c r="AU301" s="21"/>
      <c r="AV301" s="21"/>
      <c r="AW301" s="21"/>
      <c r="AX301" s="21"/>
      <c r="AY301" s="21"/>
      <c r="AZ301" s="21"/>
      <c r="BA301" s="21"/>
      <c r="BB301" s="21"/>
      <c r="BC301" s="21"/>
      <c r="BD301" s="21"/>
      <c r="BE301" s="21"/>
      <c r="BF301" s="21"/>
      <c r="BG301" s="21"/>
      <c r="BH301" s="21"/>
      <c r="BI301" s="21"/>
      <c r="BJ301" s="21"/>
      <c r="BK301" s="21"/>
      <c r="BL301" s="21"/>
      <c r="BM301" s="21"/>
      <c r="BN301" s="21"/>
      <c r="BO301" s="21"/>
      <c r="BP301" s="21"/>
      <c r="BQ301" s="21"/>
      <c r="BR301" s="21"/>
      <c r="BS301" s="21"/>
      <c r="BT301" s="21"/>
      <c r="BU301" s="21"/>
      <c r="BV301" s="21"/>
      <c r="BW301" s="21"/>
      <c r="BX301" s="21"/>
      <c r="BY301" s="21"/>
      <c r="BZ301" s="21"/>
      <c r="CA301" s="21"/>
      <c r="CB301" s="21"/>
      <c r="CC301" s="21"/>
      <c r="CD301" s="21"/>
      <c r="CE301" s="21"/>
      <c r="CF301" s="21"/>
      <c r="CG301" s="21"/>
      <c r="CH301" s="21"/>
      <c r="CI301" s="21"/>
      <c r="CJ301" s="21"/>
      <c r="CK301" s="21"/>
      <c r="CL301" s="21"/>
      <c r="CM301" s="21"/>
      <c r="CN301" s="21"/>
      <c r="CO301" s="21"/>
      <c r="CP301" s="21"/>
      <c r="CQ301" s="21"/>
      <c r="CR301" s="21"/>
      <c r="CS301" s="21"/>
      <c r="CT301" s="21"/>
      <c r="CU301" s="21"/>
      <c r="CV301" s="21"/>
      <c r="CW301" s="21"/>
      <c r="CX301" s="21"/>
      <c r="CY301" s="21"/>
      <c r="CZ301" s="21"/>
      <c r="DA301" s="21"/>
      <c r="DB301" s="21"/>
      <c r="DC301" s="21"/>
      <c r="DD301" s="21"/>
      <c r="DE301" s="21"/>
      <c r="DF301" s="21"/>
    </row>
    <row r="302" spans="1:110" s="14" customFormat="1" x14ac:dyDescent="0.3">
      <c r="A302" s="21" t="s">
        <v>32</v>
      </c>
      <c r="B302" s="21" t="s">
        <v>290</v>
      </c>
      <c r="C302" s="21" t="s">
        <v>433</v>
      </c>
      <c r="D302" s="42">
        <f>D301-D301*inputs!$E$37</f>
        <v>0</v>
      </c>
      <c r="E302" s="21" t="str">
        <f t="shared" ca="1" si="5"/>
        <v>=D301-D301*inputs!$E$37</v>
      </c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  <c r="AT302" s="21"/>
      <c r="AU302" s="21"/>
      <c r="AV302" s="21"/>
      <c r="AW302" s="21"/>
      <c r="AX302" s="21"/>
      <c r="AY302" s="21"/>
      <c r="AZ302" s="21"/>
      <c r="BA302" s="21"/>
      <c r="BB302" s="21"/>
      <c r="BC302" s="21"/>
      <c r="BD302" s="21"/>
      <c r="BE302" s="21"/>
      <c r="BF302" s="21"/>
      <c r="BG302" s="21"/>
      <c r="BH302" s="21"/>
      <c r="BI302" s="21"/>
      <c r="BJ302" s="21"/>
      <c r="BK302" s="21"/>
      <c r="BL302" s="21"/>
      <c r="BM302" s="21"/>
      <c r="BN302" s="21"/>
      <c r="BO302" s="21"/>
      <c r="BP302" s="21"/>
      <c r="BQ302" s="21"/>
      <c r="BR302" s="21"/>
      <c r="BS302" s="21"/>
      <c r="BT302" s="21"/>
      <c r="BU302" s="21"/>
      <c r="BV302" s="21"/>
      <c r="BW302" s="21"/>
      <c r="BX302" s="21"/>
      <c r="BY302" s="21"/>
      <c r="BZ302" s="21"/>
      <c r="CA302" s="21"/>
      <c r="CB302" s="21"/>
      <c r="CC302" s="21"/>
      <c r="CD302" s="21"/>
      <c r="CE302" s="21"/>
      <c r="CF302" s="21"/>
      <c r="CG302" s="21"/>
      <c r="CH302" s="21"/>
      <c r="CI302" s="21"/>
      <c r="CJ302" s="21"/>
      <c r="CK302" s="21"/>
      <c r="CL302" s="21"/>
      <c r="CM302" s="21"/>
      <c r="CN302" s="21"/>
      <c r="CO302" s="21"/>
      <c r="CP302" s="21"/>
      <c r="CQ302" s="21"/>
      <c r="CR302" s="21"/>
      <c r="CS302" s="21"/>
      <c r="CT302" s="21"/>
      <c r="CU302" s="21"/>
      <c r="CV302" s="21"/>
      <c r="CW302" s="21"/>
      <c r="CX302" s="21"/>
      <c r="CY302" s="21"/>
      <c r="CZ302" s="21"/>
      <c r="DA302" s="21"/>
      <c r="DB302" s="21"/>
      <c r="DC302" s="21"/>
      <c r="DD302" s="21"/>
      <c r="DE302" s="21"/>
      <c r="DF302" s="21"/>
    </row>
    <row r="303" spans="1:110" s="14" customFormat="1" x14ac:dyDescent="0.3">
      <c r="A303" s="21" t="s">
        <v>32</v>
      </c>
      <c r="B303" s="21" t="s">
        <v>290</v>
      </c>
      <c r="C303" s="21" t="s">
        <v>434</v>
      </c>
      <c r="D303" s="42">
        <f>D302-D302*inputs!$E$37</f>
        <v>0</v>
      </c>
      <c r="E303" s="21" t="str">
        <f t="shared" ca="1" si="5"/>
        <v>=D302-D302*inputs!$E$37</v>
      </c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  <c r="AT303" s="21"/>
      <c r="AU303" s="21"/>
      <c r="AV303" s="21"/>
      <c r="AW303" s="21"/>
      <c r="AX303" s="21"/>
      <c r="AY303" s="21"/>
      <c r="AZ303" s="21"/>
      <c r="BA303" s="21"/>
      <c r="BB303" s="21"/>
      <c r="BC303" s="21"/>
      <c r="BD303" s="21"/>
      <c r="BE303" s="21"/>
      <c r="BF303" s="21"/>
      <c r="BG303" s="21"/>
      <c r="BH303" s="21"/>
      <c r="BI303" s="21"/>
      <c r="BJ303" s="21"/>
      <c r="BK303" s="21"/>
      <c r="BL303" s="21"/>
      <c r="BM303" s="21"/>
      <c r="BN303" s="21"/>
      <c r="BO303" s="21"/>
      <c r="BP303" s="21"/>
      <c r="BQ303" s="21"/>
      <c r="BR303" s="21"/>
      <c r="BS303" s="21"/>
      <c r="BT303" s="21"/>
      <c r="BU303" s="21"/>
      <c r="BV303" s="21"/>
      <c r="BW303" s="21"/>
      <c r="BX303" s="21"/>
      <c r="BY303" s="21"/>
      <c r="BZ303" s="21"/>
      <c r="CA303" s="21"/>
      <c r="CB303" s="21"/>
      <c r="CC303" s="21"/>
      <c r="CD303" s="21"/>
      <c r="CE303" s="21"/>
      <c r="CF303" s="21"/>
      <c r="CG303" s="21"/>
      <c r="CH303" s="21"/>
      <c r="CI303" s="21"/>
      <c r="CJ303" s="21"/>
      <c r="CK303" s="21"/>
      <c r="CL303" s="21"/>
      <c r="CM303" s="21"/>
      <c r="CN303" s="21"/>
      <c r="CO303" s="21"/>
      <c r="CP303" s="21"/>
      <c r="CQ303" s="21"/>
      <c r="CR303" s="21"/>
      <c r="CS303" s="21"/>
      <c r="CT303" s="21"/>
      <c r="CU303" s="21"/>
      <c r="CV303" s="21"/>
      <c r="CW303" s="21"/>
      <c r="CX303" s="21"/>
      <c r="CY303" s="21"/>
      <c r="CZ303" s="21"/>
      <c r="DA303" s="21"/>
      <c r="DB303" s="21"/>
      <c r="DC303" s="21"/>
      <c r="DD303" s="21"/>
      <c r="DE303" s="21"/>
      <c r="DF303" s="21"/>
    </row>
    <row r="304" spans="1:110" s="14" customFormat="1" x14ac:dyDescent="0.3">
      <c r="A304" s="21" t="s">
        <v>32</v>
      </c>
      <c r="B304" s="21" t="s">
        <v>290</v>
      </c>
      <c r="C304" s="21" t="s">
        <v>435</v>
      </c>
      <c r="D304" s="42">
        <f>D303-D303*inputs!$E$37</f>
        <v>0</v>
      </c>
      <c r="E304" s="21" t="str">
        <f t="shared" ca="1" si="5"/>
        <v>=D303-D303*inputs!$E$37</v>
      </c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  <c r="AT304" s="21"/>
      <c r="AU304" s="21"/>
      <c r="AV304" s="21"/>
      <c r="AW304" s="21"/>
      <c r="AX304" s="21"/>
      <c r="AY304" s="21"/>
      <c r="AZ304" s="21"/>
      <c r="BA304" s="21"/>
      <c r="BB304" s="21"/>
      <c r="BC304" s="21"/>
      <c r="BD304" s="21"/>
      <c r="BE304" s="21"/>
      <c r="BF304" s="21"/>
      <c r="BG304" s="21"/>
      <c r="BH304" s="21"/>
      <c r="BI304" s="21"/>
      <c r="BJ304" s="21"/>
      <c r="BK304" s="21"/>
      <c r="BL304" s="21"/>
      <c r="BM304" s="21"/>
      <c r="BN304" s="21"/>
      <c r="BO304" s="21"/>
      <c r="BP304" s="21"/>
      <c r="BQ304" s="21"/>
      <c r="BR304" s="21"/>
      <c r="BS304" s="21"/>
      <c r="BT304" s="21"/>
      <c r="BU304" s="21"/>
      <c r="BV304" s="21"/>
      <c r="BW304" s="21"/>
      <c r="BX304" s="21"/>
      <c r="BY304" s="21"/>
      <c r="BZ304" s="21"/>
      <c r="CA304" s="21"/>
      <c r="CB304" s="21"/>
      <c r="CC304" s="21"/>
      <c r="CD304" s="21"/>
      <c r="CE304" s="21"/>
      <c r="CF304" s="21"/>
      <c r="CG304" s="21"/>
      <c r="CH304" s="21"/>
      <c r="CI304" s="21"/>
      <c r="CJ304" s="21"/>
      <c r="CK304" s="21"/>
      <c r="CL304" s="21"/>
      <c r="CM304" s="21"/>
      <c r="CN304" s="21"/>
      <c r="CO304" s="21"/>
      <c r="CP304" s="21"/>
      <c r="CQ304" s="21"/>
      <c r="CR304" s="21"/>
      <c r="CS304" s="21"/>
      <c r="CT304" s="21"/>
      <c r="CU304" s="21"/>
      <c r="CV304" s="21"/>
      <c r="CW304" s="21"/>
      <c r="CX304" s="21"/>
      <c r="CY304" s="21"/>
      <c r="CZ304" s="21"/>
      <c r="DA304" s="21"/>
      <c r="DB304" s="21"/>
      <c r="DC304" s="21"/>
      <c r="DD304" s="21"/>
      <c r="DE304" s="21"/>
      <c r="DF304" s="21"/>
    </row>
    <row r="305" spans="1:110" s="14" customFormat="1" x14ac:dyDescent="0.3">
      <c r="A305" s="21" t="s">
        <v>32</v>
      </c>
      <c r="B305" s="21" t="s">
        <v>290</v>
      </c>
      <c r="C305" s="21" t="s">
        <v>436</v>
      </c>
      <c r="D305" s="42">
        <f>D304-D304*inputs!$E$37</f>
        <v>0</v>
      </c>
      <c r="E305" s="21" t="str">
        <f t="shared" ca="1" si="5"/>
        <v>=D304-D304*inputs!$E$37</v>
      </c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  <c r="AT305" s="21"/>
      <c r="AU305" s="21"/>
      <c r="AV305" s="21"/>
      <c r="AW305" s="21"/>
      <c r="AX305" s="21"/>
      <c r="AY305" s="21"/>
      <c r="AZ305" s="21"/>
      <c r="BA305" s="21"/>
      <c r="BB305" s="21"/>
      <c r="BC305" s="21"/>
      <c r="BD305" s="21"/>
      <c r="BE305" s="21"/>
      <c r="BF305" s="21"/>
      <c r="BG305" s="21"/>
      <c r="BH305" s="21"/>
      <c r="BI305" s="21"/>
      <c r="BJ305" s="21"/>
      <c r="BK305" s="21"/>
      <c r="BL305" s="21"/>
      <c r="BM305" s="21"/>
      <c r="BN305" s="21"/>
      <c r="BO305" s="21"/>
      <c r="BP305" s="21"/>
      <c r="BQ305" s="21"/>
      <c r="BR305" s="21"/>
      <c r="BS305" s="21"/>
      <c r="BT305" s="21"/>
      <c r="BU305" s="21"/>
      <c r="BV305" s="21"/>
      <c r="BW305" s="21"/>
      <c r="BX305" s="21"/>
      <c r="BY305" s="21"/>
      <c r="BZ305" s="21"/>
      <c r="CA305" s="21"/>
      <c r="CB305" s="21"/>
      <c r="CC305" s="21"/>
      <c r="CD305" s="21"/>
      <c r="CE305" s="21"/>
      <c r="CF305" s="21"/>
      <c r="CG305" s="21"/>
      <c r="CH305" s="21"/>
      <c r="CI305" s="21"/>
      <c r="CJ305" s="21"/>
      <c r="CK305" s="21"/>
      <c r="CL305" s="21"/>
      <c r="CM305" s="21"/>
      <c r="CN305" s="21"/>
      <c r="CO305" s="21"/>
      <c r="CP305" s="21"/>
      <c r="CQ305" s="21"/>
      <c r="CR305" s="21"/>
      <c r="CS305" s="21"/>
      <c r="CT305" s="21"/>
      <c r="CU305" s="21"/>
      <c r="CV305" s="21"/>
      <c r="CW305" s="21"/>
      <c r="CX305" s="21"/>
      <c r="CY305" s="21"/>
      <c r="CZ305" s="21"/>
      <c r="DA305" s="21"/>
      <c r="DB305" s="21"/>
      <c r="DC305" s="21"/>
      <c r="DD305" s="21"/>
      <c r="DE305" s="21"/>
      <c r="DF305" s="21"/>
    </row>
    <row r="306" spans="1:110" s="14" customFormat="1" x14ac:dyDescent="0.3">
      <c r="A306" s="21" t="s">
        <v>32</v>
      </c>
      <c r="B306" s="21" t="s">
        <v>290</v>
      </c>
      <c r="C306" s="21" t="s">
        <v>437</v>
      </c>
      <c r="D306" s="42">
        <f>D305-D305*inputs!$E$38</f>
        <v>0</v>
      </c>
      <c r="E306" s="21" t="str">
        <f t="shared" ca="1" si="5"/>
        <v>=D305-D305*inputs!$E$38</v>
      </c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  <c r="AT306" s="21"/>
      <c r="AU306" s="21"/>
      <c r="AV306" s="21"/>
      <c r="AW306" s="21"/>
      <c r="AX306" s="21"/>
      <c r="AY306" s="21"/>
      <c r="AZ306" s="21"/>
      <c r="BA306" s="21"/>
      <c r="BB306" s="21"/>
      <c r="BC306" s="21"/>
      <c r="BD306" s="21"/>
      <c r="BE306" s="21"/>
      <c r="BF306" s="21"/>
      <c r="BG306" s="21"/>
      <c r="BH306" s="21"/>
      <c r="BI306" s="21"/>
      <c r="BJ306" s="21"/>
      <c r="BK306" s="21"/>
      <c r="BL306" s="21"/>
      <c r="BM306" s="21"/>
      <c r="BN306" s="21"/>
      <c r="BO306" s="21"/>
      <c r="BP306" s="21"/>
      <c r="BQ306" s="21"/>
      <c r="BR306" s="21"/>
      <c r="BS306" s="21"/>
      <c r="BT306" s="21"/>
      <c r="BU306" s="21"/>
      <c r="BV306" s="21"/>
      <c r="BW306" s="21"/>
      <c r="BX306" s="21"/>
      <c r="BY306" s="21"/>
      <c r="BZ306" s="21"/>
      <c r="CA306" s="21"/>
      <c r="CB306" s="21"/>
      <c r="CC306" s="21"/>
      <c r="CD306" s="21"/>
      <c r="CE306" s="21"/>
      <c r="CF306" s="21"/>
      <c r="CG306" s="21"/>
      <c r="CH306" s="21"/>
      <c r="CI306" s="21"/>
      <c r="CJ306" s="21"/>
      <c r="CK306" s="21"/>
      <c r="CL306" s="21"/>
      <c r="CM306" s="21"/>
      <c r="CN306" s="21"/>
      <c r="CO306" s="21"/>
      <c r="CP306" s="21"/>
      <c r="CQ306" s="21"/>
      <c r="CR306" s="21"/>
      <c r="CS306" s="21"/>
      <c r="CT306" s="21"/>
      <c r="CU306" s="21"/>
      <c r="CV306" s="21"/>
      <c r="CW306" s="21"/>
      <c r="CX306" s="21"/>
      <c r="CY306" s="21"/>
      <c r="CZ306" s="21"/>
      <c r="DA306" s="21"/>
      <c r="DB306" s="21"/>
      <c r="DC306" s="21"/>
      <c r="DD306" s="21"/>
      <c r="DE306" s="21"/>
      <c r="DF306" s="21"/>
    </row>
    <row r="307" spans="1:110" s="14" customFormat="1" x14ac:dyDescent="0.3">
      <c r="A307" s="21" t="s">
        <v>32</v>
      </c>
      <c r="B307" s="21" t="s">
        <v>290</v>
      </c>
      <c r="C307" s="21" t="s">
        <v>438</v>
      </c>
      <c r="D307" s="42">
        <f>D306-D306*inputs!$E$38</f>
        <v>0</v>
      </c>
      <c r="E307" s="21" t="str">
        <f t="shared" ca="1" si="5"/>
        <v>=D306-D306*inputs!$E$38</v>
      </c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  <c r="AT307" s="21"/>
      <c r="AU307" s="21"/>
      <c r="AV307" s="21"/>
      <c r="AW307" s="21"/>
      <c r="AX307" s="21"/>
      <c r="AY307" s="21"/>
      <c r="AZ307" s="21"/>
      <c r="BA307" s="21"/>
      <c r="BB307" s="21"/>
      <c r="BC307" s="21"/>
      <c r="BD307" s="21"/>
      <c r="BE307" s="21"/>
      <c r="BF307" s="21"/>
      <c r="BG307" s="21"/>
      <c r="BH307" s="21"/>
      <c r="BI307" s="21"/>
      <c r="BJ307" s="21"/>
      <c r="BK307" s="21"/>
      <c r="BL307" s="21"/>
      <c r="BM307" s="21"/>
      <c r="BN307" s="21"/>
      <c r="BO307" s="21"/>
      <c r="BP307" s="21"/>
      <c r="BQ307" s="21"/>
      <c r="BR307" s="21"/>
      <c r="BS307" s="21"/>
      <c r="BT307" s="21"/>
      <c r="BU307" s="21"/>
      <c r="BV307" s="21"/>
      <c r="BW307" s="21"/>
      <c r="BX307" s="21"/>
      <c r="BY307" s="21"/>
      <c r="BZ307" s="21"/>
      <c r="CA307" s="21"/>
      <c r="CB307" s="21"/>
      <c r="CC307" s="21"/>
      <c r="CD307" s="21"/>
      <c r="CE307" s="21"/>
      <c r="CF307" s="21"/>
      <c r="CG307" s="21"/>
      <c r="CH307" s="21"/>
      <c r="CI307" s="21"/>
      <c r="CJ307" s="21"/>
      <c r="CK307" s="21"/>
      <c r="CL307" s="21"/>
      <c r="CM307" s="21"/>
      <c r="CN307" s="21"/>
      <c r="CO307" s="21"/>
      <c r="CP307" s="21"/>
      <c r="CQ307" s="21"/>
      <c r="CR307" s="21"/>
      <c r="CS307" s="21"/>
      <c r="CT307" s="21"/>
      <c r="CU307" s="21"/>
      <c r="CV307" s="21"/>
      <c r="CW307" s="21"/>
      <c r="CX307" s="21"/>
      <c r="CY307" s="21"/>
      <c r="CZ307" s="21"/>
      <c r="DA307" s="21"/>
      <c r="DB307" s="21"/>
      <c r="DC307" s="21"/>
      <c r="DD307" s="21"/>
      <c r="DE307" s="21"/>
      <c r="DF307" s="21"/>
    </row>
    <row r="308" spans="1:110" s="14" customFormat="1" x14ac:dyDescent="0.3">
      <c r="A308" s="21" t="s">
        <v>32</v>
      </c>
      <c r="B308" s="21" t="s">
        <v>290</v>
      </c>
      <c r="C308" s="21" t="s">
        <v>439</v>
      </c>
      <c r="D308" s="42">
        <f>D307-D307*inputs!$E$38</f>
        <v>0</v>
      </c>
      <c r="E308" s="21" t="str">
        <f t="shared" ca="1" si="5"/>
        <v>=D307-D307*inputs!$E$38</v>
      </c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  <c r="BR308" s="21"/>
      <c r="BS308" s="21"/>
      <c r="BT308" s="21"/>
      <c r="BU308" s="21"/>
      <c r="BV308" s="21"/>
      <c r="BW308" s="21"/>
      <c r="BX308" s="21"/>
      <c r="BY308" s="21"/>
      <c r="BZ308" s="21"/>
      <c r="CA308" s="21"/>
      <c r="CB308" s="21"/>
      <c r="CC308" s="21"/>
      <c r="CD308" s="21"/>
      <c r="CE308" s="21"/>
      <c r="CF308" s="21"/>
      <c r="CG308" s="21"/>
      <c r="CH308" s="21"/>
      <c r="CI308" s="21"/>
      <c r="CJ308" s="21"/>
      <c r="CK308" s="21"/>
      <c r="CL308" s="21"/>
      <c r="CM308" s="21"/>
      <c r="CN308" s="21"/>
      <c r="CO308" s="21"/>
      <c r="CP308" s="21"/>
      <c r="CQ308" s="21"/>
      <c r="CR308" s="21"/>
      <c r="CS308" s="21"/>
      <c r="CT308" s="21"/>
      <c r="CU308" s="21"/>
      <c r="CV308" s="21"/>
      <c r="CW308" s="21"/>
      <c r="CX308" s="21"/>
      <c r="CY308" s="21"/>
      <c r="CZ308" s="21"/>
      <c r="DA308" s="21"/>
      <c r="DB308" s="21"/>
      <c r="DC308" s="21"/>
      <c r="DD308" s="21"/>
      <c r="DE308" s="21"/>
      <c r="DF308" s="21"/>
    </row>
    <row r="309" spans="1:110" s="14" customFormat="1" x14ac:dyDescent="0.3">
      <c r="A309" s="21" t="s">
        <v>32</v>
      </c>
      <c r="B309" s="21" t="s">
        <v>290</v>
      </c>
      <c r="C309" s="21" t="s">
        <v>440</v>
      </c>
      <c r="D309" s="42">
        <f>D308-D308*inputs!$E$38</f>
        <v>0</v>
      </c>
      <c r="E309" s="21" t="str">
        <f t="shared" ca="1" si="5"/>
        <v>=D308-D308*inputs!$E$38</v>
      </c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  <c r="AU309" s="21"/>
      <c r="AV309" s="21"/>
      <c r="AW309" s="21"/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  <c r="BR309" s="21"/>
      <c r="BS309" s="21"/>
      <c r="BT309" s="21"/>
      <c r="BU309" s="21"/>
      <c r="BV309" s="21"/>
      <c r="BW309" s="21"/>
      <c r="BX309" s="21"/>
      <c r="BY309" s="21"/>
      <c r="BZ309" s="21"/>
      <c r="CA309" s="21"/>
      <c r="CB309" s="21"/>
      <c r="CC309" s="21"/>
      <c r="CD309" s="21"/>
      <c r="CE309" s="21"/>
      <c r="CF309" s="21"/>
      <c r="CG309" s="21"/>
      <c r="CH309" s="21"/>
      <c r="CI309" s="21"/>
      <c r="CJ309" s="21"/>
      <c r="CK309" s="21"/>
      <c r="CL309" s="21"/>
      <c r="CM309" s="21"/>
      <c r="CN309" s="21"/>
      <c r="CO309" s="21"/>
      <c r="CP309" s="21"/>
      <c r="CQ309" s="21"/>
      <c r="CR309" s="21"/>
      <c r="CS309" s="21"/>
      <c r="CT309" s="21"/>
      <c r="CU309" s="21"/>
      <c r="CV309" s="21"/>
      <c r="CW309" s="21"/>
      <c r="CX309" s="21"/>
      <c r="CY309" s="21"/>
      <c r="CZ309" s="21"/>
      <c r="DA309" s="21"/>
      <c r="DB309" s="21"/>
      <c r="DC309" s="21"/>
      <c r="DD309" s="21"/>
      <c r="DE309" s="21"/>
      <c r="DF309" s="21"/>
    </row>
    <row r="310" spans="1:110" s="14" customFormat="1" x14ac:dyDescent="0.3">
      <c r="A310" s="21" t="s">
        <v>32</v>
      </c>
      <c r="B310" s="21" t="s">
        <v>290</v>
      </c>
      <c r="C310" s="21" t="s">
        <v>441</v>
      </c>
      <c r="D310" s="42">
        <f>D309-D309*inputs!$E$38</f>
        <v>0</v>
      </c>
      <c r="E310" s="21" t="str">
        <f t="shared" ca="1" si="5"/>
        <v>=D309-D309*inputs!$E$38</v>
      </c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  <c r="AT310" s="21"/>
      <c r="AU310" s="21"/>
      <c r="AV310" s="21"/>
      <c r="AW310" s="21"/>
      <c r="AX310" s="21"/>
      <c r="AY310" s="21"/>
      <c r="AZ310" s="21"/>
      <c r="BA310" s="21"/>
      <c r="BB310" s="21"/>
      <c r="BC310" s="21"/>
      <c r="BD310" s="21"/>
      <c r="BE310" s="21"/>
      <c r="BF310" s="21"/>
      <c r="BG310" s="21"/>
      <c r="BH310" s="21"/>
      <c r="BI310" s="21"/>
      <c r="BJ310" s="21"/>
      <c r="BK310" s="21"/>
      <c r="BL310" s="21"/>
      <c r="BM310" s="21"/>
      <c r="BN310" s="21"/>
      <c r="BO310" s="21"/>
      <c r="BP310" s="21"/>
      <c r="BQ310" s="21"/>
      <c r="BR310" s="21"/>
      <c r="BS310" s="21"/>
      <c r="BT310" s="21"/>
      <c r="BU310" s="21"/>
      <c r="BV310" s="21"/>
      <c r="BW310" s="21"/>
      <c r="BX310" s="21"/>
      <c r="BY310" s="21"/>
      <c r="BZ310" s="21"/>
      <c r="CA310" s="21"/>
      <c r="CB310" s="21"/>
      <c r="CC310" s="21"/>
      <c r="CD310" s="21"/>
      <c r="CE310" s="21"/>
      <c r="CF310" s="21"/>
      <c r="CG310" s="21"/>
      <c r="CH310" s="21"/>
      <c r="CI310" s="21"/>
      <c r="CJ310" s="21"/>
      <c r="CK310" s="21"/>
      <c r="CL310" s="21"/>
      <c r="CM310" s="21"/>
      <c r="CN310" s="21"/>
      <c r="CO310" s="21"/>
      <c r="CP310" s="21"/>
      <c r="CQ310" s="21"/>
      <c r="CR310" s="21"/>
      <c r="CS310" s="21"/>
      <c r="CT310" s="21"/>
      <c r="CU310" s="21"/>
      <c r="CV310" s="21"/>
      <c r="CW310" s="21"/>
      <c r="CX310" s="21"/>
      <c r="CY310" s="21"/>
      <c r="CZ310" s="21"/>
      <c r="DA310" s="21"/>
      <c r="DB310" s="21"/>
      <c r="DC310" s="21"/>
      <c r="DD310" s="21"/>
      <c r="DE310" s="21"/>
      <c r="DF310" s="21"/>
    </row>
    <row r="311" spans="1:110" s="14" customFormat="1" x14ac:dyDescent="0.3">
      <c r="A311" s="21" t="s">
        <v>32</v>
      </c>
      <c r="B311" s="21" t="s">
        <v>290</v>
      </c>
      <c r="C311" s="21" t="s">
        <v>442</v>
      </c>
      <c r="D311" s="42">
        <f>D310-D310*inputs!$E$38</f>
        <v>0</v>
      </c>
      <c r="E311" s="21" t="str">
        <f t="shared" ca="1" si="5"/>
        <v>=D310-D310*inputs!$E$38</v>
      </c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  <c r="AU311" s="21"/>
      <c r="AV311" s="21"/>
      <c r="AW311" s="21"/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  <c r="BO311" s="21"/>
      <c r="BP311" s="21"/>
      <c r="BQ311" s="21"/>
      <c r="BR311" s="21"/>
      <c r="BS311" s="21"/>
      <c r="BT311" s="21"/>
      <c r="BU311" s="21"/>
      <c r="BV311" s="21"/>
      <c r="BW311" s="21"/>
      <c r="BX311" s="21"/>
      <c r="BY311" s="21"/>
      <c r="BZ311" s="21"/>
      <c r="CA311" s="21"/>
      <c r="CB311" s="21"/>
      <c r="CC311" s="21"/>
      <c r="CD311" s="21"/>
      <c r="CE311" s="21"/>
      <c r="CF311" s="21"/>
      <c r="CG311" s="21"/>
      <c r="CH311" s="21"/>
      <c r="CI311" s="21"/>
      <c r="CJ311" s="21"/>
      <c r="CK311" s="21"/>
      <c r="CL311" s="21"/>
      <c r="CM311" s="21"/>
      <c r="CN311" s="21"/>
      <c r="CO311" s="21"/>
      <c r="CP311" s="21"/>
      <c r="CQ311" s="21"/>
      <c r="CR311" s="21"/>
      <c r="CS311" s="21"/>
      <c r="CT311" s="21"/>
      <c r="CU311" s="21"/>
      <c r="CV311" s="21"/>
      <c r="CW311" s="21"/>
      <c r="CX311" s="21"/>
      <c r="CY311" s="21"/>
      <c r="CZ311" s="21"/>
      <c r="DA311" s="21"/>
      <c r="DB311" s="21"/>
      <c r="DC311" s="21"/>
      <c r="DD311" s="21"/>
      <c r="DE311" s="21"/>
      <c r="DF311" s="21"/>
    </row>
    <row r="312" spans="1:110" s="14" customFormat="1" x14ac:dyDescent="0.3">
      <c r="A312" s="21" t="s">
        <v>32</v>
      </c>
      <c r="B312" s="21" t="s">
        <v>290</v>
      </c>
      <c r="C312" s="21" t="s">
        <v>443</v>
      </c>
      <c r="D312" s="42">
        <f>D311-D311*inputs!$E$38</f>
        <v>0</v>
      </c>
      <c r="E312" s="21" t="str">
        <f t="shared" ca="1" si="5"/>
        <v>=D311-D311*inputs!$E$38</v>
      </c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  <c r="AT312" s="21"/>
      <c r="AU312" s="21"/>
      <c r="AV312" s="21"/>
      <c r="AW312" s="21"/>
      <c r="AX312" s="21"/>
      <c r="AY312" s="21"/>
      <c r="AZ312" s="21"/>
      <c r="BA312" s="21"/>
      <c r="BB312" s="21"/>
      <c r="BC312" s="21"/>
      <c r="BD312" s="21"/>
      <c r="BE312" s="21"/>
      <c r="BF312" s="21"/>
      <c r="BG312" s="21"/>
      <c r="BH312" s="21"/>
      <c r="BI312" s="21"/>
      <c r="BJ312" s="21"/>
      <c r="BK312" s="21"/>
      <c r="BL312" s="21"/>
      <c r="BM312" s="21"/>
      <c r="BN312" s="21"/>
      <c r="BO312" s="21"/>
      <c r="BP312" s="21"/>
      <c r="BQ312" s="21"/>
      <c r="BR312" s="21"/>
      <c r="BS312" s="21"/>
      <c r="BT312" s="21"/>
      <c r="BU312" s="21"/>
      <c r="BV312" s="21"/>
      <c r="BW312" s="21"/>
      <c r="BX312" s="21"/>
      <c r="BY312" s="21"/>
      <c r="BZ312" s="21"/>
      <c r="CA312" s="21"/>
      <c r="CB312" s="21"/>
      <c r="CC312" s="21"/>
      <c r="CD312" s="21"/>
      <c r="CE312" s="21"/>
      <c r="CF312" s="21"/>
      <c r="CG312" s="21"/>
      <c r="CH312" s="21"/>
      <c r="CI312" s="21"/>
      <c r="CJ312" s="21"/>
      <c r="CK312" s="21"/>
      <c r="CL312" s="21"/>
      <c r="CM312" s="21"/>
      <c r="CN312" s="21"/>
      <c r="CO312" s="21"/>
      <c r="CP312" s="21"/>
      <c r="CQ312" s="21"/>
      <c r="CR312" s="21"/>
      <c r="CS312" s="21"/>
      <c r="CT312" s="21"/>
      <c r="CU312" s="21"/>
      <c r="CV312" s="21"/>
      <c r="CW312" s="21"/>
      <c r="CX312" s="21"/>
      <c r="CY312" s="21"/>
      <c r="CZ312" s="21"/>
      <c r="DA312" s="21"/>
      <c r="DB312" s="21"/>
      <c r="DC312" s="21"/>
      <c r="DD312" s="21"/>
      <c r="DE312" s="21"/>
      <c r="DF312" s="21"/>
    </row>
    <row r="313" spans="1:110" s="14" customFormat="1" x14ac:dyDescent="0.3">
      <c r="A313" s="21" t="s">
        <v>32</v>
      </c>
      <c r="B313" s="21" t="s">
        <v>290</v>
      </c>
      <c r="C313" s="21" t="s">
        <v>444</v>
      </c>
      <c r="D313" s="42">
        <f>D312-D312*inputs!$E$38</f>
        <v>0</v>
      </c>
      <c r="E313" s="21" t="str">
        <f t="shared" ca="1" si="5"/>
        <v>=D312-D312*inputs!$E$38</v>
      </c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  <c r="CA313" s="21"/>
      <c r="CB313" s="21"/>
      <c r="CC313" s="21"/>
      <c r="CD313" s="21"/>
      <c r="CE313" s="21"/>
      <c r="CF313" s="21"/>
      <c r="CG313" s="21"/>
      <c r="CH313" s="21"/>
      <c r="CI313" s="21"/>
      <c r="CJ313" s="21"/>
      <c r="CK313" s="21"/>
      <c r="CL313" s="21"/>
      <c r="CM313" s="21"/>
      <c r="CN313" s="21"/>
      <c r="CO313" s="21"/>
      <c r="CP313" s="21"/>
      <c r="CQ313" s="21"/>
      <c r="CR313" s="21"/>
      <c r="CS313" s="21"/>
      <c r="CT313" s="21"/>
      <c r="CU313" s="21"/>
      <c r="CV313" s="21"/>
      <c r="CW313" s="21"/>
      <c r="CX313" s="21"/>
      <c r="CY313" s="21"/>
      <c r="CZ313" s="21"/>
      <c r="DA313" s="21"/>
      <c r="DB313" s="21"/>
      <c r="DC313" s="21"/>
      <c r="DD313" s="21"/>
      <c r="DE313" s="21"/>
      <c r="DF313" s="21"/>
    </row>
    <row r="314" spans="1:110" s="14" customFormat="1" x14ac:dyDescent="0.3">
      <c r="A314" s="21" t="s">
        <v>32</v>
      </c>
      <c r="B314" s="21" t="s">
        <v>290</v>
      </c>
      <c r="C314" s="21" t="s">
        <v>445</v>
      </c>
      <c r="D314" s="42">
        <f>D313-D313*inputs!$E$38</f>
        <v>0</v>
      </c>
      <c r="E314" s="21" t="str">
        <f t="shared" ca="1" si="5"/>
        <v>=D313-D313*inputs!$E$38</v>
      </c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  <c r="AT314" s="21"/>
      <c r="AU314" s="21"/>
      <c r="AV314" s="21"/>
      <c r="AW314" s="21"/>
      <c r="AX314" s="21"/>
      <c r="AY314" s="21"/>
      <c r="AZ314" s="21"/>
      <c r="BA314" s="21"/>
      <c r="BB314" s="21"/>
      <c r="BC314" s="21"/>
      <c r="BD314" s="21"/>
      <c r="BE314" s="21"/>
      <c r="BF314" s="21"/>
      <c r="BG314" s="21"/>
      <c r="BH314" s="21"/>
      <c r="BI314" s="21"/>
      <c r="BJ314" s="21"/>
      <c r="BK314" s="21"/>
      <c r="BL314" s="21"/>
      <c r="BM314" s="21"/>
      <c r="BN314" s="21"/>
      <c r="BO314" s="21"/>
      <c r="BP314" s="21"/>
      <c r="BQ314" s="21"/>
      <c r="BR314" s="21"/>
      <c r="BS314" s="21"/>
      <c r="BT314" s="21"/>
      <c r="BU314" s="21"/>
      <c r="BV314" s="21"/>
      <c r="BW314" s="21"/>
      <c r="BX314" s="21"/>
      <c r="BY314" s="21"/>
      <c r="BZ314" s="21"/>
      <c r="CA314" s="21"/>
      <c r="CB314" s="21"/>
      <c r="CC314" s="21"/>
      <c r="CD314" s="21"/>
      <c r="CE314" s="21"/>
      <c r="CF314" s="21"/>
      <c r="CG314" s="21"/>
      <c r="CH314" s="21"/>
      <c r="CI314" s="21"/>
      <c r="CJ314" s="21"/>
      <c r="CK314" s="21"/>
      <c r="CL314" s="21"/>
      <c r="CM314" s="21"/>
      <c r="CN314" s="21"/>
      <c r="CO314" s="21"/>
      <c r="CP314" s="21"/>
      <c r="CQ314" s="21"/>
      <c r="CR314" s="21"/>
      <c r="CS314" s="21"/>
      <c r="CT314" s="21"/>
      <c r="CU314" s="21"/>
      <c r="CV314" s="21"/>
      <c r="CW314" s="21"/>
      <c r="CX314" s="21"/>
      <c r="CY314" s="21"/>
      <c r="CZ314" s="21"/>
      <c r="DA314" s="21"/>
      <c r="DB314" s="21"/>
      <c r="DC314" s="21"/>
      <c r="DD314" s="21"/>
      <c r="DE314" s="21"/>
      <c r="DF314" s="21"/>
    </row>
    <row r="315" spans="1:110" s="14" customFormat="1" x14ac:dyDescent="0.3">
      <c r="A315" s="21" t="s">
        <v>32</v>
      </c>
      <c r="B315" s="21" t="s">
        <v>290</v>
      </c>
      <c r="C315" s="21" t="s">
        <v>446</v>
      </c>
      <c r="D315" s="42">
        <f>D314-D314*inputs!$E$38</f>
        <v>0</v>
      </c>
      <c r="E315" s="21" t="str">
        <f t="shared" ca="1" si="5"/>
        <v>=D314-D314*inputs!$E$38</v>
      </c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  <c r="AT315" s="21"/>
      <c r="AU315" s="21"/>
      <c r="AV315" s="21"/>
      <c r="AW315" s="21"/>
      <c r="AX315" s="21"/>
      <c r="AY315" s="21"/>
      <c r="AZ315" s="21"/>
      <c r="BA315" s="21"/>
      <c r="BB315" s="21"/>
      <c r="BC315" s="21"/>
      <c r="BD315" s="21"/>
      <c r="BE315" s="21"/>
      <c r="BF315" s="21"/>
      <c r="BG315" s="21"/>
      <c r="BH315" s="21"/>
      <c r="BI315" s="21"/>
      <c r="BJ315" s="21"/>
      <c r="BK315" s="21"/>
      <c r="BL315" s="21"/>
      <c r="BM315" s="21"/>
      <c r="BN315" s="21"/>
      <c r="BO315" s="21"/>
      <c r="BP315" s="21"/>
      <c r="BQ315" s="21"/>
      <c r="BR315" s="21"/>
      <c r="BS315" s="21"/>
      <c r="BT315" s="21"/>
      <c r="BU315" s="21"/>
      <c r="BV315" s="21"/>
      <c r="BW315" s="21"/>
      <c r="BX315" s="21"/>
      <c r="BY315" s="21"/>
      <c r="BZ315" s="21"/>
      <c r="CA315" s="21"/>
      <c r="CB315" s="21"/>
      <c r="CC315" s="21"/>
      <c r="CD315" s="21"/>
      <c r="CE315" s="21"/>
      <c r="CF315" s="21"/>
      <c r="CG315" s="21"/>
      <c r="CH315" s="21"/>
      <c r="CI315" s="21"/>
      <c r="CJ315" s="21"/>
      <c r="CK315" s="21"/>
      <c r="CL315" s="21"/>
      <c r="CM315" s="21"/>
      <c r="CN315" s="21"/>
      <c r="CO315" s="21"/>
      <c r="CP315" s="21"/>
      <c r="CQ315" s="21"/>
      <c r="CR315" s="21"/>
      <c r="CS315" s="21"/>
      <c r="CT315" s="21"/>
      <c r="CU315" s="21"/>
      <c r="CV315" s="21"/>
      <c r="CW315" s="21"/>
      <c r="CX315" s="21"/>
      <c r="CY315" s="21"/>
      <c r="CZ315" s="21"/>
      <c r="DA315" s="21"/>
      <c r="DB315" s="21"/>
      <c r="DC315" s="21"/>
      <c r="DD315" s="21"/>
      <c r="DE315" s="21"/>
      <c r="DF315" s="21"/>
    </row>
    <row r="316" spans="1:110" s="16" customFormat="1" x14ac:dyDescent="0.3">
      <c r="A316" s="21" t="s">
        <v>32</v>
      </c>
      <c r="B316" s="21" t="s">
        <v>290</v>
      </c>
      <c r="C316" s="21" t="s">
        <v>447</v>
      </c>
      <c r="D316" s="42">
        <f>$D$159-$D$159*inputs!$E$33</f>
        <v>0</v>
      </c>
      <c r="E316" s="21" t="str">
        <f t="shared" ca="1" si="5"/>
        <v>=$D$159-$D$159*inputs!$E$33</v>
      </c>
      <c r="F316" s="21" t="s">
        <v>818</v>
      </c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  <c r="AU316" s="21"/>
      <c r="AV316" s="21"/>
      <c r="AW316" s="21"/>
      <c r="AX316" s="21"/>
      <c r="AY316" s="21"/>
      <c r="AZ316" s="21"/>
      <c r="BA316" s="21"/>
      <c r="BB316" s="21"/>
      <c r="BC316" s="21"/>
      <c r="BD316" s="21"/>
      <c r="BE316" s="21"/>
      <c r="BF316" s="21"/>
      <c r="BG316" s="21"/>
      <c r="BH316" s="21"/>
      <c r="BI316" s="21"/>
      <c r="BJ316" s="21"/>
      <c r="BK316" s="21"/>
      <c r="BL316" s="21"/>
      <c r="BM316" s="21"/>
      <c r="BN316" s="21"/>
      <c r="BO316" s="21"/>
      <c r="BP316" s="21"/>
      <c r="BQ316" s="21"/>
      <c r="BR316" s="21"/>
      <c r="BS316" s="21"/>
      <c r="BT316" s="21"/>
      <c r="BU316" s="21"/>
      <c r="BV316" s="21"/>
      <c r="BW316" s="21"/>
      <c r="BX316" s="21"/>
      <c r="BY316" s="21"/>
      <c r="BZ316" s="21"/>
      <c r="CA316" s="21"/>
      <c r="CB316" s="21"/>
      <c r="CC316" s="21"/>
      <c r="CD316" s="21"/>
      <c r="CE316" s="21"/>
      <c r="CF316" s="21"/>
      <c r="CG316" s="21"/>
      <c r="CH316" s="21"/>
      <c r="CI316" s="21"/>
      <c r="CJ316" s="21"/>
      <c r="CK316" s="21"/>
      <c r="CL316" s="21"/>
      <c r="CM316" s="21"/>
      <c r="CN316" s="21"/>
      <c r="CO316" s="21"/>
      <c r="CP316" s="21"/>
      <c r="CQ316" s="21"/>
      <c r="CR316" s="21"/>
      <c r="CS316" s="21"/>
      <c r="CT316" s="21"/>
      <c r="CU316" s="21"/>
      <c r="CV316" s="21"/>
      <c r="CW316" s="21"/>
      <c r="CX316" s="21"/>
      <c r="CY316" s="21"/>
      <c r="CZ316" s="21"/>
      <c r="DA316" s="21"/>
      <c r="DB316" s="21"/>
      <c r="DC316" s="21"/>
      <c r="DD316" s="21"/>
      <c r="DE316" s="21"/>
      <c r="DF316" s="21"/>
    </row>
    <row r="317" spans="1:110" s="16" customFormat="1" x14ac:dyDescent="0.3">
      <c r="A317" s="21" t="s">
        <v>32</v>
      </c>
      <c r="B317" s="21" t="s">
        <v>290</v>
      </c>
      <c r="C317" s="21" t="s">
        <v>448</v>
      </c>
      <c r="D317" s="42">
        <f>D316-D316*inputs!$E$33</f>
        <v>0</v>
      </c>
      <c r="E317" s="21" t="str">
        <f t="shared" ca="1" si="5"/>
        <v>=D316-D316*inputs!$E$33</v>
      </c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  <c r="BR317" s="21"/>
      <c r="BS317" s="21"/>
      <c r="BT317" s="21"/>
      <c r="BU317" s="21"/>
      <c r="BV317" s="21"/>
      <c r="BW317" s="21"/>
      <c r="BX317" s="21"/>
      <c r="BY317" s="21"/>
      <c r="BZ317" s="21"/>
      <c r="CA317" s="21"/>
      <c r="CB317" s="21"/>
      <c r="CC317" s="21"/>
      <c r="CD317" s="21"/>
      <c r="CE317" s="21"/>
      <c r="CF317" s="21"/>
      <c r="CG317" s="21"/>
      <c r="CH317" s="21"/>
      <c r="CI317" s="21"/>
      <c r="CJ317" s="21"/>
      <c r="CK317" s="21"/>
      <c r="CL317" s="21"/>
      <c r="CM317" s="21"/>
      <c r="CN317" s="21"/>
      <c r="CO317" s="21"/>
      <c r="CP317" s="21"/>
      <c r="CQ317" s="21"/>
      <c r="CR317" s="21"/>
      <c r="CS317" s="21"/>
      <c r="CT317" s="21"/>
      <c r="CU317" s="21"/>
      <c r="CV317" s="21"/>
      <c r="CW317" s="21"/>
      <c r="CX317" s="21"/>
      <c r="CY317" s="21"/>
      <c r="CZ317" s="21"/>
      <c r="DA317" s="21"/>
      <c r="DB317" s="21"/>
      <c r="DC317" s="21"/>
      <c r="DD317" s="21"/>
      <c r="DE317" s="21"/>
      <c r="DF317" s="21"/>
    </row>
    <row r="318" spans="1:110" s="16" customFormat="1" x14ac:dyDescent="0.3">
      <c r="A318" s="21" t="s">
        <v>32</v>
      </c>
      <c r="B318" s="21" t="s">
        <v>290</v>
      </c>
      <c r="C318" s="21" t="s">
        <v>449</v>
      </c>
      <c r="D318" s="42">
        <f>D317-D317*inputs!$E$33</f>
        <v>0</v>
      </c>
      <c r="E318" s="21" t="str">
        <f t="shared" ca="1" si="5"/>
        <v>=D317-D317*inputs!$E$33</v>
      </c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  <c r="AT318" s="21"/>
      <c r="AU318" s="21"/>
      <c r="AV318" s="21"/>
      <c r="AW318" s="21"/>
      <c r="AX318" s="21"/>
      <c r="AY318" s="21"/>
      <c r="AZ318" s="21"/>
      <c r="BA318" s="21"/>
      <c r="BB318" s="21"/>
      <c r="BC318" s="21"/>
      <c r="BD318" s="21"/>
      <c r="BE318" s="21"/>
      <c r="BF318" s="21"/>
      <c r="BG318" s="21"/>
      <c r="BH318" s="21"/>
      <c r="BI318" s="21"/>
      <c r="BJ318" s="21"/>
      <c r="BK318" s="21"/>
      <c r="BL318" s="21"/>
      <c r="BM318" s="21"/>
      <c r="BN318" s="21"/>
      <c r="BO318" s="21"/>
      <c r="BP318" s="21"/>
      <c r="BQ318" s="21"/>
      <c r="BR318" s="21"/>
      <c r="BS318" s="21"/>
      <c r="BT318" s="21"/>
      <c r="BU318" s="21"/>
      <c r="BV318" s="21"/>
      <c r="BW318" s="21"/>
      <c r="BX318" s="21"/>
      <c r="BY318" s="21"/>
      <c r="BZ318" s="21"/>
      <c r="CA318" s="21"/>
      <c r="CB318" s="21"/>
      <c r="CC318" s="21"/>
      <c r="CD318" s="21"/>
      <c r="CE318" s="21"/>
      <c r="CF318" s="21"/>
      <c r="CG318" s="21"/>
      <c r="CH318" s="21"/>
      <c r="CI318" s="21"/>
      <c r="CJ318" s="21"/>
      <c r="CK318" s="21"/>
      <c r="CL318" s="21"/>
      <c r="CM318" s="21"/>
      <c r="CN318" s="21"/>
      <c r="CO318" s="21"/>
      <c r="CP318" s="21"/>
      <c r="CQ318" s="21"/>
      <c r="CR318" s="21"/>
      <c r="CS318" s="21"/>
      <c r="CT318" s="21"/>
      <c r="CU318" s="21"/>
      <c r="CV318" s="21"/>
      <c r="CW318" s="21"/>
      <c r="CX318" s="21"/>
      <c r="CY318" s="21"/>
      <c r="CZ318" s="21"/>
      <c r="DA318" s="21"/>
      <c r="DB318" s="21"/>
      <c r="DC318" s="21"/>
      <c r="DD318" s="21"/>
      <c r="DE318" s="21"/>
      <c r="DF318" s="21"/>
    </row>
    <row r="319" spans="1:110" s="16" customFormat="1" x14ac:dyDescent="0.3">
      <c r="A319" s="21" t="s">
        <v>32</v>
      </c>
      <c r="B319" s="21" t="s">
        <v>290</v>
      </c>
      <c r="C319" s="21" t="s">
        <v>450</v>
      </c>
      <c r="D319" s="42">
        <f>D318-D318*inputs!$E$33</f>
        <v>0</v>
      </c>
      <c r="E319" s="21" t="str">
        <f t="shared" ca="1" si="5"/>
        <v>=D318-D318*inputs!$E$33</v>
      </c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  <c r="AT319" s="21"/>
      <c r="AU319" s="21"/>
      <c r="AV319" s="21"/>
      <c r="AW319" s="21"/>
      <c r="AX319" s="21"/>
      <c r="AY319" s="21"/>
      <c r="AZ319" s="21"/>
      <c r="BA319" s="21"/>
      <c r="BB319" s="21"/>
      <c r="BC319" s="21"/>
      <c r="BD319" s="21"/>
      <c r="BE319" s="21"/>
      <c r="BF319" s="21"/>
      <c r="BG319" s="21"/>
      <c r="BH319" s="21"/>
      <c r="BI319" s="21"/>
      <c r="BJ319" s="21"/>
      <c r="BK319" s="21"/>
      <c r="BL319" s="21"/>
      <c r="BM319" s="21"/>
      <c r="BN319" s="21"/>
      <c r="BO319" s="21"/>
      <c r="BP319" s="21"/>
      <c r="BQ319" s="21"/>
      <c r="BR319" s="21"/>
      <c r="BS319" s="21"/>
      <c r="BT319" s="21"/>
      <c r="BU319" s="21"/>
      <c r="BV319" s="21"/>
      <c r="BW319" s="21"/>
      <c r="BX319" s="21"/>
      <c r="BY319" s="21"/>
      <c r="BZ319" s="21"/>
      <c r="CA319" s="21"/>
      <c r="CB319" s="21"/>
      <c r="CC319" s="21"/>
      <c r="CD319" s="21"/>
      <c r="CE319" s="21"/>
      <c r="CF319" s="21"/>
      <c r="CG319" s="21"/>
      <c r="CH319" s="21"/>
      <c r="CI319" s="21"/>
      <c r="CJ319" s="21"/>
      <c r="CK319" s="21"/>
      <c r="CL319" s="21"/>
      <c r="CM319" s="21"/>
      <c r="CN319" s="21"/>
      <c r="CO319" s="21"/>
      <c r="CP319" s="21"/>
      <c r="CQ319" s="21"/>
      <c r="CR319" s="21"/>
      <c r="CS319" s="21"/>
      <c r="CT319" s="21"/>
      <c r="CU319" s="21"/>
      <c r="CV319" s="21"/>
      <c r="CW319" s="21"/>
      <c r="CX319" s="21"/>
      <c r="CY319" s="21"/>
      <c r="CZ319" s="21"/>
      <c r="DA319" s="21"/>
      <c r="DB319" s="21"/>
      <c r="DC319" s="21"/>
      <c r="DD319" s="21"/>
      <c r="DE319" s="21"/>
      <c r="DF319" s="21"/>
    </row>
    <row r="320" spans="1:110" s="16" customFormat="1" x14ac:dyDescent="0.3">
      <c r="A320" s="21" t="s">
        <v>32</v>
      </c>
      <c r="B320" s="21" t="s">
        <v>290</v>
      </c>
      <c r="C320" s="21" t="s">
        <v>451</v>
      </c>
      <c r="D320" s="42">
        <f>D319-D319*inputs!$E$34</f>
        <v>0</v>
      </c>
      <c r="E320" s="21" t="str">
        <f t="shared" ca="1" si="5"/>
        <v>=D319-D319*inputs!$E$34</v>
      </c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  <c r="AT320" s="21"/>
      <c r="AU320" s="21"/>
      <c r="AV320" s="21"/>
      <c r="AW320" s="21"/>
      <c r="AX320" s="21"/>
      <c r="AY320" s="21"/>
      <c r="AZ320" s="21"/>
      <c r="BA320" s="21"/>
      <c r="BB320" s="21"/>
      <c r="BC320" s="21"/>
      <c r="BD320" s="21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  <c r="BO320" s="21"/>
      <c r="BP320" s="21"/>
      <c r="BQ320" s="21"/>
      <c r="BR320" s="21"/>
      <c r="BS320" s="21"/>
      <c r="BT320" s="21"/>
      <c r="BU320" s="21"/>
      <c r="BV320" s="21"/>
      <c r="BW320" s="21"/>
      <c r="BX320" s="21"/>
      <c r="BY320" s="21"/>
      <c r="BZ320" s="21"/>
      <c r="CA320" s="21"/>
      <c r="CB320" s="21"/>
      <c r="CC320" s="21"/>
      <c r="CD320" s="21"/>
      <c r="CE320" s="21"/>
      <c r="CF320" s="21"/>
      <c r="CG320" s="21"/>
      <c r="CH320" s="21"/>
      <c r="CI320" s="21"/>
      <c r="CJ320" s="21"/>
      <c r="CK320" s="21"/>
      <c r="CL320" s="21"/>
      <c r="CM320" s="21"/>
      <c r="CN320" s="21"/>
      <c r="CO320" s="21"/>
      <c r="CP320" s="21"/>
      <c r="CQ320" s="21"/>
      <c r="CR320" s="21"/>
      <c r="CS320" s="21"/>
      <c r="CT320" s="21"/>
      <c r="CU320" s="21"/>
      <c r="CV320" s="21"/>
      <c r="CW320" s="21"/>
      <c r="CX320" s="21"/>
      <c r="CY320" s="21"/>
      <c r="CZ320" s="21"/>
      <c r="DA320" s="21"/>
      <c r="DB320" s="21"/>
      <c r="DC320" s="21"/>
      <c r="DD320" s="21"/>
      <c r="DE320" s="21"/>
      <c r="DF320" s="21"/>
    </row>
    <row r="321" spans="1:110" s="16" customFormat="1" x14ac:dyDescent="0.3">
      <c r="A321" s="21" t="s">
        <v>32</v>
      </c>
      <c r="B321" s="21" t="s">
        <v>290</v>
      </c>
      <c r="C321" s="21" t="s">
        <v>452</v>
      </c>
      <c r="D321" s="42">
        <f>D320-D320*inputs!$E$34</f>
        <v>0</v>
      </c>
      <c r="E321" s="21" t="str">
        <f t="shared" ca="1" si="5"/>
        <v>=D320-D320*inputs!$E$34</v>
      </c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  <c r="CD321" s="21"/>
      <c r="CE321" s="21"/>
      <c r="CF321" s="21"/>
      <c r="CG321" s="21"/>
      <c r="CH321" s="21"/>
      <c r="CI321" s="21"/>
      <c r="CJ321" s="21"/>
      <c r="CK321" s="21"/>
      <c r="CL321" s="21"/>
      <c r="CM321" s="21"/>
      <c r="CN321" s="21"/>
      <c r="CO321" s="21"/>
      <c r="CP321" s="21"/>
      <c r="CQ321" s="21"/>
      <c r="CR321" s="21"/>
      <c r="CS321" s="21"/>
      <c r="CT321" s="21"/>
      <c r="CU321" s="21"/>
      <c r="CV321" s="21"/>
      <c r="CW321" s="21"/>
      <c r="CX321" s="21"/>
      <c r="CY321" s="21"/>
      <c r="CZ321" s="21"/>
      <c r="DA321" s="21"/>
      <c r="DB321" s="21"/>
      <c r="DC321" s="21"/>
      <c r="DD321" s="21"/>
      <c r="DE321" s="21"/>
      <c r="DF321" s="21"/>
    </row>
    <row r="322" spans="1:110" s="16" customFormat="1" x14ac:dyDescent="0.3">
      <c r="A322" s="21" t="s">
        <v>32</v>
      </c>
      <c r="B322" s="21" t="s">
        <v>290</v>
      </c>
      <c r="C322" s="21" t="s">
        <v>453</v>
      </c>
      <c r="D322" s="42">
        <f>D321-D321*inputs!$E$34</f>
        <v>0</v>
      </c>
      <c r="E322" s="21" t="str">
        <f t="shared" ca="1" si="5"/>
        <v>=D321-D321*inputs!$E$34</v>
      </c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  <c r="CA322" s="21"/>
      <c r="CB322" s="21"/>
      <c r="CC322" s="21"/>
      <c r="CD322" s="21"/>
      <c r="CE322" s="21"/>
      <c r="CF322" s="21"/>
      <c r="CG322" s="21"/>
      <c r="CH322" s="21"/>
      <c r="CI322" s="21"/>
      <c r="CJ322" s="21"/>
      <c r="CK322" s="21"/>
      <c r="CL322" s="21"/>
      <c r="CM322" s="21"/>
      <c r="CN322" s="21"/>
      <c r="CO322" s="21"/>
      <c r="CP322" s="21"/>
      <c r="CQ322" s="21"/>
      <c r="CR322" s="21"/>
      <c r="CS322" s="21"/>
      <c r="CT322" s="21"/>
      <c r="CU322" s="21"/>
      <c r="CV322" s="21"/>
      <c r="CW322" s="21"/>
      <c r="CX322" s="21"/>
      <c r="CY322" s="21"/>
      <c r="CZ322" s="21"/>
      <c r="DA322" s="21"/>
      <c r="DB322" s="21"/>
      <c r="DC322" s="21"/>
      <c r="DD322" s="21"/>
      <c r="DE322" s="21"/>
      <c r="DF322" s="21"/>
    </row>
    <row r="323" spans="1:110" s="16" customFormat="1" x14ac:dyDescent="0.3">
      <c r="A323" s="21" t="s">
        <v>32</v>
      </c>
      <c r="B323" s="21" t="s">
        <v>290</v>
      </c>
      <c r="C323" s="21" t="s">
        <v>454</v>
      </c>
      <c r="D323" s="42">
        <f>D322-D322*inputs!$E$34</f>
        <v>0</v>
      </c>
      <c r="E323" s="21" t="str">
        <f t="shared" ca="1" si="5"/>
        <v>=D322-D322*inputs!$E$34</v>
      </c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  <c r="CA323" s="21"/>
      <c r="CB323" s="21"/>
      <c r="CC323" s="21"/>
      <c r="CD323" s="21"/>
      <c r="CE323" s="21"/>
      <c r="CF323" s="21"/>
      <c r="CG323" s="21"/>
      <c r="CH323" s="21"/>
      <c r="CI323" s="21"/>
      <c r="CJ323" s="21"/>
      <c r="CK323" s="21"/>
      <c r="CL323" s="21"/>
      <c r="CM323" s="21"/>
      <c r="CN323" s="21"/>
      <c r="CO323" s="21"/>
      <c r="CP323" s="21"/>
      <c r="CQ323" s="21"/>
      <c r="CR323" s="21"/>
      <c r="CS323" s="21"/>
      <c r="CT323" s="21"/>
      <c r="CU323" s="21"/>
      <c r="CV323" s="21"/>
      <c r="CW323" s="21"/>
      <c r="CX323" s="21"/>
      <c r="CY323" s="21"/>
      <c r="CZ323" s="21"/>
      <c r="DA323" s="21"/>
      <c r="DB323" s="21"/>
      <c r="DC323" s="21"/>
      <c r="DD323" s="21"/>
      <c r="DE323" s="21"/>
      <c r="DF323" s="21"/>
    </row>
    <row r="324" spans="1:110" s="16" customFormat="1" x14ac:dyDescent="0.3">
      <c r="A324" s="21" t="s">
        <v>32</v>
      </c>
      <c r="B324" s="21" t="s">
        <v>290</v>
      </c>
      <c r="C324" s="21" t="s">
        <v>455</v>
      </c>
      <c r="D324" s="42">
        <f>D323-D323*inputs!$E$34</f>
        <v>0</v>
      </c>
      <c r="E324" s="21" t="str">
        <f t="shared" ca="1" si="5"/>
        <v>=D323-D323*inputs!$E$34</v>
      </c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  <c r="CA324" s="21"/>
      <c r="CB324" s="21"/>
      <c r="CC324" s="21"/>
      <c r="CD324" s="21"/>
      <c r="CE324" s="21"/>
      <c r="CF324" s="21"/>
      <c r="CG324" s="21"/>
      <c r="CH324" s="21"/>
      <c r="CI324" s="21"/>
      <c r="CJ324" s="21"/>
      <c r="CK324" s="21"/>
      <c r="CL324" s="21"/>
      <c r="CM324" s="21"/>
      <c r="CN324" s="21"/>
      <c r="CO324" s="21"/>
      <c r="CP324" s="21"/>
      <c r="CQ324" s="21"/>
      <c r="CR324" s="21"/>
      <c r="CS324" s="21"/>
      <c r="CT324" s="21"/>
      <c r="CU324" s="21"/>
      <c r="CV324" s="21"/>
      <c r="CW324" s="21"/>
      <c r="CX324" s="21"/>
      <c r="CY324" s="21"/>
      <c r="CZ324" s="21"/>
      <c r="DA324" s="21"/>
      <c r="DB324" s="21"/>
      <c r="DC324" s="21"/>
      <c r="DD324" s="21"/>
      <c r="DE324" s="21"/>
      <c r="DF324" s="21"/>
    </row>
    <row r="325" spans="1:110" s="16" customFormat="1" x14ac:dyDescent="0.3">
      <c r="A325" s="21" t="s">
        <v>32</v>
      </c>
      <c r="B325" s="21" t="s">
        <v>290</v>
      </c>
      <c r="C325" s="21" t="s">
        <v>456</v>
      </c>
      <c r="D325" s="42">
        <f>D324-D324*inputs!$E$35</f>
        <v>0</v>
      </c>
      <c r="E325" s="21" t="str">
        <f t="shared" ca="1" si="5"/>
        <v>=D324-D324*inputs!$E$35</v>
      </c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  <c r="CA325" s="21"/>
      <c r="CB325" s="21"/>
      <c r="CC325" s="21"/>
      <c r="CD325" s="21"/>
      <c r="CE325" s="21"/>
      <c r="CF325" s="21"/>
      <c r="CG325" s="21"/>
      <c r="CH325" s="21"/>
      <c r="CI325" s="21"/>
      <c r="CJ325" s="21"/>
      <c r="CK325" s="21"/>
      <c r="CL325" s="21"/>
      <c r="CM325" s="21"/>
      <c r="CN325" s="21"/>
      <c r="CO325" s="21"/>
      <c r="CP325" s="21"/>
      <c r="CQ325" s="21"/>
      <c r="CR325" s="21"/>
      <c r="CS325" s="21"/>
      <c r="CT325" s="21"/>
      <c r="CU325" s="21"/>
      <c r="CV325" s="21"/>
      <c r="CW325" s="21"/>
      <c r="CX325" s="21"/>
      <c r="CY325" s="21"/>
      <c r="CZ325" s="21"/>
      <c r="DA325" s="21"/>
      <c r="DB325" s="21"/>
      <c r="DC325" s="21"/>
      <c r="DD325" s="21"/>
      <c r="DE325" s="21"/>
      <c r="DF325" s="21"/>
    </row>
    <row r="326" spans="1:110" s="16" customFormat="1" x14ac:dyDescent="0.3">
      <c r="A326" s="21" t="s">
        <v>32</v>
      </c>
      <c r="B326" s="21" t="s">
        <v>290</v>
      </c>
      <c r="C326" s="21" t="s">
        <v>457</v>
      </c>
      <c r="D326" s="42">
        <f>D325-D325*inputs!$E$35</f>
        <v>0</v>
      </c>
      <c r="E326" s="21" t="str">
        <f t="shared" ca="1" si="5"/>
        <v>=D325-D325*inputs!$E$35</v>
      </c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  <c r="CA326" s="21"/>
      <c r="CB326" s="21"/>
      <c r="CC326" s="21"/>
      <c r="CD326" s="21"/>
      <c r="CE326" s="21"/>
      <c r="CF326" s="21"/>
      <c r="CG326" s="21"/>
      <c r="CH326" s="21"/>
      <c r="CI326" s="21"/>
      <c r="CJ326" s="21"/>
      <c r="CK326" s="21"/>
      <c r="CL326" s="21"/>
      <c r="CM326" s="21"/>
      <c r="CN326" s="21"/>
      <c r="CO326" s="21"/>
      <c r="CP326" s="21"/>
      <c r="CQ326" s="21"/>
      <c r="CR326" s="21"/>
      <c r="CS326" s="21"/>
      <c r="CT326" s="21"/>
      <c r="CU326" s="21"/>
      <c r="CV326" s="21"/>
      <c r="CW326" s="21"/>
      <c r="CX326" s="21"/>
      <c r="CY326" s="21"/>
      <c r="CZ326" s="21"/>
      <c r="DA326" s="21"/>
      <c r="DB326" s="21"/>
      <c r="DC326" s="21"/>
      <c r="DD326" s="21"/>
      <c r="DE326" s="21"/>
      <c r="DF326" s="21"/>
    </row>
    <row r="327" spans="1:110" s="16" customFormat="1" x14ac:dyDescent="0.3">
      <c r="A327" s="21" t="s">
        <v>32</v>
      </c>
      <c r="B327" s="21" t="s">
        <v>290</v>
      </c>
      <c r="C327" s="21" t="s">
        <v>458</v>
      </c>
      <c r="D327" s="42">
        <f>D326-D326*inputs!$E$35</f>
        <v>0</v>
      </c>
      <c r="E327" s="21" t="str">
        <f t="shared" ca="1" si="5"/>
        <v>=D326-D326*inputs!$E$35</v>
      </c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  <c r="CA327" s="21"/>
      <c r="CB327" s="21"/>
      <c r="CC327" s="21"/>
      <c r="CD327" s="21"/>
      <c r="CE327" s="21"/>
      <c r="CF327" s="21"/>
      <c r="CG327" s="21"/>
      <c r="CH327" s="21"/>
      <c r="CI327" s="21"/>
      <c r="CJ327" s="21"/>
      <c r="CK327" s="21"/>
      <c r="CL327" s="21"/>
      <c r="CM327" s="21"/>
      <c r="CN327" s="21"/>
      <c r="CO327" s="21"/>
      <c r="CP327" s="21"/>
      <c r="CQ327" s="21"/>
      <c r="CR327" s="21"/>
      <c r="CS327" s="21"/>
      <c r="CT327" s="21"/>
      <c r="CU327" s="21"/>
      <c r="CV327" s="21"/>
      <c r="CW327" s="21"/>
      <c r="CX327" s="21"/>
      <c r="CY327" s="21"/>
      <c r="CZ327" s="21"/>
      <c r="DA327" s="21"/>
      <c r="DB327" s="21"/>
      <c r="DC327" s="21"/>
      <c r="DD327" s="21"/>
      <c r="DE327" s="21"/>
      <c r="DF327" s="21"/>
    </row>
    <row r="328" spans="1:110" s="16" customFormat="1" x14ac:dyDescent="0.3">
      <c r="A328" s="21" t="s">
        <v>32</v>
      </c>
      <c r="B328" s="21" t="s">
        <v>290</v>
      </c>
      <c r="C328" s="21" t="s">
        <v>459</v>
      </c>
      <c r="D328" s="42">
        <f>D327-D327*inputs!$E$35</f>
        <v>0</v>
      </c>
      <c r="E328" s="21" t="str">
        <f t="shared" ca="1" si="5"/>
        <v>=D327-D327*inputs!$E$35</v>
      </c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  <c r="CA328" s="21"/>
      <c r="CB328" s="21"/>
      <c r="CC328" s="21"/>
      <c r="CD328" s="21"/>
      <c r="CE328" s="21"/>
      <c r="CF328" s="21"/>
      <c r="CG328" s="21"/>
      <c r="CH328" s="21"/>
      <c r="CI328" s="21"/>
      <c r="CJ328" s="21"/>
      <c r="CK328" s="21"/>
      <c r="CL328" s="21"/>
      <c r="CM328" s="21"/>
      <c r="CN328" s="21"/>
      <c r="CO328" s="21"/>
      <c r="CP328" s="21"/>
      <c r="CQ328" s="21"/>
      <c r="CR328" s="21"/>
      <c r="CS328" s="21"/>
      <c r="CT328" s="21"/>
      <c r="CU328" s="21"/>
      <c r="CV328" s="21"/>
      <c r="CW328" s="21"/>
      <c r="CX328" s="21"/>
      <c r="CY328" s="21"/>
      <c r="CZ328" s="21"/>
      <c r="DA328" s="21"/>
      <c r="DB328" s="21"/>
      <c r="DC328" s="21"/>
      <c r="DD328" s="21"/>
      <c r="DE328" s="21"/>
      <c r="DF328" s="21"/>
    </row>
    <row r="329" spans="1:110" s="16" customFormat="1" x14ac:dyDescent="0.3">
      <c r="A329" s="21" t="s">
        <v>32</v>
      </c>
      <c r="B329" s="21" t="s">
        <v>290</v>
      </c>
      <c r="C329" s="21" t="s">
        <v>460</v>
      </c>
      <c r="D329" s="42">
        <f>D328-D328*inputs!$E$35</f>
        <v>0</v>
      </c>
      <c r="E329" s="21" t="str">
        <f t="shared" ca="1" si="5"/>
        <v>=D328-D328*inputs!$E$35</v>
      </c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  <c r="CA329" s="21"/>
      <c r="CB329" s="21"/>
      <c r="CC329" s="21"/>
      <c r="CD329" s="21"/>
      <c r="CE329" s="21"/>
      <c r="CF329" s="21"/>
      <c r="CG329" s="21"/>
      <c r="CH329" s="21"/>
      <c r="CI329" s="21"/>
      <c r="CJ329" s="21"/>
      <c r="CK329" s="21"/>
      <c r="CL329" s="21"/>
      <c r="CM329" s="21"/>
      <c r="CN329" s="21"/>
      <c r="CO329" s="21"/>
      <c r="CP329" s="21"/>
      <c r="CQ329" s="21"/>
      <c r="CR329" s="21"/>
      <c r="CS329" s="21"/>
      <c r="CT329" s="21"/>
      <c r="CU329" s="21"/>
      <c r="CV329" s="21"/>
      <c r="CW329" s="21"/>
      <c r="CX329" s="21"/>
      <c r="CY329" s="21"/>
      <c r="CZ329" s="21"/>
      <c r="DA329" s="21"/>
      <c r="DB329" s="21"/>
      <c r="DC329" s="21"/>
      <c r="DD329" s="21"/>
      <c r="DE329" s="21"/>
      <c r="DF329" s="21"/>
    </row>
    <row r="330" spans="1:110" s="16" customFormat="1" x14ac:dyDescent="0.3">
      <c r="A330" s="21" t="s">
        <v>32</v>
      </c>
      <c r="B330" s="21" t="s">
        <v>290</v>
      </c>
      <c r="C330" s="21" t="s">
        <v>461</v>
      </c>
      <c r="D330" s="42">
        <f>D329-D329*inputs!$E$35</f>
        <v>0</v>
      </c>
      <c r="E330" s="21" t="str">
        <f t="shared" ca="1" si="5"/>
        <v>=D329-D329*inputs!$E$35</v>
      </c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  <c r="CA330" s="21"/>
      <c r="CB330" s="21"/>
      <c r="CC330" s="21"/>
      <c r="CD330" s="21"/>
      <c r="CE330" s="21"/>
      <c r="CF330" s="21"/>
      <c r="CG330" s="21"/>
      <c r="CH330" s="21"/>
      <c r="CI330" s="21"/>
      <c r="CJ330" s="21"/>
      <c r="CK330" s="21"/>
      <c r="CL330" s="21"/>
      <c r="CM330" s="21"/>
      <c r="CN330" s="21"/>
      <c r="CO330" s="21"/>
      <c r="CP330" s="21"/>
      <c r="CQ330" s="21"/>
      <c r="CR330" s="21"/>
      <c r="CS330" s="21"/>
      <c r="CT330" s="21"/>
      <c r="CU330" s="21"/>
      <c r="CV330" s="21"/>
      <c r="CW330" s="21"/>
      <c r="CX330" s="21"/>
      <c r="CY330" s="21"/>
      <c r="CZ330" s="21"/>
      <c r="DA330" s="21"/>
      <c r="DB330" s="21"/>
      <c r="DC330" s="21"/>
      <c r="DD330" s="21"/>
      <c r="DE330" s="21"/>
      <c r="DF330" s="21"/>
    </row>
    <row r="331" spans="1:110" s="16" customFormat="1" x14ac:dyDescent="0.3">
      <c r="A331" s="21" t="s">
        <v>32</v>
      </c>
      <c r="B331" s="21" t="s">
        <v>290</v>
      </c>
      <c r="C331" s="21" t="s">
        <v>462</v>
      </c>
      <c r="D331" s="42">
        <f>D330-D330*inputs!$E$35</f>
        <v>0</v>
      </c>
      <c r="E331" s="21" t="str">
        <f t="shared" ca="1" si="5"/>
        <v>=D330-D330*inputs!$E$35</v>
      </c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  <c r="CD331" s="21"/>
      <c r="CE331" s="21"/>
      <c r="CF331" s="21"/>
      <c r="CG331" s="21"/>
      <c r="CH331" s="21"/>
      <c r="CI331" s="21"/>
      <c r="CJ331" s="21"/>
      <c r="CK331" s="21"/>
      <c r="CL331" s="21"/>
      <c r="CM331" s="21"/>
      <c r="CN331" s="21"/>
      <c r="CO331" s="21"/>
      <c r="CP331" s="21"/>
      <c r="CQ331" s="21"/>
      <c r="CR331" s="21"/>
      <c r="CS331" s="21"/>
      <c r="CT331" s="21"/>
      <c r="CU331" s="21"/>
      <c r="CV331" s="21"/>
      <c r="CW331" s="21"/>
      <c r="CX331" s="21"/>
      <c r="CY331" s="21"/>
      <c r="CZ331" s="21"/>
      <c r="DA331" s="21"/>
      <c r="DB331" s="21"/>
      <c r="DC331" s="21"/>
      <c r="DD331" s="21"/>
      <c r="DE331" s="21"/>
      <c r="DF331" s="21"/>
    </row>
    <row r="332" spans="1:110" s="16" customFormat="1" x14ac:dyDescent="0.3">
      <c r="A332" s="21" t="s">
        <v>32</v>
      </c>
      <c r="B332" s="21" t="s">
        <v>290</v>
      </c>
      <c r="C332" s="21" t="s">
        <v>463</v>
      </c>
      <c r="D332" s="42">
        <f>D331-D331*inputs!$E$35</f>
        <v>0</v>
      </c>
      <c r="E332" s="21" t="str">
        <f t="shared" ca="1" si="5"/>
        <v>=D331-D331*inputs!$E$35</v>
      </c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  <c r="CA332" s="21"/>
      <c r="CB332" s="21"/>
      <c r="CC332" s="21"/>
      <c r="CD332" s="21"/>
      <c r="CE332" s="21"/>
      <c r="CF332" s="21"/>
      <c r="CG332" s="21"/>
      <c r="CH332" s="21"/>
      <c r="CI332" s="21"/>
      <c r="CJ332" s="21"/>
      <c r="CK332" s="21"/>
      <c r="CL332" s="21"/>
      <c r="CM332" s="21"/>
      <c r="CN332" s="21"/>
      <c r="CO332" s="21"/>
      <c r="CP332" s="21"/>
      <c r="CQ332" s="21"/>
      <c r="CR332" s="21"/>
      <c r="CS332" s="21"/>
      <c r="CT332" s="21"/>
      <c r="CU332" s="21"/>
      <c r="CV332" s="21"/>
      <c r="CW332" s="21"/>
      <c r="CX332" s="21"/>
      <c r="CY332" s="21"/>
      <c r="CZ332" s="21"/>
      <c r="DA332" s="21"/>
      <c r="DB332" s="21"/>
      <c r="DC332" s="21"/>
      <c r="DD332" s="21"/>
      <c r="DE332" s="21"/>
      <c r="DF332" s="21"/>
    </row>
    <row r="333" spans="1:110" s="16" customFormat="1" x14ac:dyDescent="0.3">
      <c r="A333" s="21" t="s">
        <v>32</v>
      </c>
      <c r="B333" s="21" t="s">
        <v>290</v>
      </c>
      <c r="C333" s="21" t="s">
        <v>464</v>
      </c>
      <c r="D333" s="42">
        <f>D332-D332*inputs!$E$35</f>
        <v>0</v>
      </c>
      <c r="E333" s="21" t="str">
        <f t="shared" ca="1" si="5"/>
        <v>=D332-D332*inputs!$E$35</v>
      </c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  <c r="CA333" s="21"/>
      <c r="CB333" s="21"/>
      <c r="CC333" s="21"/>
      <c r="CD333" s="21"/>
      <c r="CE333" s="21"/>
      <c r="CF333" s="21"/>
      <c r="CG333" s="21"/>
      <c r="CH333" s="21"/>
      <c r="CI333" s="21"/>
      <c r="CJ333" s="21"/>
      <c r="CK333" s="21"/>
      <c r="CL333" s="21"/>
      <c r="CM333" s="21"/>
      <c r="CN333" s="21"/>
      <c r="CO333" s="21"/>
      <c r="CP333" s="21"/>
      <c r="CQ333" s="21"/>
      <c r="CR333" s="21"/>
      <c r="CS333" s="21"/>
      <c r="CT333" s="21"/>
      <c r="CU333" s="21"/>
      <c r="CV333" s="21"/>
      <c r="CW333" s="21"/>
      <c r="CX333" s="21"/>
      <c r="CY333" s="21"/>
      <c r="CZ333" s="21"/>
      <c r="DA333" s="21"/>
      <c r="DB333" s="21"/>
      <c r="DC333" s="21"/>
      <c r="DD333" s="21"/>
      <c r="DE333" s="21"/>
      <c r="DF333" s="21"/>
    </row>
    <row r="334" spans="1:110" s="16" customFormat="1" x14ac:dyDescent="0.3">
      <c r="A334" s="21" t="s">
        <v>32</v>
      </c>
      <c r="B334" s="21" t="s">
        <v>290</v>
      </c>
      <c r="C334" s="21" t="s">
        <v>465</v>
      </c>
      <c r="D334" s="42">
        <f>D333-D333*inputs!$E$35</f>
        <v>0</v>
      </c>
      <c r="E334" s="21" t="str">
        <f t="shared" ca="1" si="5"/>
        <v>=D333-D333*inputs!$E$35</v>
      </c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  <c r="CA334" s="21"/>
      <c r="CB334" s="21"/>
      <c r="CC334" s="21"/>
      <c r="CD334" s="21"/>
      <c r="CE334" s="21"/>
      <c r="CF334" s="21"/>
      <c r="CG334" s="21"/>
      <c r="CH334" s="21"/>
      <c r="CI334" s="21"/>
      <c r="CJ334" s="21"/>
      <c r="CK334" s="21"/>
      <c r="CL334" s="21"/>
      <c r="CM334" s="21"/>
      <c r="CN334" s="21"/>
      <c r="CO334" s="21"/>
      <c r="CP334" s="21"/>
      <c r="CQ334" s="21"/>
      <c r="CR334" s="21"/>
      <c r="CS334" s="21"/>
      <c r="CT334" s="21"/>
      <c r="CU334" s="21"/>
      <c r="CV334" s="21"/>
      <c r="CW334" s="21"/>
      <c r="CX334" s="21"/>
      <c r="CY334" s="21"/>
      <c r="CZ334" s="21"/>
      <c r="DA334" s="21"/>
      <c r="DB334" s="21"/>
      <c r="DC334" s="21"/>
      <c r="DD334" s="21"/>
      <c r="DE334" s="21"/>
      <c r="DF334" s="21"/>
    </row>
    <row r="335" spans="1:110" s="16" customFormat="1" x14ac:dyDescent="0.3">
      <c r="A335" s="21" t="s">
        <v>32</v>
      </c>
      <c r="B335" s="21" t="s">
        <v>290</v>
      </c>
      <c r="C335" s="21" t="s">
        <v>466</v>
      </c>
      <c r="D335" s="42">
        <f>D334-D334*inputs!$E$36</f>
        <v>0</v>
      </c>
      <c r="E335" s="21" t="str">
        <f t="shared" ca="1" si="5"/>
        <v>=D334-D334*inputs!$E$36</v>
      </c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  <c r="CA335" s="21"/>
      <c r="CB335" s="21"/>
      <c r="CC335" s="21"/>
      <c r="CD335" s="21"/>
      <c r="CE335" s="21"/>
      <c r="CF335" s="21"/>
      <c r="CG335" s="21"/>
      <c r="CH335" s="21"/>
      <c r="CI335" s="21"/>
      <c r="CJ335" s="21"/>
      <c r="CK335" s="21"/>
      <c r="CL335" s="21"/>
      <c r="CM335" s="21"/>
      <c r="CN335" s="21"/>
      <c r="CO335" s="21"/>
      <c r="CP335" s="21"/>
      <c r="CQ335" s="21"/>
      <c r="CR335" s="21"/>
      <c r="CS335" s="21"/>
      <c r="CT335" s="21"/>
      <c r="CU335" s="21"/>
      <c r="CV335" s="21"/>
      <c r="CW335" s="21"/>
      <c r="CX335" s="21"/>
      <c r="CY335" s="21"/>
      <c r="CZ335" s="21"/>
      <c r="DA335" s="21"/>
      <c r="DB335" s="21"/>
      <c r="DC335" s="21"/>
      <c r="DD335" s="21"/>
      <c r="DE335" s="21"/>
      <c r="DF335" s="21"/>
    </row>
    <row r="336" spans="1:110" s="16" customFormat="1" x14ac:dyDescent="0.3">
      <c r="A336" s="21" t="s">
        <v>32</v>
      </c>
      <c r="B336" s="21" t="s">
        <v>290</v>
      </c>
      <c r="C336" s="21" t="s">
        <v>467</v>
      </c>
      <c r="D336" s="42">
        <f>D335-D335*inputs!$E$36</f>
        <v>0</v>
      </c>
      <c r="E336" s="21" t="str">
        <f t="shared" ca="1" si="5"/>
        <v>=D335-D335*inputs!$E$36</v>
      </c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  <c r="CA336" s="21"/>
      <c r="CB336" s="21"/>
      <c r="CC336" s="21"/>
      <c r="CD336" s="21"/>
      <c r="CE336" s="21"/>
      <c r="CF336" s="21"/>
      <c r="CG336" s="21"/>
      <c r="CH336" s="21"/>
      <c r="CI336" s="21"/>
      <c r="CJ336" s="21"/>
      <c r="CK336" s="21"/>
      <c r="CL336" s="21"/>
      <c r="CM336" s="21"/>
      <c r="CN336" s="21"/>
      <c r="CO336" s="21"/>
      <c r="CP336" s="21"/>
      <c r="CQ336" s="21"/>
      <c r="CR336" s="21"/>
      <c r="CS336" s="21"/>
      <c r="CT336" s="21"/>
      <c r="CU336" s="21"/>
      <c r="CV336" s="21"/>
      <c r="CW336" s="21"/>
      <c r="CX336" s="21"/>
      <c r="CY336" s="21"/>
      <c r="CZ336" s="21"/>
      <c r="DA336" s="21"/>
      <c r="DB336" s="21"/>
      <c r="DC336" s="21"/>
      <c r="DD336" s="21"/>
      <c r="DE336" s="21"/>
      <c r="DF336" s="21"/>
    </row>
    <row r="337" spans="1:110" s="16" customFormat="1" x14ac:dyDescent="0.3">
      <c r="A337" s="21" t="s">
        <v>32</v>
      </c>
      <c r="B337" s="21" t="s">
        <v>290</v>
      </c>
      <c r="C337" s="21" t="s">
        <v>468</v>
      </c>
      <c r="D337" s="42">
        <f>D336-D336*inputs!$E$36</f>
        <v>0</v>
      </c>
      <c r="E337" s="21" t="str">
        <f t="shared" ca="1" si="5"/>
        <v>=D336-D336*inputs!$E$36</v>
      </c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  <c r="CA337" s="21"/>
      <c r="CB337" s="21"/>
      <c r="CC337" s="21"/>
      <c r="CD337" s="21"/>
      <c r="CE337" s="21"/>
      <c r="CF337" s="21"/>
      <c r="CG337" s="21"/>
      <c r="CH337" s="21"/>
      <c r="CI337" s="21"/>
      <c r="CJ337" s="21"/>
      <c r="CK337" s="21"/>
      <c r="CL337" s="21"/>
      <c r="CM337" s="21"/>
      <c r="CN337" s="21"/>
      <c r="CO337" s="21"/>
      <c r="CP337" s="21"/>
      <c r="CQ337" s="21"/>
      <c r="CR337" s="21"/>
      <c r="CS337" s="21"/>
      <c r="CT337" s="21"/>
      <c r="CU337" s="21"/>
      <c r="CV337" s="21"/>
      <c r="CW337" s="21"/>
      <c r="CX337" s="21"/>
      <c r="CY337" s="21"/>
      <c r="CZ337" s="21"/>
      <c r="DA337" s="21"/>
      <c r="DB337" s="21"/>
      <c r="DC337" s="21"/>
      <c r="DD337" s="21"/>
      <c r="DE337" s="21"/>
      <c r="DF337" s="21"/>
    </row>
    <row r="338" spans="1:110" s="16" customFormat="1" x14ac:dyDescent="0.3">
      <c r="A338" s="21" t="s">
        <v>32</v>
      </c>
      <c r="B338" s="21" t="s">
        <v>290</v>
      </c>
      <c r="C338" s="21" t="s">
        <v>469</v>
      </c>
      <c r="D338" s="42">
        <f>D337-D337*inputs!$E$36</f>
        <v>0</v>
      </c>
      <c r="E338" s="21" t="str">
        <f t="shared" ca="1" si="5"/>
        <v>=D337-D337*inputs!$E$36</v>
      </c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  <c r="CA338" s="21"/>
      <c r="CB338" s="21"/>
      <c r="CC338" s="21"/>
      <c r="CD338" s="21"/>
      <c r="CE338" s="21"/>
      <c r="CF338" s="21"/>
      <c r="CG338" s="21"/>
      <c r="CH338" s="21"/>
      <c r="CI338" s="21"/>
      <c r="CJ338" s="21"/>
      <c r="CK338" s="21"/>
      <c r="CL338" s="21"/>
      <c r="CM338" s="21"/>
      <c r="CN338" s="21"/>
      <c r="CO338" s="21"/>
      <c r="CP338" s="21"/>
      <c r="CQ338" s="21"/>
      <c r="CR338" s="21"/>
      <c r="CS338" s="21"/>
      <c r="CT338" s="21"/>
      <c r="CU338" s="21"/>
      <c r="CV338" s="21"/>
      <c r="CW338" s="21"/>
      <c r="CX338" s="21"/>
      <c r="CY338" s="21"/>
      <c r="CZ338" s="21"/>
      <c r="DA338" s="21"/>
      <c r="DB338" s="21"/>
      <c r="DC338" s="21"/>
      <c r="DD338" s="21"/>
      <c r="DE338" s="21"/>
      <c r="DF338" s="21"/>
    </row>
    <row r="339" spans="1:110" s="16" customFormat="1" x14ac:dyDescent="0.3">
      <c r="A339" s="21" t="s">
        <v>32</v>
      </c>
      <c r="B339" s="21" t="s">
        <v>290</v>
      </c>
      <c r="C339" s="21" t="s">
        <v>470</v>
      </c>
      <c r="D339" s="42">
        <f>D338-D338*inputs!$E$36</f>
        <v>0</v>
      </c>
      <c r="E339" s="21" t="str">
        <f t="shared" ca="1" si="5"/>
        <v>=D338-D338*inputs!$E$36</v>
      </c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  <c r="CA339" s="21"/>
      <c r="CB339" s="21"/>
      <c r="CC339" s="21"/>
      <c r="CD339" s="21"/>
      <c r="CE339" s="21"/>
      <c r="CF339" s="21"/>
      <c r="CG339" s="21"/>
      <c r="CH339" s="21"/>
      <c r="CI339" s="21"/>
      <c r="CJ339" s="21"/>
      <c r="CK339" s="21"/>
      <c r="CL339" s="21"/>
      <c r="CM339" s="21"/>
      <c r="CN339" s="21"/>
      <c r="CO339" s="21"/>
      <c r="CP339" s="21"/>
      <c r="CQ339" s="21"/>
      <c r="CR339" s="21"/>
      <c r="CS339" s="21"/>
      <c r="CT339" s="21"/>
      <c r="CU339" s="21"/>
      <c r="CV339" s="21"/>
      <c r="CW339" s="21"/>
      <c r="CX339" s="21"/>
      <c r="CY339" s="21"/>
      <c r="CZ339" s="21"/>
      <c r="DA339" s="21"/>
      <c r="DB339" s="21"/>
      <c r="DC339" s="21"/>
      <c r="DD339" s="21"/>
      <c r="DE339" s="21"/>
      <c r="DF339" s="21"/>
    </row>
    <row r="340" spans="1:110" s="16" customFormat="1" x14ac:dyDescent="0.3">
      <c r="A340" s="21" t="s">
        <v>32</v>
      </c>
      <c r="B340" s="21" t="s">
        <v>290</v>
      </c>
      <c r="C340" s="21" t="s">
        <v>471</v>
      </c>
      <c r="D340" s="42">
        <f>D339-D339*inputs!$E$37</f>
        <v>0</v>
      </c>
      <c r="E340" s="21" t="str">
        <f t="shared" ca="1" si="5"/>
        <v>=D339-D339*inputs!$E$37</v>
      </c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  <c r="CA340" s="21"/>
      <c r="CB340" s="21"/>
      <c r="CC340" s="21"/>
      <c r="CD340" s="21"/>
      <c r="CE340" s="21"/>
      <c r="CF340" s="21"/>
      <c r="CG340" s="21"/>
      <c r="CH340" s="21"/>
      <c r="CI340" s="21"/>
      <c r="CJ340" s="21"/>
      <c r="CK340" s="21"/>
      <c r="CL340" s="21"/>
      <c r="CM340" s="21"/>
      <c r="CN340" s="21"/>
      <c r="CO340" s="21"/>
      <c r="CP340" s="21"/>
      <c r="CQ340" s="21"/>
      <c r="CR340" s="21"/>
      <c r="CS340" s="21"/>
      <c r="CT340" s="21"/>
      <c r="CU340" s="21"/>
      <c r="CV340" s="21"/>
      <c r="CW340" s="21"/>
      <c r="CX340" s="21"/>
      <c r="CY340" s="21"/>
      <c r="CZ340" s="21"/>
      <c r="DA340" s="21"/>
      <c r="DB340" s="21"/>
      <c r="DC340" s="21"/>
      <c r="DD340" s="21"/>
      <c r="DE340" s="21"/>
      <c r="DF340" s="21"/>
    </row>
    <row r="341" spans="1:110" s="16" customFormat="1" x14ac:dyDescent="0.3">
      <c r="A341" s="21" t="s">
        <v>32</v>
      </c>
      <c r="B341" s="21" t="s">
        <v>290</v>
      </c>
      <c r="C341" s="21" t="s">
        <v>472</v>
      </c>
      <c r="D341" s="42">
        <f>D340-D340*inputs!$E$37</f>
        <v>0</v>
      </c>
      <c r="E341" s="21" t="str">
        <f t="shared" ca="1" si="5"/>
        <v>=D340-D340*inputs!$E$37</v>
      </c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  <c r="CD341" s="21"/>
      <c r="CE341" s="21"/>
      <c r="CF341" s="21"/>
      <c r="CG341" s="21"/>
      <c r="CH341" s="21"/>
      <c r="CI341" s="21"/>
      <c r="CJ341" s="21"/>
      <c r="CK341" s="21"/>
      <c r="CL341" s="21"/>
      <c r="CM341" s="21"/>
      <c r="CN341" s="21"/>
      <c r="CO341" s="21"/>
      <c r="CP341" s="21"/>
      <c r="CQ341" s="21"/>
      <c r="CR341" s="21"/>
      <c r="CS341" s="21"/>
      <c r="CT341" s="21"/>
      <c r="CU341" s="21"/>
      <c r="CV341" s="21"/>
      <c r="CW341" s="21"/>
      <c r="CX341" s="21"/>
      <c r="CY341" s="21"/>
      <c r="CZ341" s="21"/>
      <c r="DA341" s="21"/>
      <c r="DB341" s="21"/>
      <c r="DC341" s="21"/>
      <c r="DD341" s="21"/>
      <c r="DE341" s="21"/>
      <c r="DF341" s="21"/>
    </row>
    <row r="342" spans="1:110" s="16" customFormat="1" x14ac:dyDescent="0.3">
      <c r="A342" s="21" t="s">
        <v>32</v>
      </c>
      <c r="B342" s="21" t="s">
        <v>290</v>
      </c>
      <c r="C342" s="21" t="s">
        <v>473</v>
      </c>
      <c r="D342" s="42">
        <f>D341-D341*inputs!$E$37</f>
        <v>0</v>
      </c>
      <c r="E342" s="21" t="str">
        <f t="shared" ca="1" si="5"/>
        <v>=D341-D341*inputs!$E$37</v>
      </c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  <c r="CA342" s="21"/>
      <c r="CB342" s="21"/>
      <c r="CC342" s="21"/>
      <c r="CD342" s="21"/>
      <c r="CE342" s="21"/>
      <c r="CF342" s="21"/>
      <c r="CG342" s="21"/>
      <c r="CH342" s="21"/>
      <c r="CI342" s="21"/>
      <c r="CJ342" s="21"/>
      <c r="CK342" s="21"/>
      <c r="CL342" s="21"/>
      <c r="CM342" s="21"/>
      <c r="CN342" s="21"/>
      <c r="CO342" s="21"/>
      <c r="CP342" s="21"/>
      <c r="CQ342" s="21"/>
      <c r="CR342" s="21"/>
      <c r="CS342" s="21"/>
      <c r="CT342" s="21"/>
      <c r="CU342" s="21"/>
      <c r="CV342" s="21"/>
      <c r="CW342" s="21"/>
      <c r="CX342" s="21"/>
      <c r="CY342" s="21"/>
      <c r="CZ342" s="21"/>
      <c r="DA342" s="21"/>
      <c r="DB342" s="21"/>
      <c r="DC342" s="21"/>
      <c r="DD342" s="21"/>
      <c r="DE342" s="21"/>
      <c r="DF342" s="21"/>
    </row>
    <row r="343" spans="1:110" s="16" customFormat="1" x14ac:dyDescent="0.3">
      <c r="A343" s="21" t="s">
        <v>32</v>
      </c>
      <c r="B343" s="21" t="s">
        <v>290</v>
      </c>
      <c r="C343" s="21" t="s">
        <v>474</v>
      </c>
      <c r="D343" s="42">
        <f>D342-D342*inputs!$E$37</f>
        <v>0</v>
      </c>
      <c r="E343" s="21" t="str">
        <f t="shared" ca="1" si="5"/>
        <v>=D342-D342*inputs!$E$37</v>
      </c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  <c r="CA343" s="21"/>
      <c r="CB343" s="21"/>
      <c r="CC343" s="21"/>
      <c r="CD343" s="21"/>
      <c r="CE343" s="21"/>
      <c r="CF343" s="21"/>
      <c r="CG343" s="21"/>
      <c r="CH343" s="21"/>
      <c r="CI343" s="21"/>
      <c r="CJ343" s="21"/>
      <c r="CK343" s="21"/>
      <c r="CL343" s="21"/>
      <c r="CM343" s="21"/>
      <c r="CN343" s="21"/>
      <c r="CO343" s="21"/>
      <c r="CP343" s="21"/>
      <c r="CQ343" s="21"/>
      <c r="CR343" s="21"/>
      <c r="CS343" s="21"/>
      <c r="CT343" s="21"/>
      <c r="CU343" s="21"/>
      <c r="CV343" s="21"/>
      <c r="CW343" s="21"/>
      <c r="CX343" s="21"/>
      <c r="CY343" s="21"/>
      <c r="CZ343" s="21"/>
      <c r="DA343" s="21"/>
      <c r="DB343" s="21"/>
      <c r="DC343" s="21"/>
      <c r="DD343" s="21"/>
      <c r="DE343" s="21"/>
      <c r="DF343" s="21"/>
    </row>
    <row r="344" spans="1:110" s="16" customFormat="1" x14ac:dyDescent="0.3">
      <c r="A344" s="21" t="s">
        <v>32</v>
      </c>
      <c r="B344" s="21" t="s">
        <v>290</v>
      </c>
      <c r="C344" s="21" t="s">
        <v>475</v>
      </c>
      <c r="D344" s="42">
        <f>D343-D343*inputs!$E$37</f>
        <v>0</v>
      </c>
      <c r="E344" s="21" t="str">
        <f t="shared" ref="E344:E407" ca="1" si="6">_xlfn.FORMULATEXT(D344)</f>
        <v>=D343-D343*inputs!$E$37</v>
      </c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  <c r="CA344" s="21"/>
      <c r="CB344" s="21"/>
      <c r="CC344" s="21"/>
      <c r="CD344" s="21"/>
      <c r="CE344" s="21"/>
      <c r="CF344" s="21"/>
      <c r="CG344" s="21"/>
      <c r="CH344" s="21"/>
      <c r="CI344" s="21"/>
      <c r="CJ344" s="21"/>
      <c r="CK344" s="21"/>
      <c r="CL344" s="21"/>
      <c r="CM344" s="21"/>
      <c r="CN344" s="21"/>
      <c r="CO344" s="21"/>
      <c r="CP344" s="21"/>
      <c r="CQ344" s="21"/>
      <c r="CR344" s="21"/>
      <c r="CS344" s="21"/>
      <c r="CT344" s="21"/>
      <c r="CU344" s="21"/>
      <c r="CV344" s="21"/>
      <c r="CW344" s="21"/>
      <c r="CX344" s="21"/>
      <c r="CY344" s="21"/>
      <c r="CZ344" s="21"/>
      <c r="DA344" s="21"/>
      <c r="DB344" s="21"/>
      <c r="DC344" s="21"/>
      <c r="DD344" s="21"/>
      <c r="DE344" s="21"/>
      <c r="DF344" s="21"/>
    </row>
    <row r="345" spans="1:110" s="16" customFormat="1" x14ac:dyDescent="0.3">
      <c r="A345" s="21" t="s">
        <v>32</v>
      </c>
      <c r="B345" s="21" t="s">
        <v>290</v>
      </c>
      <c r="C345" s="21" t="s">
        <v>476</v>
      </c>
      <c r="D345" s="42">
        <f>D344-D344*inputs!$E$38</f>
        <v>0</v>
      </c>
      <c r="E345" s="21" t="str">
        <f t="shared" ca="1" si="6"/>
        <v>=D344-D344*inputs!$E$38</v>
      </c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  <c r="CA345" s="21"/>
      <c r="CB345" s="21"/>
      <c r="CC345" s="21"/>
      <c r="CD345" s="21"/>
      <c r="CE345" s="21"/>
      <c r="CF345" s="21"/>
      <c r="CG345" s="21"/>
      <c r="CH345" s="21"/>
      <c r="CI345" s="21"/>
      <c r="CJ345" s="21"/>
      <c r="CK345" s="21"/>
      <c r="CL345" s="21"/>
      <c r="CM345" s="21"/>
      <c r="CN345" s="21"/>
      <c r="CO345" s="21"/>
      <c r="CP345" s="21"/>
      <c r="CQ345" s="21"/>
      <c r="CR345" s="21"/>
      <c r="CS345" s="21"/>
      <c r="CT345" s="21"/>
      <c r="CU345" s="21"/>
      <c r="CV345" s="21"/>
      <c r="CW345" s="21"/>
      <c r="CX345" s="21"/>
      <c r="CY345" s="21"/>
      <c r="CZ345" s="21"/>
      <c r="DA345" s="21"/>
      <c r="DB345" s="21"/>
      <c r="DC345" s="21"/>
      <c r="DD345" s="21"/>
      <c r="DE345" s="21"/>
      <c r="DF345" s="21"/>
    </row>
    <row r="346" spans="1:110" s="16" customFormat="1" x14ac:dyDescent="0.3">
      <c r="A346" s="21" t="s">
        <v>32</v>
      </c>
      <c r="B346" s="21" t="s">
        <v>290</v>
      </c>
      <c r="C346" s="21" t="s">
        <v>477</v>
      </c>
      <c r="D346" s="42">
        <f>D345-D345*inputs!$E$38</f>
        <v>0</v>
      </c>
      <c r="E346" s="21" t="str">
        <f t="shared" ca="1" si="6"/>
        <v>=D345-D345*inputs!$E$38</v>
      </c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  <c r="CA346" s="21"/>
      <c r="CB346" s="21"/>
      <c r="CC346" s="21"/>
      <c r="CD346" s="21"/>
      <c r="CE346" s="21"/>
      <c r="CF346" s="21"/>
      <c r="CG346" s="21"/>
      <c r="CH346" s="21"/>
      <c r="CI346" s="21"/>
      <c r="CJ346" s="21"/>
      <c r="CK346" s="21"/>
      <c r="CL346" s="21"/>
      <c r="CM346" s="21"/>
      <c r="CN346" s="21"/>
      <c r="CO346" s="21"/>
      <c r="CP346" s="21"/>
      <c r="CQ346" s="21"/>
      <c r="CR346" s="21"/>
      <c r="CS346" s="21"/>
      <c r="CT346" s="21"/>
      <c r="CU346" s="21"/>
      <c r="CV346" s="21"/>
      <c r="CW346" s="21"/>
      <c r="CX346" s="21"/>
      <c r="CY346" s="21"/>
      <c r="CZ346" s="21"/>
      <c r="DA346" s="21"/>
      <c r="DB346" s="21"/>
      <c r="DC346" s="21"/>
      <c r="DD346" s="21"/>
      <c r="DE346" s="21"/>
      <c r="DF346" s="21"/>
    </row>
    <row r="347" spans="1:110" s="16" customFormat="1" x14ac:dyDescent="0.3">
      <c r="A347" s="21" t="s">
        <v>32</v>
      </c>
      <c r="B347" s="21" t="s">
        <v>290</v>
      </c>
      <c r="C347" s="21" t="s">
        <v>478</v>
      </c>
      <c r="D347" s="42">
        <f>D346-D346*inputs!$E$38</f>
        <v>0</v>
      </c>
      <c r="E347" s="21" t="str">
        <f t="shared" ca="1" si="6"/>
        <v>=D346-D346*inputs!$E$38</v>
      </c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  <c r="CA347" s="21"/>
      <c r="CB347" s="21"/>
      <c r="CC347" s="21"/>
      <c r="CD347" s="21"/>
      <c r="CE347" s="21"/>
      <c r="CF347" s="21"/>
      <c r="CG347" s="21"/>
      <c r="CH347" s="21"/>
      <c r="CI347" s="21"/>
      <c r="CJ347" s="21"/>
      <c r="CK347" s="21"/>
      <c r="CL347" s="21"/>
      <c r="CM347" s="21"/>
      <c r="CN347" s="21"/>
      <c r="CO347" s="21"/>
      <c r="CP347" s="21"/>
      <c r="CQ347" s="21"/>
      <c r="CR347" s="21"/>
      <c r="CS347" s="21"/>
      <c r="CT347" s="21"/>
      <c r="CU347" s="21"/>
      <c r="CV347" s="21"/>
      <c r="CW347" s="21"/>
      <c r="CX347" s="21"/>
      <c r="CY347" s="21"/>
      <c r="CZ347" s="21"/>
      <c r="DA347" s="21"/>
      <c r="DB347" s="21"/>
      <c r="DC347" s="21"/>
      <c r="DD347" s="21"/>
      <c r="DE347" s="21"/>
      <c r="DF347" s="21"/>
    </row>
    <row r="348" spans="1:110" s="16" customFormat="1" x14ac:dyDescent="0.3">
      <c r="A348" s="21" t="s">
        <v>32</v>
      </c>
      <c r="B348" s="21" t="s">
        <v>290</v>
      </c>
      <c r="C348" s="21" t="s">
        <v>479</v>
      </c>
      <c r="D348" s="42">
        <f>D347-D347*inputs!$E$38</f>
        <v>0</v>
      </c>
      <c r="E348" s="21" t="str">
        <f t="shared" ca="1" si="6"/>
        <v>=D347-D347*inputs!$E$38</v>
      </c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  <c r="CA348" s="21"/>
      <c r="CB348" s="21"/>
      <c r="CC348" s="21"/>
      <c r="CD348" s="21"/>
      <c r="CE348" s="21"/>
      <c r="CF348" s="21"/>
      <c r="CG348" s="21"/>
      <c r="CH348" s="21"/>
      <c r="CI348" s="21"/>
      <c r="CJ348" s="21"/>
      <c r="CK348" s="21"/>
      <c r="CL348" s="21"/>
      <c r="CM348" s="21"/>
      <c r="CN348" s="21"/>
      <c r="CO348" s="21"/>
      <c r="CP348" s="21"/>
      <c r="CQ348" s="21"/>
      <c r="CR348" s="21"/>
      <c r="CS348" s="21"/>
      <c r="CT348" s="21"/>
      <c r="CU348" s="21"/>
      <c r="CV348" s="21"/>
      <c r="CW348" s="21"/>
      <c r="CX348" s="21"/>
      <c r="CY348" s="21"/>
      <c r="CZ348" s="21"/>
      <c r="DA348" s="21"/>
      <c r="DB348" s="21"/>
      <c r="DC348" s="21"/>
      <c r="DD348" s="21"/>
      <c r="DE348" s="21"/>
      <c r="DF348" s="21"/>
    </row>
    <row r="349" spans="1:110" s="16" customFormat="1" x14ac:dyDescent="0.3">
      <c r="A349" s="21" t="s">
        <v>32</v>
      </c>
      <c r="B349" s="21" t="s">
        <v>290</v>
      </c>
      <c r="C349" s="21" t="s">
        <v>480</v>
      </c>
      <c r="D349" s="42">
        <f>D348-D348*inputs!$E$38</f>
        <v>0</v>
      </c>
      <c r="E349" s="21" t="str">
        <f t="shared" ca="1" si="6"/>
        <v>=D348-D348*inputs!$E$38</v>
      </c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  <c r="CA349" s="21"/>
      <c r="CB349" s="21"/>
      <c r="CC349" s="21"/>
      <c r="CD349" s="21"/>
      <c r="CE349" s="21"/>
      <c r="CF349" s="21"/>
      <c r="CG349" s="21"/>
      <c r="CH349" s="21"/>
      <c r="CI349" s="21"/>
      <c r="CJ349" s="21"/>
      <c r="CK349" s="21"/>
      <c r="CL349" s="21"/>
      <c r="CM349" s="21"/>
      <c r="CN349" s="21"/>
      <c r="CO349" s="21"/>
      <c r="CP349" s="21"/>
      <c r="CQ349" s="21"/>
      <c r="CR349" s="21"/>
      <c r="CS349" s="21"/>
      <c r="CT349" s="21"/>
      <c r="CU349" s="21"/>
      <c r="CV349" s="21"/>
      <c r="CW349" s="21"/>
      <c r="CX349" s="21"/>
      <c r="CY349" s="21"/>
      <c r="CZ349" s="21"/>
      <c r="DA349" s="21"/>
      <c r="DB349" s="21"/>
      <c r="DC349" s="21"/>
      <c r="DD349" s="21"/>
      <c r="DE349" s="21"/>
      <c r="DF349" s="21"/>
    </row>
    <row r="350" spans="1:110" s="16" customFormat="1" x14ac:dyDescent="0.3">
      <c r="A350" s="21" t="s">
        <v>32</v>
      </c>
      <c r="B350" s="21" t="s">
        <v>290</v>
      </c>
      <c r="C350" s="21" t="s">
        <v>481</v>
      </c>
      <c r="D350" s="42">
        <f>D349-D349*inputs!$E$38</f>
        <v>0</v>
      </c>
      <c r="E350" s="21" t="str">
        <f t="shared" ca="1" si="6"/>
        <v>=D349-D349*inputs!$E$38</v>
      </c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  <c r="CA350" s="21"/>
      <c r="CB350" s="21"/>
      <c r="CC350" s="21"/>
      <c r="CD350" s="21"/>
      <c r="CE350" s="21"/>
      <c r="CF350" s="21"/>
      <c r="CG350" s="21"/>
      <c r="CH350" s="21"/>
      <c r="CI350" s="21"/>
      <c r="CJ350" s="21"/>
      <c r="CK350" s="21"/>
      <c r="CL350" s="21"/>
      <c r="CM350" s="21"/>
      <c r="CN350" s="21"/>
      <c r="CO350" s="21"/>
      <c r="CP350" s="21"/>
      <c r="CQ350" s="21"/>
      <c r="CR350" s="21"/>
      <c r="CS350" s="21"/>
      <c r="CT350" s="21"/>
      <c r="CU350" s="21"/>
      <c r="CV350" s="21"/>
      <c r="CW350" s="21"/>
      <c r="CX350" s="21"/>
      <c r="CY350" s="21"/>
      <c r="CZ350" s="21"/>
      <c r="DA350" s="21"/>
      <c r="DB350" s="21"/>
      <c r="DC350" s="21"/>
      <c r="DD350" s="21"/>
      <c r="DE350" s="21"/>
      <c r="DF350" s="21"/>
    </row>
    <row r="351" spans="1:110" s="16" customFormat="1" x14ac:dyDescent="0.3">
      <c r="A351" s="21" t="s">
        <v>32</v>
      </c>
      <c r="B351" s="21" t="s">
        <v>290</v>
      </c>
      <c r="C351" s="21" t="s">
        <v>482</v>
      </c>
      <c r="D351" s="42">
        <f>D350-D350*inputs!$E$38</f>
        <v>0</v>
      </c>
      <c r="E351" s="21" t="str">
        <f t="shared" ca="1" si="6"/>
        <v>=D350-D350*inputs!$E$38</v>
      </c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  <c r="CD351" s="21"/>
      <c r="CE351" s="21"/>
      <c r="CF351" s="21"/>
      <c r="CG351" s="21"/>
      <c r="CH351" s="21"/>
      <c r="CI351" s="21"/>
      <c r="CJ351" s="21"/>
      <c r="CK351" s="21"/>
      <c r="CL351" s="21"/>
      <c r="CM351" s="21"/>
      <c r="CN351" s="21"/>
      <c r="CO351" s="21"/>
      <c r="CP351" s="21"/>
      <c r="CQ351" s="21"/>
      <c r="CR351" s="21"/>
      <c r="CS351" s="21"/>
      <c r="CT351" s="21"/>
      <c r="CU351" s="21"/>
      <c r="CV351" s="21"/>
      <c r="CW351" s="21"/>
      <c r="CX351" s="21"/>
      <c r="CY351" s="21"/>
      <c r="CZ351" s="21"/>
      <c r="DA351" s="21"/>
      <c r="DB351" s="21"/>
      <c r="DC351" s="21"/>
      <c r="DD351" s="21"/>
      <c r="DE351" s="21"/>
      <c r="DF351" s="21"/>
    </row>
    <row r="352" spans="1:110" s="16" customFormat="1" x14ac:dyDescent="0.3">
      <c r="A352" s="21" t="s">
        <v>32</v>
      </c>
      <c r="B352" s="21" t="s">
        <v>290</v>
      </c>
      <c r="C352" s="21" t="s">
        <v>483</v>
      </c>
      <c r="D352" s="42">
        <f>D351-D351*inputs!$E$38</f>
        <v>0</v>
      </c>
      <c r="E352" s="21" t="str">
        <f t="shared" ca="1" si="6"/>
        <v>=D351-D351*inputs!$E$38</v>
      </c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  <c r="CA352" s="21"/>
      <c r="CB352" s="21"/>
      <c r="CC352" s="21"/>
      <c r="CD352" s="21"/>
      <c r="CE352" s="21"/>
      <c r="CF352" s="21"/>
      <c r="CG352" s="21"/>
      <c r="CH352" s="21"/>
      <c r="CI352" s="21"/>
      <c r="CJ352" s="21"/>
      <c r="CK352" s="21"/>
      <c r="CL352" s="21"/>
      <c r="CM352" s="21"/>
      <c r="CN352" s="21"/>
      <c r="CO352" s="21"/>
      <c r="CP352" s="21"/>
      <c r="CQ352" s="21"/>
      <c r="CR352" s="21"/>
      <c r="CS352" s="21"/>
      <c r="CT352" s="21"/>
      <c r="CU352" s="21"/>
      <c r="CV352" s="21"/>
      <c r="CW352" s="21"/>
      <c r="CX352" s="21"/>
      <c r="CY352" s="21"/>
      <c r="CZ352" s="21"/>
      <c r="DA352" s="21"/>
      <c r="DB352" s="21"/>
      <c r="DC352" s="21"/>
      <c r="DD352" s="21"/>
      <c r="DE352" s="21"/>
      <c r="DF352" s="21"/>
    </row>
    <row r="353" spans="1:110" s="16" customFormat="1" x14ac:dyDescent="0.3">
      <c r="A353" s="21" t="s">
        <v>32</v>
      </c>
      <c r="B353" s="21" t="s">
        <v>290</v>
      </c>
      <c r="C353" s="21" t="s">
        <v>484</v>
      </c>
      <c r="D353" s="42">
        <f>D352-D352*inputs!$E$38</f>
        <v>0</v>
      </c>
      <c r="E353" s="21" t="str">
        <f t="shared" ca="1" si="6"/>
        <v>=D352-D352*inputs!$E$38</v>
      </c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  <c r="CA353" s="21"/>
      <c r="CB353" s="21"/>
      <c r="CC353" s="21"/>
      <c r="CD353" s="21"/>
      <c r="CE353" s="21"/>
      <c r="CF353" s="21"/>
      <c r="CG353" s="21"/>
      <c r="CH353" s="21"/>
      <c r="CI353" s="21"/>
      <c r="CJ353" s="21"/>
      <c r="CK353" s="21"/>
      <c r="CL353" s="21"/>
      <c r="CM353" s="21"/>
      <c r="CN353" s="21"/>
      <c r="CO353" s="21"/>
      <c r="CP353" s="21"/>
      <c r="CQ353" s="21"/>
      <c r="CR353" s="21"/>
      <c r="CS353" s="21"/>
      <c r="CT353" s="21"/>
      <c r="CU353" s="21"/>
      <c r="CV353" s="21"/>
      <c r="CW353" s="21"/>
      <c r="CX353" s="21"/>
      <c r="CY353" s="21"/>
      <c r="CZ353" s="21"/>
      <c r="DA353" s="21"/>
      <c r="DB353" s="21"/>
      <c r="DC353" s="21"/>
      <c r="DD353" s="21"/>
      <c r="DE353" s="21"/>
      <c r="DF353" s="21"/>
    </row>
    <row r="354" spans="1:110" s="16" customFormat="1" x14ac:dyDescent="0.3">
      <c r="A354" s="21" t="s">
        <v>32</v>
      </c>
      <c r="B354" s="21" t="s">
        <v>290</v>
      </c>
      <c r="C354" s="21" t="s">
        <v>485</v>
      </c>
      <c r="D354" s="42">
        <f>D353-D353*inputs!$E$38</f>
        <v>0</v>
      </c>
      <c r="E354" s="21" t="str">
        <f t="shared" ca="1" si="6"/>
        <v>=D353-D353*inputs!$E$38</v>
      </c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  <c r="CA354" s="21"/>
      <c r="CB354" s="21"/>
      <c r="CC354" s="21"/>
      <c r="CD354" s="21"/>
      <c r="CE354" s="21"/>
      <c r="CF354" s="21"/>
      <c r="CG354" s="21"/>
      <c r="CH354" s="21"/>
      <c r="CI354" s="21"/>
      <c r="CJ354" s="21"/>
      <c r="CK354" s="21"/>
      <c r="CL354" s="21"/>
      <c r="CM354" s="21"/>
      <c r="CN354" s="21"/>
      <c r="CO354" s="21"/>
      <c r="CP354" s="21"/>
      <c r="CQ354" s="21"/>
      <c r="CR354" s="21"/>
      <c r="CS354" s="21"/>
      <c r="CT354" s="21"/>
      <c r="CU354" s="21"/>
      <c r="CV354" s="21"/>
      <c r="CW354" s="21"/>
      <c r="CX354" s="21"/>
      <c r="CY354" s="21"/>
      <c r="CZ354" s="21"/>
      <c r="DA354" s="21"/>
      <c r="DB354" s="21"/>
      <c r="DC354" s="21"/>
      <c r="DD354" s="21"/>
      <c r="DE354" s="21"/>
      <c r="DF354" s="21"/>
    </row>
    <row r="355" spans="1:110" s="14" customFormat="1" x14ac:dyDescent="0.3">
      <c r="A355" s="21" t="s">
        <v>32</v>
      </c>
      <c r="B355" s="21" t="s">
        <v>190</v>
      </c>
      <c r="C355" s="21" t="s">
        <v>494</v>
      </c>
      <c r="D355" s="42">
        <f>$D$150*inputs!E72</f>
        <v>145223.46617070577</v>
      </c>
      <c r="E355" s="21" t="str">
        <f ca="1">_xlfn.FORMULATEXT(D355)</f>
        <v>=$D$150*inputs!E72</v>
      </c>
      <c r="F355" s="21" t="s">
        <v>819</v>
      </c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  <c r="CA355" s="21"/>
      <c r="CB355" s="21"/>
      <c r="CC355" s="21"/>
      <c r="CD355" s="21"/>
      <c r="CE355" s="21"/>
      <c r="CF355" s="21"/>
      <c r="CG355" s="21"/>
      <c r="CH355" s="21"/>
      <c r="CI355" s="21"/>
      <c r="CJ355" s="21"/>
      <c r="CK355" s="21"/>
      <c r="CL355" s="21"/>
      <c r="CM355" s="21"/>
      <c r="CN355" s="21"/>
      <c r="CO355" s="21"/>
      <c r="CP355" s="21"/>
      <c r="CQ355" s="21"/>
      <c r="CR355" s="21"/>
      <c r="CS355" s="21"/>
      <c r="CT355" s="21"/>
      <c r="CU355" s="21"/>
      <c r="CV355" s="21"/>
      <c r="CW355" s="21"/>
      <c r="CX355" s="21"/>
      <c r="CY355" s="21"/>
      <c r="CZ355" s="21"/>
      <c r="DA355" s="21"/>
      <c r="DB355" s="21"/>
      <c r="DC355" s="21"/>
      <c r="DD355" s="21"/>
      <c r="DE355" s="21"/>
      <c r="DF355" s="21"/>
    </row>
    <row r="356" spans="1:110" s="16" customFormat="1" x14ac:dyDescent="0.3">
      <c r="A356" s="21" t="s">
        <v>32</v>
      </c>
      <c r="B356" s="21" t="s">
        <v>190</v>
      </c>
      <c r="C356" s="21" t="s">
        <v>496</v>
      </c>
      <c r="D356" s="42">
        <f>(D202*inputs!$E$75)/(inputs!$E$31)^inputs!E100</f>
        <v>1792.1981841532984</v>
      </c>
      <c r="E356" s="21" t="str">
        <f t="shared" ca="1" si="6"/>
        <v>=(D202*inputs!$E$75)/(inputs!$E$31)^inputs!E100</v>
      </c>
      <c r="F356" s="21" t="s">
        <v>820</v>
      </c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  <c r="CA356" s="21"/>
      <c r="CB356" s="21"/>
      <c r="CC356" s="21"/>
      <c r="CD356" s="21"/>
      <c r="CE356" s="21"/>
      <c r="CF356" s="21"/>
      <c r="CG356" s="21"/>
      <c r="CH356" s="21"/>
      <c r="CI356" s="21"/>
      <c r="CJ356" s="21"/>
      <c r="CK356" s="21"/>
      <c r="CL356" s="21"/>
      <c r="CM356" s="21"/>
      <c r="CN356" s="21"/>
      <c r="CO356" s="21"/>
      <c r="CP356" s="21"/>
      <c r="CQ356" s="21"/>
      <c r="CR356" s="21"/>
      <c r="CS356" s="21"/>
      <c r="CT356" s="21"/>
      <c r="CU356" s="21"/>
      <c r="CV356" s="21"/>
      <c r="CW356" s="21"/>
      <c r="CX356" s="21"/>
      <c r="CY356" s="21"/>
      <c r="CZ356" s="21"/>
      <c r="DA356" s="21"/>
      <c r="DB356" s="21"/>
      <c r="DC356" s="21"/>
      <c r="DD356" s="21"/>
      <c r="DE356" s="21"/>
      <c r="DF356" s="21"/>
    </row>
    <row r="357" spans="1:110" s="16" customFormat="1" x14ac:dyDescent="0.3">
      <c r="A357" s="21" t="s">
        <v>32</v>
      </c>
      <c r="B357" s="21" t="s">
        <v>190</v>
      </c>
      <c r="C357" s="21" t="s">
        <v>497</v>
      </c>
      <c r="D357" s="42">
        <f>(D203*inputs!$E$75)/(inputs!$E$31)^inputs!E101</f>
        <v>1739.4762375709249</v>
      </c>
      <c r="E357" s="21" t="str">
        <f t="shared" ca="1" si="6"/>
        <v>=(D203*inputs!$E$75)/(inputs!$E$31)^inputs!E101</v>
      </c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  <c r="CA357" s="21"/>
      <c r="CB357" s="21"/>
      <c r="CC357" s="21"/>
      <c r="CD357" s="21"/>
      <c r="CE357" s="21"/>
      <c r="CF357" s="21"/>
      <c r="CG357" s="21"/>
      <c r="CH357" s="21"/>
      <c r="CI357" s="21"/>
      <c r="CJ357" s="21"/>
      <c r="CK357" s="21"/>
      <c r="CL357" s="21"/>
      <c r="CM357" s="21"/>
      <c r="CN357" s="21"/>
      <c r="CO357" s="21"/>
      <c r="CP357" s="21"/>
      <c r="CQ357" s="21"/>
      <c r="CR357" s="21"/>
      <c r="CS357" s="21"/>
      <c r="CT357" s="21"/>
      <c r="CU357" s="21"/>
      <c r="CV357" s="21"/>
      <c r="CW357" s="21"/>
      <c r="CX357" s="21"/>
      <c r="CY357" s="21"/>
      <c r="CZ357" s="21"/>
      <c r="DA357" s="21"/>
      <c r="DB357" s="21"/>
      <c r="DC357" s="21"/>
      <c r="DD357" s="21"/>
      <c r="DE357" s="21"/>
      <c r="DF357" s="21"/>
    </row>
    <row r="358" spans="1:110" s="16" customFormat="1" x14ac:dyDescent="0.3">
      <c r="A358" s="21" t="s">
        <v>32</v>
      </c>
      <c r="B358" s="21" t="s">
        <v>190</v>
      </c>
      <c r="C358" s="21" t="s">
        <v>498</v>
      </c>
      <c r="D358" s="42">
        <f>(D204*inputs!$E$75)/(inputs!$E$31)^inputs!E102</f>
        <v>1688.3052375724794</v>
      </c>
      <c r="E358" s="21" t="str">
        <f t="shared" ca="1" si="6"/>
        <v>=(D204*inputs!$E$75)/(inputs!$E$31)^inputs!E102</v>
      </c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  <c r="CA358" s="21"/>
      <c r="CB358" s="21"/>
      <c r="CC358" s="21"/>
      <c r="CD358" s="21"/>
      <c r="CE358" s="21"/>
      <c r="CF358" s="21"/>
      <c r="CG358" s="21"/>
      <c r="CH358" s="21"/>
      <c r="CI358" s="21"/>
      <c r="CJ358" s="21"/>
      <c r="CK358" s="21"/>
      <c r="CL358" s="21"/>
      <c r="CM358" s="21"/>
      <c r="CN358" s="21"/>
      <c r="CO358" s="21"/>
      <c r="CP358" s="21"/>
      <c r="CQ358" s="21"/>
      <c r="CR358" s="21"/>
      <c r="CS358" s="21"/>
      <c r="CT358" s="21"/>
      <c r="CU358" s="21"/>
      <c r="CV358" s="21"/>
      <c r="CW358" s="21"/>
      <c r="CX358" s="21"/>
      <c r="CY358" s="21"/>
      <c r="CZ358" s="21"/>
      <c r="DA358" s="21"/>
      <c r="DB358" s="21"/>
      <c r="DC358" s="21"/>
      <c r="DD358" s="21"/>
      <c r="DE358" s="21"/>
      <c r="DF358" s="21"/>
    </row>
    <row r="359" spans="1:110" s="16" customFormat="1" x14ac:dyDescent="0.3">
      <c r="A359" s="21" t="s">
        <v>32</v>
      </c>
      <c r="B359" s="21" t="s">
        <v>190</v>
      </c>
      <c r="C359" s="21" t="s">
        <v>499</v>
      </c>
      <c r="D359" s="42">
        <f>(D205*inputs!$E$75)/(inputs!$E$31)^inputs!E103</f>
        <v>1638.6395592244735</v>
      </c>
      <c r="E359" s="21" t="str">
        <f t="shared" ca="1" si="6"/>
        <v>=(D205*inputs!$E$75)/(inputs!$E$31)^inputs!E103</v>
      </c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  <c r="CA359" s="21"/>
      <c r="CB359" s="21"/>
      <c r="CC359" s="21"/>
      <c r="CD359" s="21"/>
      <c r="CE359" s="21"/>
      <c r="CF359" s="21"/>
      <c r="CG359" s="21"/>
      <c r="CH359" s="21"/>
      <c r="CI359" s="21"/>
      <c r="CJ359" s="21"/>
      <c r="CK359" s="21"/>
      <c r="CL359" s="21"/>
      <c r="CM359" s="21"/>
      <c r="CN359" s="21"/>
      <c r="CO359" s="21"/>
      <c r="CP359" s="21"/>
      <c r="CQ359" s="21"/>
      <c r="CR359" s="21"/>
      <c r="CS359" s="21"/>
      <c r="CT359" s="21"/>
      <c r="CU359" s="21"/>
      <c r="CV359" s="21"/>
      <c r="CW359" s="21"/>
      <c r="CX359" s="21"/>
      <c r="CY359" s="21"/>
      <c r="CZ359" s="21"/>
      <c r="DA359" s="21"/>
      <c r="DB359" s="21"/>
      <c r="DC359" s="21"/>
      <c r="DD359" s="21"/>
      <c r="DE359" s="21"/>
      <c r="DF359" s="21"/>
    </row>
    <row r="360" spans="1:110" s="16" customFormat="1" x14ac:dyDescent="0.3">
      <c r="A360" s="21" t="s">
        <v>32</v>
      </c>
      <c r="B360" s="21" t="s">
        <v>190</v>
      </c>
      <c r="C360" s="21" t="s">
        <v>500</v>
      </c>
      <c r="D360" s="42">
        <f>(D206*inputs!$E$75)/(inputs!$E$31)^inputs!E104</f>
        <v>1590.4349197637925</v>
      </c>
      <c r="E360" s="21" t="str">
        <f t="shared" ca="1" si="6"/>
        <v>=(D206*inputs!$E$75)/(inputs!$E$31)^inputs!E104</v>
      </c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  <c r="CA360" s="21"/>
      <c r="CB360" s="21"/>
      <c r="CC360" s="21"/>
      <c r="CD360" s="21"/>
      <c r="CE360" s="21"/>
      <c r="CF360" s="21"/>
      <c r="CG360" s="21"/>
      <c r="CH360" s="21"/>
      <c r="CI360" s="21"/>
      <c r="CJ360" s="21"/>
      <c r="CK360" s="21"/>
      <c r="CL360" s="21"/>
      <c r="CM360" s="21"/>
      <c r="CN360" s="21"/>
      <c r="CO360" s="21"/>
      <c r="CP360" s="21"/>
      <c r="CQ360" s="21"/>
      <c r="CR360" s="21"/>
      <c r="CS360" s="21"/>
      <c r="CT360" s="21"/>
      <c r="CU360" s="21"/>
      <c r="CV360" s="21"/>
      <c r="CW360" s="21"/>
      <c r="CX360" s="21"/>
      <c r="CY360" s="21"/>
      <c r="CZ360" s="21"/>
      <c r="DA360" s="21"/>
      <c r="DB360" s="21"/>
      <c r="DC360" s="21"/>
      <c r="DD360" s="21"/>
      <c r="DE360" s="21"/>
      <c r="DF360" s="21"/>
    </row>
    <row r="361" spans="1:110" s="16" customFormat="1" x14ac:dyDescent="0.3">
      <c r="A361" s="21" t="s">
        <v>32</v>
      </c>
      <c r="B361" s="21" t="s">
        <v>190</v>
      </c>
      <c r="C361" s="21" t="s">
        <v>501</v>
      </c>
      <c r="D361" s="42">
        <f>(D207*inputs!$E$75)/(inputs!$E$31)^inputs!E105</f>
        <v>1543.6483391144307</v>
      </c>
      <c r="E361" s="21" t="str">
        <f t="shared" ca="1" si="6"/>
        <v>=(D207*inputs!$E$75)/(inputs!$E$31)^inputs!E105</v>
      </c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  <c r="CD361" s="21"/>
      <c r="CE361" s="21"/>
      <c r="CF361" s="21"/>
      <c r="CG361" s="21"/>
      <c r="CH361" s="21"/>
      <c r="CI361" s="21"/>
      <c r="CJ361" s="21"/>
      <c r="CK361" s="21"/>
      <c r="CL361" s="21"/>
      <c r="CM361" s="21"/>
      <c r="CN361" s="21"/>
      <c r="CO361" s="21"/>
      <c r="CP361" s="21"/>
      <c r="CQ361" s="21"/>
      <c r="CR361" s="21"/>
      <c r="CS361" s="21"/>
      <c r="CT361" s="21"/>
      <c r="CU361" s="21"/>
      <c r="CV361" s="21"/>
      <c r="CW361" s="21"/>
      <c r="CX361" s="21"/>
      <c r="CY361" s="21"/>
      <c r="CZ361" s="21"/>
      <c r="DA361" s="21"/>
      <c r="DB361" s="21"/>
      <c r="DC361" s="21"/>
      <c r="DD361" s="21"/>
      <c r="DE361" s="21"/>
      <c r="DF361" s="21"/>
    </row>
    <row r="362" spans="1:110" s="16" customFormat="1" x14ac:dyDescent="0.3">
      <c r="A362" s="21" t="s">
        <v>32</v>
      </c>
      <c r="B362" s="21" t="s">
        <v>190</v>
      </c>
      <c r="C362" s="21" t="s">
        <v>502</v>
      </c>
      <c r="D362" s="42">
        <f>(D208*inputs!$E$75)/(inputs!$E$31)^inputs!E106</f>
        <v>1498.2381015657245</v>
      </c>
      <c r="E362" s="21" t="str">
        <f t="shared" ca="1" si="6"/>
        <v>=(D208*inputs!$E$75)/(inputs!$E$31)^inputs!E106</v>
      </c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  <c r="CA362" s="21"/>
      <c r="CB362" s="21"/>
      <c r="CC362" s="21"/>
      <c r="CD362" s="21"/>
      <c r="CE362" s="21"/>
      <c r="CF362" s="21"/>
      <c r="CG362" s="21"/>
      <c r="CH362" s="21"/>
      <c r="CI362" s="21"/>
      <c r="CJ362" s="21"/>
      <c r="CK362" s="21"/>
      <c r="CL362" s="21"/>
      <c r="CM362" s="21"/>
      <c r="CN362" s="21"/>
      <c r="CO362" s="21"/>
      <c r="CP362" s="21"/>
      <c r="CQ362" s="21"/>
      <c r="CR362" s="21"/>
      <c r="CS362" s="21"/>
      <c r="CT362" s="21"/>
      <c r="CU362" s="21"/>
      <c r="CV362" s="21"/>
      <c r="CW362" s="21"/>
      <c r="CX362" s="21"/>
      <c r="CY362" s="21"/>
      <c r="CZ362" s="21"/>
      <c r="DA362" s="21"/>
      <c r="DB362" s="21"/>
      <c r="DC362" s="21"/>
      <c r="DD362" s="21"/>
      <c r="DE362" s="21"/>
      <c r="DF362" s="21"/>
    </row>
    <row r="363" spans="1:110" s="16" customFormat="1" x14ac:dyDescent="0.3">
      <c r="A363" s="21" t="s">
        <v>32</v>
      </c>
      <c r="B363" s="21" t="s">
        <v>190</v>
      </c>
      <c r="C363" s="21" t="s">
        <v>503</v>
      </c>
      <c r="D363" s="42">
        <f>(D209*inputs!$E$75)/(inputs!$E$31)^inputs!E107</f>
        <v>1454.1637185779175</v>
      </c>
      <c r="E363" s="21" t="str">
        <f t="shared" ca="1" si="6"/>
        <v>=(D209*inputs!$E$75)/(inputs!$E$31)^inputs!E107</v>
      </c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  <c r="CA363" s="21"/>
      <c r="CB363" s="21"/>
      <c r="CC363" s="21"/>
      <c r="CD363" s="21"/>
      <c r="CE363" s="21"/>
      <c r="CF363" s="21"/>
      <c r="CG363" s="21"/>
      <c r="CH363" s="21"/>
      <c r="CI363" s="21"/>
      <c r="CJ363" s="21"/>
      <c r="CK363" s="21"/>
      <c r="CL363" s="21"/>
      <c r="CM363" s="21"/>
      <c r="CN363" s="21"/>
      <c r="CO363" s="21"/>
      <c r="CP363" s="21"/>
      <c r="CQ363" s="21"/>
      <c r="CR363" s="21"/>
      <c r="CS363" s="21"/>
      <c r="CT363" s="21"/>
      <c r="CU363" s="21"/>
      <c r="CV363" s="21"/>
      <c r="CW363" s="21"/>
      <c r="CX363" s="21"/>
      <c r="CY363" s="21"/>
      <c r="CZ363" s="21"/>
      <c r="DA363" s="21"/>
      <c r="DB363" s="21"/>
      <c r="DC363" s="21"/>
      <c r="DD363" s="21"/>
      <c r="DE363" s="21"/>
      <c r="DF363" s="21"/>
    </row>
    <row r="364" spans="1:110" s="16" customFormat="1" x14ac:dyDescent="0.3">
      <c r="A364" s="21" t="s">
        <v>32</v>
      </c>
      <c r="B364" s="21" t="s">
        <v>190</v>
      </c>
      <c r="C364" s="21" t="s">
        <v>504</v>
      </c>
      <c r="D364" s="42">
        <f>(D210*inputs!$E$75)/(inputs!$E$31)^inputs!E108</f>
        <v>1411.3858926818875</v>
      </c>
      <c r="E364" s="21" t="str">
        <f t="shared" ca="1" si="6"/>
        <v>=(D210*inputs!$E$75)/(inputs!$E$31)^inputs!E108</v>
      </c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  <c r="CA364" s="21"/>
      <c r="CB364" s="21"/>
      <c r="CC364" s="21"/>
      <c r="CD364" s="21"/>
      <c r="CE364" s="21"/>
      <c r="CF364" s="21"/>
      <c r="CG364" s="21"/>
      <c r="CH364" s="21"/>
      <c r="CI364" s="21"/>
      <c r="CJ364" s="21"/>
      <c r="CK364" s="21"/>
      <c r="CL364" s="21"/>
      <c r="CM364" s="21"/>
      <c r="CN364" s="21"/>
      <c r="CO364" s="21"/>
      <c r="CP364" s="21"/>
      <c r="CQ364" s="21"/>
      <c r="CR364" s="21"/>
      <c r="CS364" s="21"/>
      <c r="CT364" s="21"/>
      <c r="CU364" s="21"/>
      <c r="CV364" s="21"/>
      <c r="CW364" s="21"/>
      <c r="CX364" s="21"/>
      <c r="CY364" s="21"/>
      <c r="CZ364" s="21"/>
      <c r="DA364" s="21"/>
      <c r="DB364" s="21"/>
      <c r="DC364" s="21"/>
      <c r="DD364" s="21"/>
      <c r="DE364" s="21"/>
      <c r="DF364" s="21"/>
    </row>
    <row r="365" spans="1:110" s="16" customFormat="1" x14ac:dyDescent="0.3">
      <c r="A365" s="21" t="s">
        <v>32</v>
      </c>
      <c r="B365" s="21" t="s">
        <v>190</v>
      </c>
      <c r="C365" s="21" t="s">
        <v>505</v>
      </c>
      <c r="D365" s="42">
        <f>(D211*inputs!$E$75)/(inputs!$E$31)^inputs!E109</f>
        <v>1369.866482440857</v>
      </c>
      <c r="E365" s="21" t="str">
        <f t="shared" ca="1" si="6"/>
        <v>=(D211*inputs!$E$75)/(inputs!$E$31)^inputs!E109</v>
      </c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  <c r="CA365" s="21"/>
      <c r="CB365" s="21"/>
      <c r="CC365" s="21"/>
      <c r="CD365" s="21"/>
      <c r="CE365" s="21"/>
      <c r="CF365" s="21"/>
      <c r="CG365" s="21"/>
      <c r="CH365" s="21"/>
      <c r="CI365" s="21"/>
      <c r="CJ365" s="21"/>
      <c r="CK365" s="21"/>
      <c r="CL365" s="21"/>
      <c r="CM365" s="21"/>
      <c r="CN365" s="21"/>
      <c r="CO365" s="21"/>
      <c r="CP365" s="21"/>
      <c r="CQ365" s="21"/>
      <c r="CR365" s="21"/>
      <c r="CS365" s="21"/>
      <c r="CT365" s="21"/>
      <c r="CU365" s="21"/>
      <c r="CV365" s="21"/>
      <c r="CW365" s="21"/>
      <c r="CX365" s="21"/>
      <c r="CY365" s="21"/>
      <c r="CZ365" s="21"/>
      <c r="DA365" s="21"/>
      <c r="DB365" s="21"/>
      <c r="DC365" s="21"/>
      <c r="DD365" s="21"/>
      <c r="DE365" s="21"/>
      <c r="DF365" s="21"/>
    </row>
    <row r="366" spans="1:110" s="16" customFormat="1" x14ac:dyDescent="0.3">
      <c r="A366" s="21" t="s">
        <v>32</v>
      </c>
      <c r="B366" s="21" t="s">
        <v>190</v>
      </c>
      <c r="C366" s="21" t="s">
        <v>506</v>
      </c>
      <c r="D366" s="42">
        <f>(D212*inputs!$E$75)/(inputs!$E$31)^inputs!E110</f>
        <v>1329.5684684428395</v>
      </c>
      <c r="E366" s="21" t="str">
        <f t="shared" ca="1" si="6"/>
        <v>=(D212*inputs!$E$75)/(inputs!$E$31)^inputs!E110</v>
      </c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  <c r="CA366" s="21"/>
      <c r="CB366" s="21"/>
      <c r="CC366" s="21"/>
      <c r="CD366" s="21"/>
      <c r="CE366" s="21"/>
      <c r="CF366" s="21"/>
      <c r="CG366" s="21"/>
      <c r="CH366" s="21"/>
      <c r="CI366" s="21"/>
      <c r="CJ366" s="21"/>
      <c r="CK366" s="21"/>
      <c r="CL366" s="21"/>
      <c r="CM366" s="21"/>
      <c r="CN366" s="21"/>
      <c r="CO366" s="21"/>
      <c r="CP366" s="21"/>
      <c r="CQ366" s="21"/>
      <c r="CR366" s="21"/>
      <c r="CS366" s="21"/>
      <c r="CT366" s="21"/>
      <c r="CU366" s="21"/>
      <c r="CV366" s="21"/>
      <c r="CW366" s="21"/>
      <c r="CX366" s="21"/>
      <c r="CY366" s="21"/>
      <c r="CZ366" s="21"/>
      <c r="DA366" s="21"/>
      <c r="DB366" s="21"/>
      <c r="DC366" s="21"/>
      <c r="DD366" s="21"/>
      <c r="DE366" s="21"/>
      <c r="DF366" s="21"/>
    </row>
    <row r="367" spans="1:110" s="16" customFormat="1" x14ac:dyDescent="0.3">
      <c r="A367" s="21" t="s">
        <v>32</v>
      </c>
      <c r="B367" s="21" t="s">
        <v>190</v>
      </c>
      <c r="C367" s="21" t="s">
        <v>507</v>
      </c>
      <c r="D367" s="42">
        <f>(D213*inputs!$E$75)/(inputs!$E$31)^inputs!E111</f>
        <v>1290.4559202935022</v>
      </c>
      <c r="E367" s="21" t="str">
        <f t="shared" ca="1" si="6"/>
        <v>=(D213*inputs!$E$75)/(inputs!$E$31)^inputs!E111</v>
      </c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  <c r="CA367" s="21"/>
      <c r="CB367" s="21"/>
      <c r="CC367" s="21"/>
      <c r="CD367" s="21"/>
      <c r="CE367" s="21"/>
      <c r="CF367" s="21"/>
      <c r="CG367" s="21"/>
      <c r="CH367" s="21"/>
      <c r="CI367" s="21"/>
      <c r="CJ367" s="21"/>
      <c r="CK367" s="21"/>
      <c r="CL367" s="21"/>
      <c r="CM367" s="21"/>
      <c r="CN367" s="21"/>
      <c r="CO367" s="21"/>
      <c r="CP367" s="21"/>
      <c r="CQ367" s="21"/>
      <c r="CR367" s="21"/>
      <c r="CS367" s="21"/>
      <c r="CT367" s="21"/>
      <c r="CU367" s="21"/>
      <c r="CV367" s="21"/>
      <c r="CW367" s="21"/>
      <c r="CX367" s="21"/>
      <c r="CY367" s="21"/>
      <c r="CZ367" s="21"/>
      <c r="DA367" s="21"/>
      <c r="DB367" s="21"/>
      <c r="DC367" s="21"/>
      <c r="DD367" s="21"/>
      <c r="DE367" s="21"/>
      <c r="DF367" s="21"/>
    </row>
    <row r="368" spans="1:110" s="16" customFormat="1" x14ac:dyDescent="0.3">
      <c r="A368" s="21" t="s">
        <v>32</v>
      </c>
      <c r="B368" s="21" t="s">
        <v>190</v>
      </c>
      <c r="C368" s="21" t="s">
        <v>508</v>
      </c>
      <c r="D368" s="42">
        <f>(D214*inputs!$E$75)/(inputs!$E$31)^inputs!E112</f>
        <v>1252.4939645800137</v>
      </c>
      <c r="E368" s="21" t="str">
        <f t="shared" ca="1" si="6"/>
        <v>=(D214*inputs!$E$75)/(inputs!$E$31)^inputs!E112</v>
      </c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  <c r="CA368" s="21"/>
      <c r="CB368" s="21"/>
      <c r="CC368" s="21"/>
      <c r="CD368" s="21"/>
      <c r="CE368" s="21"/>
      <c r="CF368" s="21"/>
      <c r="CG368" s="21"/>
      <c r="CH368" s="21"/>
      <c r="CI368" s="21"/>
      <c r="CJ368" s="21"/>
      <c r="CK368" s="21"/>
      <c r="CL368" s="21"/>
      <c r="CM368" s="21"/>
      <c r="CN368" s="21"/>
      <c r="CO368" s="21"/>
      <c r="CP368" s="21"/>
      <c r="CQ368" s="21"/>
      <c r="CR368" s="21"/>
      <c r="CS368" s="21"/>
      <c r="CT368" s="21"/>
      <c r="CU368" s="21"/>
      <c r="CV368" s="21"/>
      <c r="CW368" s="21"/>
      <c r="CX368" s="21"/>
      <c r="CY368" s="21"/>
      <c r="CZ368" s="21"/>
      <c r="DA368" s="21"/>
      <c r="DB368" s="21"/>
      <c r="DC368" s="21"/>
      <c r="DD368" s="21"/>
      <c r="DE368" s="21"/>
      <c r="DF368" s="21"/>
    </row>
    <row r="369" spans="1:110" s="16" customFormat="1" x14ac:dyDescent="0.3">
      <c r="A369" s="21" t="s">
        <v>32</v>
      </c>
      <c r="B369" s="21" t="s">
        <v>190</v>
      </c>
      <c r="C369" s="21" t="s">
        <v>509</v>
      </c>
      <c r="D369" s="42">
        <f>(D215*inputs!$E$75)/(inputs!$E$31)^inputs!E113</f>
        <v>1215.6487537773198</v>
      </c>
      <c r="E369" s="21" t="str">
        <f t="shared" ca="1" si="6"/>
        <v>=(D215*inputs!$E$75)/(inputs!$E$31)^inputs!E113</v>
      </c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  <c r="CA369" s="21"/>
      <c r="CB369" s="21"/>
      <c r="CC369" s="21"/>
      <c r="CD369" s="21"/>
      <c r="CE369" s="21"/>
      <c r="CF369" s="21"/>
      <c r="CG369" s="21"/>
      <c r="CH369" s="21"/>
      <c r="CI369" s="21"/>
      <c r="CJ369" s="21"/>
      <c r="CK369" s="21"/>
      <c r="CL369" s="21"/>
      <c r="CM369" s="21"/>
      <c r="CN369" s="21"/>
      <c r="CO369" s="21"/>
      <c r="CP369" s="21"/>
      <c r="CQ369" s="21"/>
      <c r="CR369" s="21"/>
      <c r="CS369" s="21"/>
      <c r="CT369" s="21"/>
      <c r="CU369" s="21"/>
      <c r="CV369" s="21"/>
      <c r="CW369" s="21"/>
      <c r="CX369" s="21"/>
      <c r="CY369" s="21"/>
      <c r="CZ369" s="21"/>
      <c r="DA369" s="21"/>
      <c r="DB369" s="21"/>
      <c r="DC369" s="21"/>
      <c r="DD369" s="21"/>
      <c r="DE369" s="21"/>
      <c r="DF369" s="21"/>
    </row>
    <row r="370" spans="1:110" s="16" customFormat="1" x14ac:dyDescent="0.3">
      <c r="A370" s="21" t="s">
        <v>32</v>
      </c>
      <c r="B370" s="21" t="s">
        <v>190</v>
      </c>
      <c r="C370" s="21" t="s">
        <v>510</v>
      </c>
      <c r="D370" s="42">
        <f>(D216*inputs!$E$75)/(inputs!$E$31)^inputs!E114</f>
        <v>1179.8874360691134</v>
      </c>
      <c r="E370" s="21" t="str">
        <f t="shared" ca="1" si="6"/>
        <v>=(D216*inputs!$E$75)/(inputs!$E$31)^inputs!E114</v>
      </c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  <c r="CA370" s="21"/>
      <c r="CB370" s="21"/>
      <c r="CC370" s="21"/>
      <c r="CD370" s="21"/>
      <c r="CE370" s="21"/>
      <c r="CF370" s="21"/>
      <c r="CG370" s="21"/>
      <c r="CH370" s="21"/>
      <c r="CI370" s="21"/>
      <c r="CJ370" s="21"/>
      <c r="CK370" s="21"/>
      <c r="CL370" s="21"/>
      <c r="CM370" s="21"/>
      <c r="CN370" s="21"/>
      <c r="CO370" s="21"/>
      <c r="CP370" s="21"/>
      <c r="CQ370" s="21"/>
      <c r="CR370" s="21"/>
      <c r="CS370" s="21"/>
      <c r="CT370" s="21"/>
      <c r="CU370" s="21"/>
      <c r="CV370" s="21"/>
      <c r="CW370" s="21"/>
      <c r="CX370" s="21"/>
      <c r="CY370" s="21"/>
      <c r="CZ370" s="21"/>
      <c r="DA370" s="21"/>
      <c r="DB370" s="21"/>
      <c r="DC370" s="21"/>
      <c r="DD370" s="21"/>
      <c r="DE370" s="21"/>
      <c r="DF370" s="21"/>
    </row>
    <row r="371" spans="1:110" s="16" customFormat="1" x14ac:dyDescent="0.3">
      <c r="A371" s="21" t="s">
        <v>32</v>
      </c>
      <c r="B371" s="21" t="s">
        <v>190</v>
      </c>
      <c r="C371" s="21" t="s">
        <v>511</v>
      </c>
      <c r="D371" s="42">
        <f>(D217*inputs!$E$75)/(inputs!$E$31)^inputs!E115</f>
        <v>1145.1781260565949</v>
      </c>
      <c r="E371" s="21" t="str">
        <f t="shared" ca="1" si="6"/>
        <v>=(D217*inputs!$E$75)/(inputs!$E$31)^inputs!E115</v>
      </c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  <c r="CD371" s="21"/>
      <c r="CE371" s="21"/>
      <c r="CF371" s="21"/>
      <c r="CG371" s="21"/>
      <c r="CH371" s="21"/>
      <c r="CI371" s="21"/>
      <c r="CJ371" s="21"/>
      <c r="CK371" s="21"/>
      <c r="CL371" s="21"/>
      <c r="CM371" s="21"/>
      <c r="CN371" s="21"/>
      <c r="CO371" s="21"/>
      <c r="CP371" s="21"/>
      <c r="CQ371" s="21"/>
      <c r="CR371" s="21"/>
      <c r="CS371" s="21"/>
      <c r="CT371" s="21"/>
      <c r="CU371" s="21"/>
      <c r="CV371" s="21"/>
      <c r="CW371" s="21"/>
      <c r="CX371" s="21"/>
      <c r="CY371" s="21"/>
      <c r="CZ371" s="21"/>
      <c r="DA371" s="21"/>
      <c r="DB371" s="21"/>
      <c r="DC371" s="21"/>
      <c r="DD371" s="21"/>
      <c r="DE371" s="21"/>
      <c r="DF371" s="21"/>
    </row>
    <row r="372" spans="1:110" s="16" customFormat="1" x14ac:dyDescent="0.3">
      <c r="A372" s="21" t="s">
        <v>32</v>
      </c>
      <c r="B372" s="21" t="s">
        <v>190</v>
      </c>
      <c r="C372" s="21" t="s">
        <v>512</v>
      </c>
      <c r="D372" s="42">
        <f>(D218*inputs!$E$75)/(inputs!$E$31)^inputs!E116</f>
        <v>1110.7115999325617</v>
      </c>
      <c r="E372" s="21" t="str">
        <f t="shared" ca="1" si="6"/>
        <v>=(D218*inputs!$E$75)/(inputs!$E$31)^inputs!E116</v>
      </c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  <c r="CA372" s="21"/>
      <c r="CB372" s="21"/>
      <c r="CC372" s="21"/>
      <c r="CD372" s="21"/>
      <c r="CE372" s="21"/>
      <c r="CF372" s="21"/>
      <c r="CG372" s="21"/>
      <c r="CH372" s="21"/>
      <c r="CI372" s="21"/>
      <c r="CJ372" s="21"/>
      <c r="CK372" s="21"/>
      <c r="CL372" s="21"/>
      <c r="CM372" s="21"/>
      <c r="CN372" s="21"/>
      <c r="CO372" s="21"/>
      <c r="CP372" s="21"/>
      <c r="CQ372" s="21"/>
      <c r="CR372" s="21"/>
      <c r="CS372" s="21"/>
      <c r="CT372" s="21"/>
      <c r="CU372" s="21"/>
      <c r="CV372" s="21"/>
      <c r="CW372" s="21"/>
      <c r="CX372" s="21"/>
      <c r="CY372" s="21"/>
      <c r="CZ372" s="21"/>
      <c r="DA372" s="21"/>
      <c r="DB372" s="21"/>
      <c r="DC372" s="21"/>
      <c r="DD372" s="21"/>
      <c r="DE372" s="21"/>
      <c r="DF372" s="21"/>
    </row>
    <row r="373" spans="1:110" s="16" customFormat="1" x14ac:dyDescent="0.3">
      <c r="A373" s="21" t="s">
        <v>32</v>
      </c>
      <c r="B373" s="21" t="s">
        <v>190</v>
      </c>
      <c r="C373" s="21" t="s">
        <v>513</v>
      </c>
      <c r="D373" s="42">
        <f>(D219*inputs!$E$75)/(inputs!$E$31)^inputs!E117</f>
        <v>1077.2824158569213</v>
      </c>
      <c r="E373" s="21" t="str">
        <f t="shared" ca="1" si="6"/>
        <v>=(D219*inputs!$E$75)/(inputs!$E$31)^inputs!E117</v>
      </c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  <c r="CA373" s="21"/>
      <c r="CB373" s="21"/>
      <c r="CC373" s="21"/>
      <c r="CD373" s="21"/>
      <c r="CE373" s="21"/>
      <c r="CF373" s="21"/>
      <c r="CG373" s="21"/>
      <c r="CH373" s="21"/>
      <c r="CI373" s="21"/>
      <c r="CJ373" s="21"/>
      <c r="CK373" s="21"/>
      <c r="CL373" s="21"/>
      <c r="CM373" s="21"/>
      <c r="CN373" s="21"/>
      <c r="CO373" s="21"/>
      <c r="CP373" s="21"/>
      <c r="CQ373" s="21"/>
      <c r="CR373" s="21"/>
      <c r="CS373" s="21"/>
      <c r="CT373" s="21"/>
      <c r="CU373" s="21"/>
      <c r="CV373" s="21"/>
      <c r="CW373" s="21"/>
      <c r="CX373" s="21"/>
      <c r="CY373" s="21"/>
      <c r="CZ373" s="21"/>
      <c r="DA373" s="21"/>
      <c r="DB373" s="21"/>
      <c r="DC373" s="21"/>
      <c r="DD373" s="21"/>
      <c r="DE373" s="21"/>
      <c r="DF373" s="21"/>
    </row>
    <row r="374" spans="1:110" s="16" customFormat="1" x14ac:dyDescent="0.3">
      <c r="A374" s="21" t="s">
        <v>32</v>
      </c>
      <c r="B374" s="21" t="s">
        <v>190</v>
      </c>
      <c r="C374" s="21" t="s">
        <v>514</v>
      </c>
      <c r="D374" s="42">
        <f>(D220*inputs!$E$75)/(inputs!$E$31)^inputs!E118</f>
        <v>1044.8593528554022</v>
      </c>
      <c r="E374" s="21" t="str">
        <f t="shared" ca="1" si="6"/>
        <v>=(D220*inputs!$E$75)/(inputs!$E$31)^inputs!E118</v>
      </c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  <c r="CA374" s="21"/>
      <c r="CB374" s="21"/>
      <c r="CC374" s="21"/>
      <c r="CD374" s="21"/>
      <c r="CE374" s="21"/>
      <c r="CF374" s="21"/>
      <c r="CG374" s="21"/>
      <c r="CH374" s="21"/>
      <c r="CI374" s="21"/>
      <c r="CJ374" s="21"/>
      <c r="CK374" s="21"/>
      <c r="CL374" s="21"/>
      <c r="CM374" s="21"/>
      <c r="CN374" s="21"/>
      <c r="CO374" s="21"/>
      <c r="CP374" s="21"/>
      <c r="CQ374" s="21"/>
      <c r="CR374" s="21"/>
      <c r="CS374" s="21"/>
      <c r="CT374" s="21"/>
      <c r="CU374" s="21"/>
      <c r="CV374" s="21"/>
      <c r="CW374" s="21"/>
      <c r="CX374" s="21"/>
      <c r="CY374" s="21"/>
      <c r="CZ374" s="21"/>
      <c r="DA374" s="21"/>
      <c r="DB374" s="21"/>
      <c r="DC374" s="21"/>
      <c r="DD374" s="21"/>
      <c r="DE374" s="21"/>
      <c r="DF374" s="21"/>
    </row>
    <row r="375" spans="1:110" s="16" customFormat="1" x14ac:dyDescent="0.3">
      <c r="A375" s="21" t="s">
        <v>32</v>
      </c>
      <c r="B375" s="21" t="s">
        <v>190</v>
      </c>
      <c r="C375" s="21" t="s">
        <v>515</v>
      </c>
      <c r="D375" s="42">
        <f>(D221*inputs!$E$75)/(inputs!$E$31)^inputs!E119</f>
        <v>1013.4121296141233</v>
      </c>
      <c r="E375" s="21" t="str">
        <f t="shared" ca="1" si="6"/>
        <v>=(D221*inputs!$E$75)/(inputs!$E$31)^inputs!E119</v>
      </c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  <c r="CA375" s="21"/>
      <c r="CB375" s="21"/>
      <c r="CC375" s="21"/>
      <c r="CD375" s="21"/>
      <c r="CE375" s="21"/>
      <c r="CF375" s="21"/>
      <c r="CG375" s="21"/>
      <c r="CH375" s="21"/>
      <c r="CI375" s="21"/>
      <c r="CJ375" s="21"/>
      <c r="CK375" s="21"/>
      <c r="CL375" s="21"/>
      <c r="CM375" s="21"/>
      <c r="CN375" s="21"/>
      <c r="CO375" s="21"/>
      <c r="CP375" s="21"/>
      <c r="CQ375" s="21"/>
      <c r="CR375" s="21"/>
      <c r="CS375" s="21"/>
      <c r="CT375" s="21"/>
      <c r="CU375" s="21"/>
      <c r="CV375" s="21"/>
      <c r="CW375" s="21"/>
      <c r="CX375" s="21"/>
      <c r="CY375" s="21"/>
      <c r="CZ375" s="21"/>
      <c r="DA375" s="21"/>
      <c r="DB375" s="21"/>
      <c r="DC375" s="21"/>
      <c r="DD375" s="21"/>
      <c r="DE375" s="21"/>
      <c r="DF375" s="21"/>
    </row>
    <row r="376" spans="1:110" s="16" customFormat="1" x14ac:dyDescent="0.3">
      <c r="A376" s="21" t="s">
        <v>32</v>
      </c>
      <c r="B376" s="21" t="s">
        <v>190</v>
      </c>
      <c r="C376" s="21" t="s">
        <v>516</v>
      </c>
      <c r="D376" s="42">
        <f>(D222*inputs!$E$75)/(inputs!$E$31)^inputs!E120</f>
        <v>982.91137619855272</v>
      </c>
      <c r="E376" s="21" t="str">
        <f t="shared" ca="1" si="6"/>
        <v>=(D222*inputs!$E$75)/(inputs!$E$31)^inputs!E120</v>
      </c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  <c r="CA376" s="21"/>
      <c r="CB376" s="21"/>
      <c r="CC376" s="21"/>
      <c r="CD376" s="21"/>
      <c r="CE376" s="21"/>
      <c r="CF376" s="21"/>
      <c r="CG376" s="21"/>
      <c r="CH376" s="21"/>
      <c r="CI376" s="21"/>
      <c r="CJ376" s="21"/>
      <c r="CK376" s="21"/>
      <c r="CL376" s="21"/>
      <c r="CM376" s="21"/>
      <c r="CN376" s="21"/>
      <c r="CO376" s="21"/>
      <c r="CP376" s="21"/>
      <c r="CQ376" s="21"/>
      <c r="CR376" s="21"/>
      <c r="CS376" s="21"/>
      <c r="CT376" s="21"/>
      <c r="CU376" s="21"/>
      <c r="CV376" s="21"/>
      <c r="CW376" s="21"/>
      <c r="CX376" s="21"/>
      <c r="CY376" s="21"/>
      <c r="CZ376" s="21"/>
      <c r="DA376" s="21"/>
      <c r="DB376" s="21"/>
      <c r="DC376" s="21"/>
      <c r="DD376" s="21"/>
      <c r="DE376" s="21"/>
      <c r="DF376" s="21"/>
    </row>
    <row r="377" spans="1:110" s="16" customFormat="1" x14ac:dyDescent="0.3">
      <c r="A377" s="21" t="s">
        <v>32</v>
      </c>
      <c r="B377" s="21" t="s">
        <v>190</v>
      </c>
      <c r="C377" s="21" t="s">
        <v>517</v>
      </c>
      <c r="D377" s="42">
        <f>(D223*inputs!$E$75)/(inputs!$E$31)^inputs!E121</f>
        <v>952.37432373413151</v>
      </c>
      <c r="E377" s="21" t="str">
        <f t="shared" ca="1" si="6"/>
        <v>=(D223*inputs!$E$75)/(inputs!$E$31)^inputs!E121</v>
      </c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  <c r="CA377" s="21"/>
      <c r="CB377" s="21"/>
      <c r="CC377" s="21"/>
      <c r="CD377" s="21"/>
      <c r="CE377" s="21"/>
      <c r="CF377" s="21"/>
      <c r="CG377" s="21"/>
      <c r="CH377" s="21"/>
      <c r="CI377" s="21"/>
      <c r="CJ377" s="21"/>
      <c r="CK377" s="21"/>
      <c r="CL377" s="21"/>
      <c r="CM377" s="21"/>
      <c r="CN377" s="21"/>
      <c r="CO377" s="21"/>
      <c r="CP377" s="21"/>
      <c r="CQ377" s="21"/>
      <c r="CR377" s="21"/>
      <c r="CS377" s="21"/>
      <c r="CT377" s="21"/>
      <c r="CU377" s="21"/>
      <c r="CV377" s="21"/>
      <c r="CW377" s="21"/>
      <c r="CX377" s="21"/>
      <c r="CY377" s="21"/>
      <c r="CZ377" s="21"/>
      <c r="DA377" s="21"/>
      <c r="DB377" s="21"/>
      <c r="DC377" s="21"/>
      <c r="DD377" s="21"/>
      <c r="DE377" s="21"/>
      <c r="DF377" s="21"/>
    </row>
    <row r="378" spans="1:110" s="16" customFormat="1" x14ac:dyDescent="0.3">
      <c r="A378" s="21" t="s">
        <v>32</v>
      </c>
      <c r="B378" s="21" t="s">
        <v>190</v>
      </c>
      <c r="C378" s="21" t="s">
        <v>518</v>
      </c>
      <c r="D378" s="42">
        <f>(D224*inputs!$E$75)/(inputs!$E$31)^inputs!E122</f>
        <v>922.78599522977026</v>
      </c>
      <c r="E378" s="21" t="str">
        <f t="shared" ca="1" si="6"/>
        <v>=(D224*inputs!$E$75)/(inputs!$E$31)^inputs!E122</v>
      </c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  <c r="CA378" s="21"/>
      <c r="CB378" s="21"/>
      <c r="CC378" s="21"/>
      <c r="CD378" s="21"/>
      <c r="CE378" s="21"/>
      <c r="CF378" s="21"/>
      <c r="CG378" s="21"/>
      <c r="CH378" s="21"/>
      <c r="CI378" s="21"/>
      <c r="CJ378" s="21"/>
      <c r="CK378" s="21"/>
      <c r="CL378" s="21"/>
      <c r="CM378" s="21"/>
      <c r="CN378" s="21"/>
      <c r="CO378" s="21"/>
      <c r="CP378" s="21"/>
      <c r="CQ378" s="21"/>
      <c r="CR378" s="21"/>
      <c r="CS378" s="21"/>
      <c r="CT378" s="21"/>
      <c r="CU378" s="21"/>
      <c r="CV378" s="21"/>
      <c r="CW378" s="21"/>
      <c r="CX378" s="21"/>
      <c r="CY378" s="21"/>
      <c r="CZ378" s="21"/>
      <c r="DA378" s="21"/>
      <c r="DB378" s="21"/>
      <c r="DC378" s="21"/>
      <c r="DD378" s="21"/>
      <c r="DE378" s="21"/>
      <c r="DF378" s="21"/>
    </row>
    <row r="379" spans="1:110" s="16" customFormat="1" x14ac:dyDescent="0.3">
      <c r="A379" s="21" t="s">
        <v>32</v>
      </c>
      <c r="B379" s="21" t="s">
        <v>190</v>
      </c>
      <c r="C379" s="21" t="s">
        <v>519</v>
      </c>
      <c r="D379" s="42">
        <f>(D225*inputs!$E$75)/(inputs!$E$31)^inputs!E123</f>
        <v>894.11691576632109</v>
      </c>
      <c r="E379" s="21" t="str">
        <f t="shared" ca="1" si="6"/>
        <v>=(D225*inputs!$E$75)/(inputs!$E$31)^inputs!E123</v>
      </c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  <c r="CA379" s="21"/>
      <c r="CB379" s="21"/>
      <c r="CC379" s="21"/>
      <c r="CD379" s="21"/>
      <c r="CE379" s="21"/>
      <c r="CF379" s="21"/>
      <c r="CG379" s="21"/>
      <c r="CH379" s="21"/>
      <c r="CI379" s="21"/>
      <c r="CJ379" s="21"/>
      <c r="CK379" s="21"/>
      <c r="CL379" s="21"/>
      <c r="CM379" s="21"/>
      <c r="CN379" s="21"/>
      <c r="CO379" s="21"/>
      <c r="CP379" s="21"/>
      <c r="CQ379" s="21"/>
      <c r="CR379" s="21"/>
      <c r="CS379" s="21"/>
      <c r="CT379" s="21"/>
      <c r="CU379" s="21"/>
      <c r="CV379" s="21"/>
      <c r="CW379" s="21"/>
      <c r="CX379" s="21"/>
      <c r="CY379" s="21"/>
      <c r="CZ379" s="21"/>
      <c r="DA379" s="21"/>
      <c r="DB379" s="21"/>
      <c r="DC379" s="21"/>
      <c r="DD379" s="21"/>
      <c r="DE379" s="21"/>
      <c r="DF379" s="21"/>
    </row>
    <row r="380" spans="1:110" s="16" customFormat="1" x14ac:dyDescent="0.3">
      <c r="A380" s="21" t="s">
        <v>32</v>
      </c>
      <c r="B380" s="21" t="s">
        <v>190</v>
      </c>
      <c r="C380" s="21" t="s">
        <v>520</v>
      </c>
      <c r="D380" s="42">
        <f>(D226*inputs!$E$75)/(inputs!$E$31)^inputs!E124</f>
        <v>866.33852615028002</v>
      </c>
      <c r="E380" s="21" t="str">
        <f t="shared" ca="1" si="6"/>
        <v>=(D226*inputs!$E$75)/(inputs!$E$31)^inputs!E124</v>
      </c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  <c r="CA380" s="21"/>
      <c r="CB380" s="21"/>
      <c r="CC380" s="21"/>
      <c r="CD380" s="21"/>
      <c r="CE380" s="21"/>
      <c r="CF380" s="21"/>
      <c r="CG380" s="21"/>
      <c r="CH380" s="21"/>
      <c r="CI380" s="21"/>
      <c r="CJ380" s="21"/>
      <c r="CK380" s="21"/>
      <c r="CL380" s="21"/>
      <c r="CM380" s="21"/>
      <c r="CN380" s="21"/>
      <c r="CO380" s="21"/>
      <c r="CP380" s="21"/>
      <c r="CQ380" s="21"/>
      <c r="CR380" s="21"/>
      <c r="CS380" s="21"/>
      <c r="CT380" s="21"/>
      <c r="CU380" s="21"/>
      <c r="CV380" s="21"/>
      <c r="CW380" s="21"/>
      <c r="CX380" s="21"/>
      <c r="CY380" s="21"/>
      <c r="CZ380" s="21"/>
      <c r="DA380" s="21"/>
      <c r="DB380" s="21"/>
      <c r="DC380" s="21"/>
      <c r="DD380" s="21"/>
      <c r="DE380" s="21"/>
      <c r="DF380" s="21"/>
    </row>
    <row r="381" spans="1:110" s="16" customFormat="1" x14ac:dyDescent="0.3">
      <c r="A381" s="21" t="s">
        <v>32</v>
      </c>
      <c r="B381" s="21" t="s">
        <v>190</v>
      </c>
      <c r="C381" s="21" t="s">
        <v>521</v>
      </c>
      <c r="D381" s="42">
        <f>(D227*inputs!$E$75)/(inputs!$E$31)^inputs!E125</f>
        <v>839.4231544640578</v>
      </c>
      <c r="E381" s="21" t="str">
        <f t="shared" ca="1" si="6"/>
        <v>=(D227*inputs!$E$75)/(inputs!$E$31)^inputs!E125</v>
      </c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  <c r="CD381" s="21"/>
      <c r="CE381" s="21"/>
      <c r="CF381" s="21"/>
      <c r="CG381" s="21"/>
      <c r="CH381" s="21"/>
      <c r="CI381" s="21"/>
      <c r="CJ381" s="21"/>
      <c r="CK381" s="21"/>
      <c r="CL381" s="21"/>
      <c r="CM381" s="21"/>
      <c r="CN381" s="21"/>
      <c r="CO381" s="21"/>
      <c r="CP381" s="21"/>
      <c r="CQ381" s="21"/>
      <c r="CR381" s="21"/>
      <c r="CS381" s="21"/>
      <c r="CT381" s="21"/>
      <c r="CU381" s="21"/>
      <c r="CV381" s="21"/>
      <c r="CW381" s="21"/>
      <c r="CX381" s="21"/>
      <c r="CY381" s="21"/>
      <c r="CZ381" s="21"/>
      <c r="DA381" s="21"/>
      <c r="DB381" s="21"/>
      <c r="DC381" s="21"/>
      <c r="DD381" s="21"/>
      <c r="DE381" s="21"/>
      <c r="DF381" s="21"/>
    </row>
    <row r="382" spans="1:110" s="16" customFormat="1" x14ac:dyDescent="0.3">
      <c r="A382" s="21" t="s">
        <v>32</v>
      </c>
      <c r="B382" s="21" t="s">
        <v>190</v>
      </c>
      <c r="C382" s="21" t="s">
        <v>522</v>
      </c>
      <c r="D382" s="42">
        <f>(D228*inputs!$E$75)/(inputs!$E$31)^inputs!E126</f>
        <v>813.34398850012587</v>
      </c>
      <c r="E382" s="21" t="str">
        <f t="shared" ca="1" si="6"/>
        <v>=(D228*inputs!$E$75)/(inputs!$E$31)^inputs!E126</v>
      </c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  <c r="CA382" s="21"/>
      <c r="CB382" s="21"/>
      <c r="CC382" s="21"/>
      <c r="CD382" s="21"/>
      <c r="CE382" s="21"/>
      <c r="CF382" s="21"/>
      <c r="CG382" s="21"/>
      <c r="CH382" s="21"/>
      <c r="CI382" s="21"/>
      <c r="CJ382" s="21"/>
      <c r="CK382" s="21"/>
      <c r="CL382" s="21"/>
      <c r="CM382" s="21"/>
      <c r="CN382" s="21"/>
      <c r="CO382" s="21"/>
      <c r="CP382" s="21"/>
      <c r="CQ382" s="21"/>
      <c r="CR382" s="21"/>
      <c r="CS382" s="21"/>
      <c r="CT382" s="21"/>
      <c r="CU382" s="21"/>
      <c r="CV382" s="21"/>
      <c r="CW382" s="21"/>
      <c r="CX382" s="21"/>
      <c r="CY382" s="21"/>
      <c r="CZ382" s="21"/>
      <c r="DA382" s="21"/>
      <c r="DB382" s="21"/>
      <c r="DC382" s="21"/>
      <c r="DD382" s="21"/>
      <c r="DE382" s="21"/>
      <c r="DF382" s="21"/>
    </row>
    <row r="383" spans="1:110" s="16" customFormat="1" x14ac:dyDescent="0.3">
      <c r="A383" s="21" t="s">
        <v>32</v>
      </c>
      <c r="B383" s="21" t="s">
        <v>190</v>
      </c>
      <c r="C383" s="21" t="s">
        <v>523</v>
      </c>
      <c r="D383" s="42">
        <f>(D229*inputs!$E$75)/(inputs!$E$31)^inputs!E127</f>
        <v>788.07504905157839</v>
      </c>
      <c r="E383" s="21" t="str">
        <f t="shared" ca="1" si="6"/>
        <v>=(D229*inputs!$E$75)/(inputs!$E$31)^inputs!E127</v>
      </c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  <c r="CA383" s="21"/>
      <c r="CB383" s="21"/>
      <c r="CC383" s="21"/>
      <c r="CD383" s="21"/>
      <c r="CE383" s="21"/>
      <c r="CF383" s="21"/>
      <c r="CG383" s="21"/>
      <c r="CH383" s="21"/>
      <c r="CI383" s="21"/>
      <c r="CJ383" s="21"/>
      <c r="CK383" s="21"/>
      <c r="CL383" s="21"/>
      <c r="CM383" s="21"/>
      <c r="CN383" s="21"/>
      <c r="CO383" s="21"/>
      <c r="CP383" s="21"/>
      <c r="CQ383" s="21"/>
      <c r="CR383" s="21"/>
      <c r="CS383" s="21"/>
      <c r="CT383" s="21"/>
      <c r="CU383" s="21"/>
      <c r="CV383" s="21"/>
      <c r="CW383" s="21"/>
      <c r="CX383" s="21"/>
      <c r="CY383" s="21"/>
      <c r="CZ383" s="21"/>
      <c r="DA383" s="21"/>
      <c r="DB383" s="21"/>
      <c r="DC383" s="21"/>
      <c r="DD383" s="21"/>
      <c r="DE383" s="21"/>
      <c r="DF383" s="21"/>
    </row>
    <row r="384" spans="1:110" s="16" customFormat="1" x14ac:dyDescent="0.3">
      <c r="A384" s="21" t="s">
        <v>32</v>
      </c>
      <c r="B384" s="21" t="s">
        <v>190</v>
      </c>
      <c r="C384" s="21" t="s">
        <v>524</v>
      </c>
      <c r="D384" s="42">
        <f>(D230*inputs!$E$75)/(inputs!$E$31)^inputs!E128</f>
        <v>763.59116403250016</v>
      </c>
      <c r="E384" s="21" t="str">
        <f t="shared" ca="1" si="6"/>
        <v>=(D230*inputs!$E$75)/(inputs!$E$31)^inputs!E128</v>
      </c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  <c r="CA384" s="21"/>
      <c r="CB384" s="21"/>
      <c r="CC384" s="21"/>
      <c r="CD384" s="21"/>
      <c r="CE384" s="21"/>
      <c r="CF384" s="21"/>
      <c r="CG384" s="21"/>
      <c r="CH384" s="21"/>
      <c r="CI384" s="21"/>
      <c r="CJ384" s="21"/>
      <c r="CK384" s="21"/>
      <c r="CL384" s="21"/>
      <c r="CM384" s="21"/>
      <c r="CN384" s="21"/>
      <c r="CO384" s="21"/>
      <c r="CP384" s="21"/>
      <c r="CQ384" s="21"/>
      <c r="CR384" s="21"/>
      <c r="CS384" s="21"/>
      <c r="CT384" s="21"/>
      <c r="CU384" s="21"/>
      <c r="CV384" s="21"/>
      <c r="CW384" s="21"/>
      <c r="CX384" s="21"/>
      <c r="CY384" s="21"/>
      <c r="CZ384" s="21"/>
      <c r="DA384" s="21"/>
      <c r="DB384" s="21"/>
      <c r="DC384" s="21"/>
      <c r="DD384" s="21"/>
      <c r="DE384" s="21"/>
      <c r="DF384" s="21"/>
    </row>
    <row r="385" spans="1:110" s="16" customFormat="1" x14ac:dyDescent="0.3">
      <c r="A385" s="21" t="s">
        <v>32</v>
      </c>
      <c r="B385" s="21" t="s">
        <v>190</v>
      </c>
      <c r="C385" s="21" t="s">
        <v>525</v>
      </c>
      <c r="D385" s="42">
        <f>(D231*inputs!$E$75)/(inputs!$E$31)^inputs!E129</f>
        <v>739.8679434023644</v>
      </c>
      <c r="E385" s="21" t="str">
        <f t="shared" ca="1" si="6"/>
        <v>=(D231*inputs!$E$75)/(inputs!$E$31)^inputs!E129</v>
      </c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  <c r="CD385" s="21"/>
      <c r="CE385" s="21"/>
      <c r="CF385" s="21"/>
      <c r="CG385" s="21"/>
      <c r="CH385" s="21"/>
      <c r="CI385" s="21"/>
      <c r="CJ385" s="21"/>
      <c r="CK385" s="21"/>
      <c r="CL385" s="21"/>
      <c r="CM385" s="21"/>
      <c r="CN385" s="21"/>
      <c r="CO385" s="21"/>
      <c r="CP385" s="21"/>
      <c r="CQ385" s="21"/>
      <c r="CR385" s="21"/>
      <c r="CS385" s="21"/>
      <c r="CT385" s="21"/>
      <c r="CU385" s="21"/>
      <c r="CV385" s="21"/>
      <c r="CW385" s="21"/>
      <c r="CX385" s="21"/>
      <c r="CY385" s="21"/>
      <c r="CZ385" s="21"/>
      <c r="DA385" s="21"/>
      <c r="DB385" s="21"/>
      <c r="DC385" s="21"/>
      <c r="DD385" s="21"/>
      <c r="DE385" s="21"/>
      <c r="DF385" s="21"/>
    </row>
    <row r="386" spans="1:110" s="16" customFormat="1" x14ac:dyDescent="0.3">
      <c r="A386" s="21" t="s">
        <v>32</v>
      </c>
      <c r="B386" s="21" t="s">
        <v>190</v>
      </c>
      <c r="C386" s="21" t="s">
        <v>526</v>
      </c>
      <c r="D386" s="42">
        <f>(D232*inputs!$E$75)/(inputs!$E$31)^inputs!E130</f>
        <v>716.88175486947523</v>
      </c>
      <c r="E386" s="21" t="str">
        <f t="shared" ca="1" si="6"/>
        <v>=(D232*inputs!$E$75)/(inputs!$E$31)^inputs!E130</v>
      </c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  <c r="CD386" s="21"/>
      <c r="CE386" s="21"/>
      <c r="CF386" s="21"/>
      <c r="CG386" s="21"/>
      <c r="CH386" s="21"/>
      <c r="CI386" s="21"/>
      <c r="CJ386" s="21"/>
      <c r="CK386" s="21"/>
      <c r="CL386" s="21"/>
      <c r="CM386" s="21"/>
      <c r="CN386" s="21"/>
      <c r="CO386" s="21"/>
      <c r="CP386" s="21"/>
      <c r="CQ386" s="21"/>
      <c r="CR386" s="21"/>
      <c r="CS386" s="21"/>
      <c r="CT386" s="21"/>
      <c r="CU386" s="21"/>
      <c r="CV386" s="21"/>
      <c r="CW386" s="21"/>
      <c r="CX386" s="21"/>
      <c r="CY386" s="21"/>
      <c r="CZ386" s="21"/>
      <c r="DA386" s="21"/>
      <c r="DB386" s="21"/>
      <c r="DC386" s="21"/>
      <c r="DD386" s="21"/>
      <c r="DE386" s="21"/>
      <c r="DF386" s="21"/>
    </row>
    <row r="387" spans="1:110" s="16" customFormat="1" x14ac:dyDescent="0.3">
      <c r="A387" s="21" t="s">
        <v>32</v>
      </c>
      <c r="B387" s="21" t="s">
        <v>190</v>
      </c>
      <c r="C387" s="21" t="s">
        <v>527</v>
      </c>
      <c r="D387" s="42">
        <f>(D233*inputs!$E$75)/(inputs!$E$31)^inputs!E131</f>
        <v>694.60970034925856</v>
      </c>
      <c r="E387" s="21" t="str">
        <f t="shared" ca="1" si="6"/>
        <v>=(D233*inputs!$E$75)/(inputs!$E$31)^inputs!E131</v>
      </c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  <c r="CA387" s="21"/>
      <c r="CB387" s="21"/>
      <c r="CC387" s="21"/>
      <c r="CD387" s="21"/>
      <c r="CE387" s="21"/>
      <c r="CF387" s="21"/>
      <c r="CG387" s="21"/>
      <c r="CH387" s="21"/>
      <c r="CI387" s="21"/>
      <c r="CJ387" s="21"/>
      <c r="CK387" s="21"/>
      <c r="CL387" s="21"/>
      <c r="CM387" s="21"/>
      <c r="CN387" s="21"/>
      <c r="CO387" s="21"/>
      <c r="CP387" s="21"/>
      <c r="CQ387" s="21"/>
      <c r="CR387" s="21"/>
      <c r="CS387" s="21"/>
      <c r="CT387" s="21"/>
      <c r="CU387" s="21"/>
      <c r="CV387" s="21"/>
      <c r="CW387" s="21"/>
      <c r="CX387" s="21"/>
      <c r="CY387" s="21"/>
      <c r="CZ387" s="21"/>
      <c r="DA387" s="21"/>
      <c r="DB387" s="21"/>
      <c r="DC387" s="21"/>
      <c r="DD387" s="21"/>
      <c r="DE387" s="21"/>
      <c r="DF387" s="21"/>
    </row>
    <row r="388" spans="1:110" s="16" customFormat="1" x14ac:dyDescent="0.3">
      <c r="A388" s="21" t="s">
        <v>32</v>
      </c>
      <c r="B388" s="21" t="s">
        <v>190</v>
      </c>
      <c r="C388" s="21" t="s">
        <v>528</v>
      </c>
      <c r="D388" s="42">
        <f>(D234*inputs!$E$75)/(inputs!$E$31)^inputs!E132</f>
        <v>673.02959315394185</v>
      </c>
      <c r="E388" s="21" t="str">
        <f t="shared" ca="1" si="6"/>
        <v>=(D234*inputs!$E$75)/(inputs!$E$31)^inputs!E132</v>
      </c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  <c r="CA388" s="21"/>
      <c r="CB388" s="21"/>
      <c r="CC388" s="21"/>
      <c r="CD388" s="21"/>
      <c r="CE388" s="21"/>
      <c r="CF388" s="21"/>
      <c r="CG388" s="21"/>
      <c r="CH388" s="21"/>
      <c r="CI388" s="21"/>
      <c r="CJ388" s="21"/>
      <c r="CK388" s="21"/>
      <c r="CL388" s="21"/>
      <c r="CM388" s="21"/>
      <c r="CN388" s="21"/>
      <c r="CO388" s="21"/>
      <c r="CP388" s="21"/>
      <c r="CQ388" s="21"/>
      <c r="CR388" s="21"/>
      <c r="CS388" s="21"/>
      <c r="CT388" s="21"/>
      <c r="CU388" s="21"/>
      <c r="CV388" s="21"/>
      <c r="CW388" s="21"/>
      <c r="CX388" s="21"/>
      <c r="CY388" s="21"/>
      <c r="CZ388" s="21"/>
      <c r="DA388" s="21"/>
      <c r="DB388" s="21"/>
      <c r="DC388" s="21"/>
      <c r="DD388" s="21"/>
      <c r="DE388" s="21"/>
      <c r="DF388" s="21"/>
    </row>
    <row r="389" spans="1:110" s="16" customFormat="1" x14ac:dyDescent="0.3">
      <c r="A389" s="21" t="s">
        <v>32</v>
      </c>
      <c r="B389" s="21" t="s">
        <v>190</v>
      </c>
      <c r="C389" s="21" t="s">
        <v>529</v>
      </c>
      <c r="D389" s="42">
        <f>(D235*inputs!$E$75)/(inputs!$E$31)^inputs!E133</f>
        <v>652.11993589090673</v>
      </c>
      <c r="E389" s="21" t="str">
        <f t="shared" ca="1" si="6"/>
        <v>=(D235*inputs!$E$75)/(inputs!$E$31)^inputs!E133</v>
      </c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  <c r="CA389" s="21"/>
      <c r="CB389" s="21"/>
      <c r="CC389" s="21"/>
      <c r="CD389" s="21"/>
      <c r="CE389" s="21"/>
      <c r="CF389" s="21"/>
      <c r="CG389" s="21"/>
      <c r="CH389" s="21"/>
      <c r="CI389" s="21"/>
      <c r="CJ389" s="21"/>
      <c r="CK389" s="21"/>
      <c r="CL389" s="21"/>
      <c r="CM389" s="21"/>
      <c r="CN389" s="21"/>
      <c r="CO389" s="21"/>
      <c r="CP389" s="21"/>
      <c r="CQ389" s="21"/>
      <c r="CR389" s="21"/>
      <c r="CS389" s="21"/>
      <c r="CT389" s="21"/>
      <c r="CU389" s="21"/>
      <c r="CV389" s="21"/>
      <c r="CW389" s="21"/>
      <c r="CX389" s="21"/>
      <c r="CY389" s="21"/>
      <c r="CZ389" s="21"/>
      <c r="DA389" s="21"/>
      <c r="DB389" s="21"/>
      <c r="DC389" s="21"/>
      <c r="DD389" s="21"/>
      <c r="DE389" s="21"/>
      <c r="DF389" s="21"/>
    </row>
    <row r="390" spans="1:110" s="16" customFormat="1" x14ac:dyDescent="0.3">
      <c r="A390" s="21" t="s">
        <v>32</v>
      </c>
      <c r="B390" s="21" t="s">
        <v>190</v>
      </c>
      <c r="C390" s="21" t="s">
        <v>530</v>
      </c>
      <c r="D390" s="42">
        <f>(D236*inputs!$E$75)/(inputs!$E$31)^inputs!E134</f>
        <v>631.85989904769406</v>
      </c>
      <c r="E390" s="21" t="str">
        <f t="shared" ca="1" si="6"/>
        <v>=(D236*inputs!$E$75)/(inputs!$E$31)^inputs!E134</v>
      </c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  <c r="CA390" s="21"/>
      <c r="CB390" s="21"/>
      <c r="CC390" s="21"/>
      <c r="CD390" s="21"/>
      <c r="CE390" s="21"/>
      <c r="CF390" s="21"/>
      <c r="CG390" s="21"/>
      <c r="CH390" s="21"/>
      <c r="CI390" s="21"/>
      <c r="CJ390" s="21"/>
      <c r="CK390" s="21"/>
      <c r="CL390" s="21"/>
      <c r="CM390" s="21"/>
      <c r="CN390" s="21"/>
      <c r="CO390" s="21"/>
      <c r="CP390" s="21"/>
      <c r="CQ390" s="21"/>
      <c r="CR390" s="21"/>
      <c r="CS390" s="21"/>
      <c r="CT390" s="21"/>
      <c r="CU390" s="21"/>
      <c r="CV390" s="21"/>
      <c r="CW390" s="21"/>
      <c r="CX390" s="21"/>
      <c r="CY390" s="21"/>
      <c r="CZ390" s="21"/>
      <c r="DA390" s="21"/>
      <c r="DB390" s="21"/>
      <c r="DC390" s="21"/>
      <c r="DD390" s="21"/>
      <c r="DE390" s="21"/>
      <c r="DF390" s="21"/>
    </row>
    <row r="391" spans="1:110" s="16" customFormat="1" x14ac:dyDescent="0.3">
      <c r="A391" s="21" t="s">
        <v>32</v>
      </c>
      <c r="B391" s="21" t="s">
        <v>190</v>
      </c>
      <c r="C391" s="21" t="s">
        <v>531</v>
      </c>
      <c r="D391" s="42">
        <f>(D237*inputs!$E$75)/(inputs!$E$31)^inputs!E135</f>
        <v>612.22930024232892</v>
      </c>
      <c r="E391" s="21" t="str">
        <f t="shared" ca="1" si="6"/>
        <v>=(D237*inputs!$E$75)/(inputs!$E$31)^inputs!E135</v>
      </c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  <c r="CD391" s="21"/>
      <c r="CE391" s="21"/>
      <c r="CF391" s="21"/>
      <c r="CG391" s="21"/>
      <c r="CH391" s="21"/>
      <c r="CI391" s="21"/>
      <c r="CJ391" s="21"/>
      <c r="CK391" s="21"/>
      <c r="CL391" s="21"/>
      <c r="CM391" s="21"/>
      <c r="CN391" s="21"/>
      <c r="CO391" s="21"/>
      <c r="CP391" s="21"/>
      <c r="CQ391" s="21"/>
      <c r="CR391" s="21"/>
      <c r="CS391" s="21"/>
      <c r="CT391" s="21"/>
      <c r="CU391" s="21"/>
      <c r="CV391" s="21"/>
      <c r="CW391" s="21"/>
      <c r="CX391" s="21"/>
      <c r="CY391" s="21"/>
      <c r="CZ391" s="21"/>
      <c r="DA391" s="21"/>
      <c r="DB391" s="21"/>
      <c r="DC391" s="21"/>
      <c r="DD391" s="21"/>
      <c r="DE391" s="21"/>
      <c r="DF391" s="21"/>
    </row>
    <row r="392" spans="1:110" s="16" customFormat="1" x14ac:dyDescent="0.3">
      <c r="A392" s="21" t="s">
        <v>32</v>
      </c>
      <c r="B392" s="21" t="s">
        <v>190</v>
      </c>
      <c r="C392" s="21" t="s">
        <v>557</v>
      </c>
      <c r="D392" s="42">
        <f>(D241*inputs!$E$76)/(inputs!$E$31)^inputs!E100</f>
        <v>0</v>
      </c>
      <c r="E392" s="21" t="str">
        <f t="shared" ca="1" si="6"/>
        <v>=(D241*inputs!$E$76)/(inputs!$E$31)^inputs!E100</v>
      </c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  <c r="CA392" s="21"/>
      <c r="CB392" s="21"/>
      <c r="CC392" s="21"/>
      <c r="CD392" s="21"/>
      <c r="CE392" s="21"/>
      <c r="CF392" s="21"/>
      <c r="CG392" s="21"/>
      <c r="CH392" s="21"/>
      <c r="CI392" s="21"/>
      <c r="CJ392" s="21"/>
      <c r="CK392" s="21"/>
      <c r="CL392" s="21"/>
      <c r="CM392" s="21"/>
      <c r="CN392" s="21"/>
      <c r="CO392" s="21"/>
      <c r="CP392" s="21"/>
      <c r="CQ392" s="21"/>
      <c r="CR392" s="21"/>
      <c r="CS392" s="21"/>
      <c r="CT392" s="21"/>
      <c r="CU392" s="21"/>
      <c r="CV392" s="21"/>
      <c r="CW392" s="21"/>
      <c r="CX392" s="21"/>
      <c r="CY392" s="21"/>
      <c r="CZ392" s="21"/>
      <c r="DA392" s="21"/>
      <c r="DB392" s="21"/>
      <c r="DC392" s="21"/>
      <c r="DD392" s="21"/>
      <c r="DE392" s="21"/>
      <c r="DF392" s="21"/>
    </row>
    <row r="393" spans="1:110" s="16" customFormat="1" x14ac:dyDescent="0.3">
      <c r="A393" s="21" t="s">
        <v>32</v>
      </c>
      <c r="B393" s="21" t="s">
        <v>190</v>
      </c>
      <c r="C393" s="21" t="s">
        <v>558</v>
      </c>
      <c r="D393" s="42">
        <f>(D242*inputs!$E$76)/(inputs!$E$31)^inputs!E101</f>
        <v>0</v>
      </c>
      <c r="E393" s="21" t="str">
        <f t="shared" ca="1" si="6"/>
        <v>=(D242*inputs!$E$76)/(inputs!$E$31)^inputs!E101</v>
      </c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  <c r="CA393" s="21"/>
      <c r="CB393" s="21"/>
      <c r="CC393" s="21"/>
      <c r="CD393" s="21"/>
      <c r="CE393" s="21"/>
      <c r="CF393" s="21"/>
      <c r="CG393" s="21"/>
      <c r="CH393" s="21"/>
      <c r="CI393" s="21"/>
      <c r="CJ393" s="21"/>
      <c r="CK393" s="21"/>
      <c r="CL393" s="21"/>
      <c r="CM393" s="21"/>
      <c r="CN393" s="21"/>
      <c r="CO393" s="21"/>
      <c r="CP393" s="21"/>
      <c r="CQ393" s="21"/>
      <c r="CR393" s="21"/>
      <c r="CS393" s="21"/>
      <c r="CT393" s="21"/>
      <c r="CU393" s="21"/>
      <c r="CV393" s="21"/>
      <c r="CW393" s="21"/>
      <c r="CX393" s="21"/>
      <c r="CY393" s="21"/>
      <c r="CZ393" s="21"/>
      <c r="DA393" s="21"/>
      <c r="DB393" s="21"/>
      <c r="DC393" s="21"/>
      <c r="DD393" s="21"/>
      <c r="DE393" s="21"/>
      <c r="DF393" s="21"/>
    </row>
    <row r="394" spans="1:110" s="16" customFormat="1" x14ac:dyDescent="0.3">
      <c r="A394" s="21" t="s">
        <v>32</v>
      </c>
      <c r="B394" s="21" t="s">
        <v>190</v>
      </c>
      <c r="C394" s="21" t="s">
        <v>559</v>
      </c>
      <c r="D394" s="42">
        <f>(D243*inputs!$E$76)/(inputs!$E$31)^inputs!E102</f>
        <v>0</v>
      </c>
      <c r="E394" s="21" t="str">
        <f t="shared" ca="1" si="6"/>
        <v>=(D243*inputs!$E$76)/(inputs!$E$31)^inputs!E102</v>
      </c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  <c r="CA394" s="21"/>
      <c r="CB394" s="21"/>
      <c r="CC394" s="21"/>
      <c r="CD394" s="21"/>
      <c r="CE394" s="21"/>
      <c r="CF394" s="21"/>
      <c r="CG394" s="21"/>
      <c r="CH394" s="21"/>
      <c r="CI394" s="21"/>
      <c r="CJ394" s="21"/>
      <c r="CK394" s="21"/>
      <c r="CL394" s="21"/>
      <c r="CM394" s="21"/>
      <c r="CN394" s="21"/>
      <c r="CO394" s="21"/>
      <c r="CP394" s="21"/>
      <c r="CQ394" s="21"/>
      <c r="CR394" s="21"/>
      <c r="CS394" s="21"/>
      <c r="CT394" s="21"/>
      <c r="CU394" s="21"/>
      <c r="CV394" s="21"/>
      <c r="CW394" s="21"/>
      <c r="CX394" s="21"/>
      <c r="CY394" s="21"/>
      <c r="CZ394" s="21"/>
      <c r="DA394" s="21"/>
      <c r="DB394" s="21"/>
      <c r="DC394" s="21"/>
      <c r="DD394" s="21"/>
      <c r="DE394" s="21"/>
      <c r="DF394" s="21"/>
    </row>
    <row r="395" spans="1:110" s="16" customFormat="1" x14ac:dyDescent="0.3">
      <c r="A395" s="21" t="s">
        <v>32</v>
      </c>
      <c r="B395" s="21" t="s">
        <v>190</v>
      </c>
      <c r="C395" s="21" t="s">
        <v>560</v>
      </c>
      <c r="D395" s="42">
        <f>(D244*inputs!$E$76)/(inputs!$E$31)^inputs!E103</f>
        <v>0</v>
      </c>
      <c r="E395" s="21" t="str">
        <f t="shared" ca="1" si="6"/>
        <v>=(D244*inputs!$E$76)/(inputs!$E$31)^inputs!E103</v>
      </c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  <c r="CA395" s="21"/>
      <c r="CB395" s="21"/>
      <c r="CC395" s="21"/>
      <c r="CD395" s="21"/>
      <c r="CE395" s="21"/>
      <c r="CF395" s="21"/>
      <c r="CG395" s="21"/>
      <c r="CH395" s="21"/>
      <c r="CI395" s="21"/>
      <c r="CJ395" s="21"/>
      <c r="CK395" s="21"/>
      <c r="CL395" s="21"/>
      <c r="CM395" s="21"/>
      <c r="CN395" s="21"/>
      <c r="CO395" s="21"/>
      <c r="CP395" s="21"/>
      <c r="CQ395" s="21"/>
      <c r="CR395" s="21"/>
      <c r="CS395" s="21"/>
      <c r="CT395" s="21"/>
      <c r="CU395" s="21"/>
      <c r="CV395" s="21"/>
      <c r="CW395" s="21"/>
      <c r="CX395" s="21"/>
      <c r="CY395" s="21"/>
      <c r="CZ395" s="21"/>
      <c r="DA395" s="21"/>
      <c r="DB395" s="21"/>
      <c r="DC395" s="21"/>
      <c r="DD395" s="21"/>
      <c r="DE395" s="21"/>
      <c r="DF395" s="21"/>
    </row>
    <row r="396" spans="1:110" s="16" customFormat="1" x14ac:dyDescent="0.3">
      <c r="A396" s="21" t="s">
        <v>32</v>
      </c>
      <c r="B396" s="21" t="s">
        <v>190</v>
      </c>
      <c r="C396" s="21" t="s">
        <v>561</v>
      </c>
      <c r="D396" s="42">
        <f>(D245*inputs!$E$76)/(inputs!$E$31)^inputs!E104</f>
        <v>0</v>
      </c>
      <c r="E396" s="21" t="str">
        <f t="shared" ca="1" si="6"/>
        <v>=(D245*inputs!$E$76)/(inputs!$E$31)^inputs!E104</v>
      </c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  <c r="CA396" s="21"/>
      <c r="CB396" s="21"/>
      <c r="CC396" s="21"/>
      <c r="CD396" s="21"/>
      <c r="CE396" s="21"/>
      <c r="CF396" s="21"/>
      <c r="CG396" s="21"/>
      <c r="CH396" s="21"/>
      <c r="CI396" s="21"/>
      <c r="CJ396" s="21"/>
      <c r="CK396" s="21"/>
      <c r="CL396" s="21"/>
      <c r="CM396" s="21"/>
      <c r="CN396" s="21"/>
      <c r="CO396" s="21"/>
      <c r="CP396" s="21"/>
      <c r="CQ396" s="21"/>
      <c r="CR396" s="21"/>
      <c r="CS396" s="21"/>
      <c r="CT396" s="21"/>
      <c r="CU396" s="21"/>
      <c r="CV396" s="21"/>
      <c r="CW396" s="21"/>
      <c r="CX396" s="21"/>
      <c r="CY396" s="21"/>
      <c r="CZ396" s="21"/>
      <c r="DA396" s="21"/>
      <c r="DB396" s="21"/>
      <c r="DC396" s="21"/>
      <c r="DD396" s="21"/>
      <c r="DE396" s="21"/>
      <c r="DF396" s="21"/>
    </row>
    <row r="397" spans="1:110" s="16" customFormat="1" x14ac:dyDescent="0.3">
      <c r="A397" s="21" t="s">
        <v>32</v>
      </c>
      <c r="B397" s="21" t="s">
        <v>190</v>
      </c>
      <c r="C397" s="21" t="s">
        <v>562</v>
      </c>
      <c r="D397" s="42">
        <f>(D246*inputs!$E$76)/(inputs!$E$31)^inputs!E105</f>
        <v>0</v>
      </c>
      <c r="E397" s="21" t="str">
        <f t="shared" ca="1" si="6"/>
        <v>=(D246*inputs!$E$76)/(inputs!$E$31)^inputs!E105</v>
      </c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  <c r="CA397" s="21"/>
      <c r="CB397" s="21"/>
      <c r="CC397" s="21"/>
      <c r="CD397" s="21"/>
      <c r="CE397" s="21"/>
      <c r="CF397" s="21"/>
      <c r="CG397" s="21"/>
      <c r="CH397" s="21"/>
      <c r="CI397" s="21"/>
      <c r="CJ397" s="21"/>
      <c r="CK397" s="21"/>
      <c r="CL397" s="21"/>
      <c r="CM397" s="21"/>
      <c r="CN397" s="21"/>
      <c r="CO397" s="21"/>
      <c r="CP397" s="21"/>
      <c r="CQ397" s="21"/>
      <c r="CR397" s="21"/>
      <c r="CS397" s="21"/>
      <c r="CT397" s="21"/>
      <c r="CU397" s="21"/>
      <c r="CV397" s="21"/>
      <c r="CW397" s="21"/>
      <c r="CX397" s="21"/>
      <c r="CY397" s="21"/>
      <c r="CZ397" s="21"/>
      <c r="DA397" s="21"/>
      <c r="DB397" s="21"/>
      <c r="DC397" s="21"/>
      <c r="DD397" s="21"/>
      <c r="DE397" s="21"/>
      <c r="DF397" s="21"/>
    </row>
    <row r="398" spans="1:110" s="16" customFormat="1" x14ac:dyDescent="0.3">
      <c r="A398" s="21" t="s">
        <v>32</v>
      </c>
      <c r="B398" s="21" t="s">
        <v>190</v>
      </c>
      <c r="C398" s="21" t="s">
        <v>563</v>
      </c>
      <c r="D398" s="42">
        <f>(D247*inputs!$E$76)/(inputs!$E$31)^inputs!E106</f>
        <v>0</v>
      </c>
      <c r="E398" s="21" t="str">
        <f t="shared" ca="1" si="6"/>
        <v>=(D247*inputs!$E$76)/(inputs!$E$31)^inputs!E106</v>
      </c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  <c r="CA398" s="21"/>
      <c r="CB398" s="21"/>
      <c r="CC398" s="21"/>
      <c r="CD398" s="21"/>
      <c r="CE398" s="21"/>
      <c r="CF398" s="21"/>
      <c r="CG398" s="21"/>
      <c r="CH398" s="21"/>
      <c r="CI398" s="21"/>
      <c r="CJ398" s="21"/>
      <c r="CK398" s="21"/>
      <c r="CL398" s="21"/>
      <c r="CM398" s="21"/>
      <c r="CN398" s="21"/>
      <c r="CO398" s="21"/>
      <c r="CP398" s="21"/>
      <c r="CQ398" s="21"/>
      <c r="CR398" s="21"/>
      <c r="CS398" s="21"/>
      <c r="CT398" s="21"/>
      <c r="CU398" s="21"/>
      <c r="CV398" s="21"/>
      <c r="CW398" s="21"/>
      <c r="CX398" s="21"/>
      <c r="CY398" s="21"/>
      <c r="CZ398" s="21"/>
      <c r="DA398" s="21"/>
      <c r="DB398" s="21"/>
      <c r="DC398" s="21"/>
      <c r="DD398" s="21"/>
      <c r="DE398" s="21"/>
      <c r="DF398" s="21"/>
    </row>
    <row r="399" spans="1:110" s="16" customFormat="1" x14ac:dyDescent="0.3">
      <c r="A399" s="21" t="s">
        <v>32</v>
      </c>
      <c r="B399" s="21" t="s">
        <v>190</v>
      </c>
      <c r="C399" s="21" t="s">
        <v>564</v>
      </c>
      <c r="D399" s="42">
        <f>(D248*inputs!$E$76)/(inputs!$E$31)^inputs!E107</f>
        <v>0</v>
      </c>
      <c r="E399" s="21" t="str">
        <f t="shared" ca="1" si="6"/>
        <v>=(D248*inputs!$E$76)/(inputs!$E$31)^inputs!E107</v>
      </c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  <c r="CA399" s="21"/>
      <c r="CB399" s="21"/>
      <c r="CC399" s="21"/>
      <c r="CD399" s="21"/>
      <c r="CE399" s="21"/>
      <c r="CF399" s="21"/>
      <c r="CG399" s="21"/>
      <c r="CH399" s="21"/>
      <c r="CI399" s="21"/>
      <c r="CJ399" s="21"/>
      <c r="CK399" s="21"/>
      <c r="CL399" s="21"/>
      <c r="CM399" s="21"/>
      <c r="CN399" s="21"/>
      <c r="CO399" s="21"/>
      <c r="CP399" s="21"/>
      <c r="CQ399" s="21"/>
      <c r="CR399" s="21"/>
      <c r="CS399" s="21"/>
      <c r="CT399" s="21"/>
      <c r="CU399" s="21"/>
      <c r="CV399" s="21"/>
      <c r="CW399" s="21"/>
      <c r="CX399" s="21"/>
      <c r="CY399" s="21"/>
      <c r="CZ399" s="21"/>
      <c r="DA399" s="21"/>
      <c r="DB399" s="21"/>
      <c r="DC399" s="21"/>
      <c r="DD399" s="21"/>
      <c r="DE399" s="21"/>
      <c r="DF399" s="21"/>
    </row>
    <row r="400" spans="1:110" s="16" customFormat="1" x14ac:dyDescent="0.3">
      <c r="A400" s="21" t="s">
        <v>32</v>
      </c>
      <c r="B400" s="21" t="s">
        <v>190</v>
      </c>
      <c r="C400" s="21" t="s">
        <v>565</v>
      </c>
      <c r="D400" s="42">
        <f>(D249*inputs!$E$76)/(inputs!$E$31)^inputs!E108</f>
        <v>0</v>
      </c>
      <c r="E400" s="21" t="str">
        <f t="shared" ca="1" si="6"/>
        <v>=(D249*inputs!$E$76)/(inputs!$E$31)^inputs!E108</v>
      </c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  <c r="AT400" s="21"/>
      <c r="AU400" s="21"/>
      <c r="AV400" s="21"/>
      <c r="AW400" s="21"/>
      <c r="AX400" s="21"/>
      <c r="AY400" s="21"/>
      <c r="AZ400" s="21"/>
      <c r="BA400" s="21"/>
      <c r="BB400" s="21"/>
      <c r="BC400" s="21"/>
      <c r="BD400" s="21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  <c r="BO400" s="21"/>
      <c r="BP400" s="21"/>
      <c r="BQ400" s="21"/>
      <c r="BR400" s="21"/>
      <c r="BS400" s="21"/>
      <c r="BT400" s="21"/>
      <c r="BU400" s="21"/>
      <c r="BV400" s="21"/>
      <c r="BW400" s="21"/>
      <c r="BX400" s="21"/>
      <c r="BY400" s="21"/>
      <c r="BZ400" s="21"/>
      <c r="CA400" s="21"/>
      <c r="CB400" s="21"/>
      <c r="CC400" s="21"/>
      <c r="CD400" s="21"/>
      <c r="CE400" s="21"/>
      <c r="CF400" s="21"/>
      <c r="CG400" s="21"/>
      <c r="CH400" s="21"/>
      <c r="CI400" s="21"/>
      <c r="CJ400" s="21"/>
      <c r="CK400" s="21"/>
      <c r="CL400" s="21"/>
      <c r="CM400" s="21"/>
      <c r="CN400" s="21"/>
      <c r="CO400" s="21"/>
      <c r="CP400" s="21"/>
      <c r="CQ400" s="21"/>
      <c r="CR400" s="21"/>
      <c r="CS400" s="21"/>
      <c r="CT400" s="21"/>
      <c r="CU400" s="21"/>
      <c r="CV400" s="21"/>
      <c r="CW400" s="21"/>
      <c r="CX400" s="21"/>
      <c r="CY400" s="21"/>
      <c r="CZ400" s="21"/>
      <c r="DA400" s="21"/>
      <c r="DB400" s="21"/>
      <c r="DC400" s="21"/>
      <c r="DD400" s="21"/>
      <c r="DE400" s="21"/>
      <c r="DF400" s="21"/>
    </row>
    <row r="401" spans="1:110" s="16" customFormat="1" x14ac:dyDescent="0.3">
      <c r="A401" s="21" t="s">
        <v>32</v>
      </c>
      <c r="B401" s="21" t="s">
        <v>190</v>
      </c>
      <c r="C401" s="21" t="s">
        <v>566</v>
      </c>
      <c r="D401" s="42">
        <f>(D250*inputs!$E$76)/(inputs!$E$31)^inputs!E109</f>
        <v>0</v>
      </c>
      <c r="E401" s="21" t="str">
        <f t="shared" ca="1" si="6"/>
        <v>=(D250*inputs!$E$76)/(inputs!$E$31)^inputs!E109</v>
      </c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  <c r="AT401" s="21"/>
      <c r="AU401" s="21"/>
      <c r="AV401" s="21"/>
      <c r="AW401" s="21"/>
      <c r="AX401" s="21"/>
      <c r="AY401" s="21"/>
      <c r="AZ401" s="21"/>
      <c r="BA401" s="21"/>
      <c r="BB401" s="21"/>
      <c r="BC401" s="21"/>
      <c r="BD401" s="21"/>
      <c r="BE401" s="21"/>
      <c r="BF401" s="21"/>
      <c r="BG401" s="21"/>
      <c r="BH401" s="21"/>
      <c r="BI401" s="21"/>
      <c r="BJ401" s="21"/>
      <c r="BK401" s="21"/>
      <c r="BL401" s="21"/>
      <c r="BM401" s="21"/>
      <c r="BN401" s="21"/>
      <c r="BO401" s="21"/>
      <c r="BP401" s="21"/>
      <c r="BQ401" s="21"/>
      <c r="BR401" s="21"/>
      <c r="BS401" s="21"/>
      <c r="BT401" s="21"/>
      <c r="BU401" s="21"/>
      <c r="BV401" s="21"/>
      <c r="BW401" s="21"/>
      <c r="BX401" s="21"/>
      <c r="BY401" s="21"/>
      <c r="BZ401" s="21"/>
      <c r="CA401" s="21"/>
      <c r="CB401" s="21"/>
      <c r="CC401" s="21"/>
      <c r="CD401" s="21"/>
      <c r="CE401" s="21"/>
      <c r="CF401" s="21"/>
      <c r="CG401" s="21"/>
      <c r="CH401" s="21"/>
      <c r="CI401" s="21"/>
      <c r="CJ401" s="21"/>
      <c r="CK401" s="21"/>
      <c r="CL401" s="21"/>
      <c r="CM401" s="21"/>
      <c r="CN401" s="21"/>
      <c r="CO401" s="21"/>
      <c r="CP401" s="21"/>
      <c r="CQ401" s="21"/>
      <c r="CR401" s="21"/>
      <c r="CS401" s="21"/>
      <c r="CT401" s="21"/>
      <c r="CU401" s="21"/>
      <c r="CV401" s="21"/>
      <c r="CW401" s="21"/>
      <c r="CX401" s="21"/>
      <c r="CY401" s="21"/>
      <c r="CZ401" s="21"/>
      <c r="DA401" s="21"/>
      <c r="DB401" s="21"/>
      <c r="DC401" s="21"/>
      <c r="DD401" s="21"/>
      <c r="DE401" s="21"/>
      <c r="DF401" s="21"/>
    </row>
    <row r="402" spans="1:110" s="16" customFormat="1" x14ac:dyDescent="0.3">
      <c r="A402" s="21" t="s">
        <v>32</v>
      </c>
      <c r="B402" s="21" t="s">
        <v>190</v>
      </c>
      <c r="C402" s="21" t="s">
        <v>567</v>
      </c>
      <c r="D402" s="42">
        <f>(D251*inputs!$E$76)/(inputs!$E$31)^inputs!E110</f>
        <v>0</v>
      </c>
      <c r="E402" s="21" t="str">
        <f t="shared" ca="1" si="6"/>
        <v>=(D251*inputs!$E$76)/(inputs!$E$31)^inputs!E110</v>
      </c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  <c r="AT402" s="21"/>
      <c r="AU402" s="21"/>
      <c r="AV402" s="21"/>
      <c r="AW402" s="21"/>
      <c r="AX402" s="21"/>
      <c r="AY402" s="21"/>
      <c r="AZ402" s="21"/>
      <c r="BA402" s="21"/>
      <c r="BB402" s="21"/>
      <c r="BC402" s="21"/>
      <c r="BD402" s="21"/>
      <c r="BE402" s="21"/>
      <c r="BF402" s="21"/>
      <c r="BG402" s="21"/>
      <c r="BH402" s="21"/>
      <c r="BI402" s="21"/>
      <c r="BJ402" s="21"/>
      <c r="BK402" s="21"/>
      <c r="BL402" s="21"/>
      <c r="BM402" s="21"/>
      <c r="BN402" s="21"/>
      <c r="BO402" s="21"/>
      <c r="BP402" s="21"/>
      <c r="BQ402" s="21"/>
      <c r="BR402" s="21"/>
      <c r="BS402" s="21"/>
      <c r="BT402" s="21"/>
      <c r="BU402" s="21"/>
      <c r="BV402" s="21"/>
      <c r="BW402" s="21"/>
      <c r="BX402" s="21"/>
      <c r="BY402" s="21"/>
      <c r="BZ402" s="21"/>
      <c r="CA402" s="21"/>
      <c r="CB402" s="21"/>
      <c r="CC402" s="21"/>
      <c r="CD402" s="21"/>
      <c r="CE402" s="21"/>
      <c r="CF402" s="21"/>
      <c r="CG402" s="21"/>
      <c r="CH402" s="21"/>
      <c r="CI402" s="21"/>
      <c r="CJ402" s="21"/>
      <c r="CK402" s="21"/>
      <c r="CL402" s="21"/>
      <c r="CM402" s="21"/>
      <c r="CN402" s="21"/>
      <c r="CO402" s="21"/>
      <c r="CP402" s="21"/>
      <c r="CQ402" s="21"/>
      <c r="CR402" s="21"/>
      <c r="CS402" s="21"/>
      <c r="CT402" s="21"/>
      <c r="CU402" s="21"/>
      <c r="CV402" s="21"/>
      <c r="CW402" s="21"/>
      <c r="CX402" s="21"/>
      <c r="CY402" s="21"/>
      <c r="CZ402" s="21"/>
      <c r="DA402" s="21"/>
      <c r="DB402" s="21"/>
      <c r="DC402" s="21"/>
      <c r="DD402" s="21"/>
      <c r="DE402" s="21"/>
      <c r="DF402" s="21"/>
    </row>
    <row r="403" spans="1:110" s="16" customFormat="1" x14ac:dyDescent="0.3">
      <c r="A403" s="21" t="s">
        <v>32</v>
      </c>
      <c r="B403" s="21" t="s">
        <v>190</v>
      </c>
      <c r="C403" s="21" t="s">
        <v>568</v>
      </c>
      <c r="D403" s="42">
        <f>(D252*inputs!$E$76)/(inputs!$E$31)^inputs!E111</f>
        <v>0</v>
      </c>
      <c r="E403" s="21" t="str">
        <f t="shared" ca="1" si="6"/>
        <v>=(D252*inputs!$E$76)/(inputs!$E$31)^inputs!E111</v>
      </c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  <c r="AT403" s="21"/>
      <c r="AU403" s="21"/>
      <c r="AV403" s="21"/>
      <c r="AW403" s="21"/>
      <c r="AX403" s="21"/>
      <c r="AY403" s="21"/>
      <c r="AZ403" s="21"/>
      <c r="BA403" s="21"/>
      <c r="BB403" s="21"/>
      <c r="BC403" s="21"/>
      <c r="BD403" s="21"/>
      <c r="BE403" s="21"/>
      <c r="BF403" s="21"/>
      <c r="BG403" s="21"/>
      <c r="BH403" s="21"/>
      <c r="BI403" s="21"/>
      <c r="BJ403" s="21"/>
      <c r="BK403" s="21"/>
      <c r="BL403" s="21"/>
      <c r="BM403" s="21"/>
      <c r="BN403" s="21"/>
      <c r="BO403" s="21"/>
      <c r="BP403" s="21"/>
      <c r="BQ403" s="21"/>
      <c r="BR403" s="21"/>
      <c r="BS403" s="21"/>
      <c r="BT403" s="21"/>
      <c r="BU403" s="21"/>
      <c r="BV403" s="21"/>
      <c r="BW403" s="21"/>
      <c r="BX403" s="21"/>
      <c r="BY403" s="21"/>
      <c r="BZ403" s="21"/>
      <c r="CA403" s="21"/>
      <c r="CB403" s="21"/>
      <c r="CC403" s="21"/>
      <c r="CD403" s="21"/>
      <c r="CE403" s="21"/>
      <c r="CF403" s="21"/>
      <c r="CG403" s="21"/>
      <c r="CH403" s="21"/>
      <c r="CI403" s="21"/>
      <c r="CJ403" s="21"/>
      <c r="CK403" s="21"/>
      <c r="CL403" s="21"/>
      <c r="CM403" s="21"/>
      <c r="CN403" s="21"/>
      <c r="CO403" s="21"/>
      <c r="CP403" s="21"/>
      <c r="CQ403" s="21"/>
      <c r="CR403" s="21"/>
      <c r="CS403" s="21"/>
      <c r="CT403" s="21"/>
      <c r="CU403" s="21"/>
      <c r="CV403" s="21"/>
      <c r="CW403" s="21"/>
      <c r="CX403" s="21"/>
      <c r="CY403" s="21"/>
      <c r="CZ403" s="21"/>
      <c r="DA403" s="21"/>
      <c r="DB403" s="21"/>
      <c r="DC403" s="21"/>
      <c r="DD403" s="21"/>
      <c r="DE403" s="21"/>
      <c r="DF403" s="21"/>
    </row>
    <row r="404" spans="1:110" s="16" customFormat="1" x14ac:dyDescent="0.3">
      <c r="A404" s="21" t="s">
        <v>32</v>
      </c>
      <c r="B404" s="21" t="s">
        <v>190</v>
      </c>
      <c r="C404" s="21" t="s">
        <v>569</v>
      </c>
      <c r="D404" s="42">
        <f>(D253*inputs!$E$76)/(inputs!$E$31)^inputs!E112</f>
        <v>0</v>
      </c>
      <c r="E404" s="21" t="str">
        <f t="shared" ca="1" si="6"/>
        <v>=(D253*inputs!$E$76)/(inputs!$E$31)^inputs!E112</v>
      </c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  <c r="AT404" s="21"/>
      <c r="AU404" s="21"/>
      <c r="AV404" s="21"/>
      <c r="AW404" s="21"/>
      <c r="AX404" s="21"/>
      <c r="AY404" s="21"/>
      <c r="AZ404" s="21"/>
      <c r="BA404" s="21"/>
      <c r="BB404" s="21"/>
      <c r="BC404" s="21"/>
      <c r="BD404" s="21"/>
      <c r="BE404" s="21"/>
      <c r="BF404" s="21"/>
      <c r="BG404" s="21"/>
      <c r="BH404" s="21"/>
      <c r="BI404" s="21"/>
      <c r="BJ404" s="21"/>
      <c r="BK404" s="21"/>
      <c r="BL404" s="21"/>
      <c r="BM404" s="21"/>
      <c r="BN404" s="21"/>
      <c r="BO404" s="21"/>
      <c r="BP404" s="21"/>
      <c r="BQ404" s="21"/>
      <c r="BR404" s="21"/>
      <c r="BS404" s="21"/>
      <c r="BT404" s="21"/>
      <c r="BU404" s="21"/>
      <c r="BV404" s="21"/>
      <c r="BW404" s="21"/>
      <c r="BX404" s="21"/>
      <c r="BY404" s="21"/>
      <c r="BZ404" s="21"/>
      <c r="CA404" s="21"/>
      <c r="CB404" s="21"/>
      <c r="CC404" s="21"/>
      <c r="CD404" s="21"/>
      <c r="CE404" s="21"/>
      <c r="CF404" s="21"/>
      <c r="CG404" s="21"/>
      <c r="CH404" s="21"/>
      <c r="CI404" s="21"/>
      <c r="CJ404" s="21"/>
      <c r="CK404" s="21"/>
      <c r="CL404" s="21"/>
      <c r="CM404" s="21"/>
      <c r="CN404" s="21"/>
      <c r="CO404" s="21"/>
      <c r="CP404" s="21"/>
      <c r="CQ404" s="21"/>
      <c r="CR404" s="21"/>
      <c r="CS404" s="21"/>
      <c r="CT404" s="21"/>
      <c r="CU404" s="21"/>
      <c r="CV404" s="21"/>
      <c r="CW404" s="21"/>
      <c r="CX404" s="21"/>
      <c r="CY404" s="21"/>
      <c r="CZ404" s="21"/>
      <c r="DA404" s="21"/>
      <c r="DB404" s="21"/>
      <c r="DC404" s="21"/>
      <c r="DD404" s="21"/>
      <c r="DE404" s="21"/>
      <c r="DF404" s="21"/>
    </row>
    <row r="405" spans="1:110" s="16" customFormat="1" x14ac:dyDescent="0.3">
      <c r="A405" s="21" t="s">
        <v>32</v>
      </c>
      <c r="B405" s="21" t="s">
        <v>190</v>
      </c>
      <c r="C405" s="21" t="s">
        <v>570</v>
      </c>
      <c r="D405" s="42">
        <f>(D254*inputs!$E$76)/(inputs!$E$31)^inputs!E113</f>
        <v>0</v>
      </c>
      <c r="E405" s="21" t="str">
        <f t="shared" ca="1" si="6"/>
        <v>=(D254*inputs!$E$76)/(inputs!$E$31)^inputs!E113</v>
      </c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  <c r="AT405" s="21"/>
      <c r="AU405" s="21"/>
      <c r="AV405" s="21"/>
      <c r="AW405" s="21"/>
      <c r="AX405" s="21"/>
      <c r="AY405" s="21"/>
      <c r="AZ405" s="21"/>
      <c r="BA405" s="21"/>
      <c r="BB405" s="21"/>
      <c r="BC405" s="21"/>
      <c r="BD405" s="21"/>
      <c r="BE405" s="21"/>
      <c r="BF405" s="21"/>
      <c r="BG405" s="21"/>
      <c r="BH405" s="21"/>
      <c r="BI405" s="21"/>
      <c r="BJ405" s="21"/>
      <c r="BK405" s="21"/>
      <c r="BL405" s="21"/>
      <c r="BM405" s="21"/>
      <c r="BN405" s="21"/>
      <c r="BO405" s="21"/>
      <c r="BP405" s="21"/>
      <c r="BQ405" s="21"/>
      <c r="BR405" s="21"/>
      <c r="BS405" s="21"/>
      <c r="BT405" s="21"/>
      <c r="BU405" s="21"/>
      <c r="BV405" s="21"/>
      <c r="BW405" s="21"/>
      <c r="BX405" s="21"/>
      <c r="BY405" s="21"/>
      <c r="BZ405" s="21"/>
      <c r="CA405" s="21"/>
      <c r="CB405" s="21"/>
      <c r="CC405" s="21"/>
      <c r="CD405" s="21"/>
      <c r="CE405" s="21"/>
      <c r="CF405" s="21"/>
      <c r="CG405" s="21"/>
      <c r="CH405" s="21"/>
      <c r="CI405" s="21"/>
      <c r="CJ405" s="21"/>
      <c r="CK405" s="21"/>
      <c r="CL405" s="21"/>
      <c r="CM405" s="21"/>
      <c r="CN405" s="21"/>
      <c r="CO405" s="21"/>
      <c r="CP405" s="21"/>
      <c r="CQ405" s="21"/>
      <c r="CR405" s="21"/>
      <c r="CS405" s="21"/>
      <c r="CT405" s="21"/>
      <c r="CU405" s="21"/>
      <c r="CV405" s="21"/>
      <c r="CW405" s="21"/>
      <c r="CX405" s="21"/>
      <c r="CY405" s="21"/>
      <c r="CZ405" s="21"/>
      <c r="DA405" s="21"/>
      <c r="DB405" s="21"/>
      <c r="DC405" s="21"/>
      <c r="DD405" s="21"/>
      <c r="DE405" s="21"/>
      <c r="DF405" s="21"/>
    </row>
    <row r="406" spans="1:110" s="16" customFormat="1" x14ac:dyDescent="0.3">
      <c r="A406" s="21" t="s">
        <v>32</v>
      </c>
      <c r="B406" s="21" t="s">
        <v>190</v>
      </c>
      <c r="C406" s="21" t="s">
        <v>571</v>
      </c>
      <c r="D406" s="42">
        <f>(D255*inputs!$E$76)/(inputs!$E$31)^inputs!E114</f>
        <v>0</v>
      </c>
      <c r="E406" s="21" t="str">
        <f t="shared" ca="1" si="6"/>
        <v>=(D255*inputs!$E$76)/(inputs!$E$31)^inputs!E114</v>
      </c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  <c r="AT406" s="21"/>
      <c r="AU406" s="21"/>
      <c r="AV406" s="21"/>
      <c r="AW406" s="21"/>
      <c r="AX406" s="21"/>
      <c r="AY406" s="21"/>
      <c r="AZ406" s="21"/>
      <c r="BA406" s="21"/>
      <c r="BB406" s="21"/>
      <c r="BC406" s="21"/>
      <c r="BD406" s="21"/>
      <c r="BE406" s="21"/>
      <c r="BF406" s="21"/>
      <c r="BG406" s="21"/>
      <c r="BH406" s="21"/>
      <c r="BI406" s="21"/>
      <c r="BJ406" s="21"/>
      <c r="BK406" s="21"/>
      <c r="BL406" s="21"/>
      <c r="BM406" s="21"/>
      <c r="BN406" s="21"/>
      <c r="BO406" s="21"/>
      <c r="BP406" s="21"/>
      <c r="BQ406" s="21"/>
      <c r="BR406" s="21"/>
      <c r="BS406" s="21"/>
      <c r="BT406" s="21"/>
      <c r="BU406" s="21"/>
      <c r="BV406" s="21"/>
      <c r="BW406" s="21"/>
      <c r="BX406" s="21"/>
      <c r="BY406" s="21"/>
      <c r="BZ406" s="21"/>
      <c r="CA406" s="21"/>
      <c r="CB406" s="21"/>
      <c r="CC406" s="21"/>
      <c r="CD406" s="21"/>
      <c r="CE406" s="21"/>
      <c r="CF406" s="21"/>
      <c r="CG406" s="21"/>
      <c r="CH406" s="21"/>
      <c r="CI406" s="21"/>
      <c r="CJ406" s="21"/>
      <c r="CK406" s="21"/>
      <c r="CL406" s="21"/>
      <c r="CM406" s="21"/>
      <c r="CN406" s="21"/>
      <c r="CO406" s="21"/>
      <c r="CP406" s="21"/>
      <c r="CQ406" s="21"/>
      <c r="CR406" s="21"/>
      <c r="CS406" s="21"/>
      <c r="CT406" s="21"/>
      <c r="CU406" s="21"/>
      <c r="CV406" s="21"/>
      <c r="CW406" s="21"/>
      <c r="CX406" s="21"/>
      <c r="CY406" s="21"/>
      <c r="CZ406" s="21"/>
      <c r="DA406" s="21"/>
      <c r="DB406" s="21"/>
      <c r="DC406" s="21"/>
      <c r="DD406" s="21"/>
      <c r="DE406" s="21"/>
      <c r="DF406" s="21"/>
    </row>
    <row r="407" spans="1:110" s="16" customFormat="1" x14ac:dyDescent="0.3">
      <c r="A407" s="21" t="s">
        <v>32</v>
      </c>
      <c r="B407" s="21" t="s">
        <v>190</v>
      </c>
      <c r="C407" s="21" t="s">
        <v>572</v>
      </c>
      <c r="D407" s="42">
        <f>(D256*inputs!$E$76)/(inputs!$E$31)^inputs!E115</f>
        <v>0</v>
      </c>
      <c r="E407" s="21" t="str">
        <f t="shared" ca="1" si="6"/>
        <v>=(D256*inputs!$E$76)/(inputs!$E$31)^inputs!E115</v>
      </c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  <c r="AT407" s="21"/>
      <c r="AU407" s="21"/>
      <c r="AV407" s="21"/>
      <c r="AW407" s="21"/>
      <c r="AX407" s="21"/>
      <c r="AY407" s="21"/>
      <c r="AZ407" s="21"/>
      <c r="BA407" s="21"/>
      <c r="BB407" s="21"/>
      <c r="BC407" s="21"/>
      <c r="BD407" s="21"/>
      <c r="BE407" s="21"/>
      <c r="BF407" s="21"/>
      <c r="BG407" s="21"/>
      <c r="BH407" s="21"/>
      <c r="BI407" s="21"/>
      <c r="BJ407" s="21"/>
      <c r="BK407" s="21"/>
      <c r="BL407" s="21"/>
      <c r="BM407" s="21"/>
      <c r="BN407" s="21"/>
      <c r="BO407" s="21"/>
      <c r="BP407" s="21"/>
      <c r="BQ407" s="21"/>
      <c r="BR407" s="21"/>
      <c r="BS407" s="21"/>
      <c r="BT407" s="21"/>
      <c r="BU407" s="21"/>
      <c r="BV407" s="21"/>
      <c r="BW407" s="21"/>
      <c r="BX407" s="21"/>
      <c r="BY407" s="21"/>
      <c r="BZ407" s="21"/>
      <c r="CA407" s="21"/>
      <c r="CB407" s="21"/>
      <c r="CC407" s="21"/>
      <c r="CD407" s="21"/>
      <c r="CE407" s="21"/>
      <c r="CF407" s="21"/>
      <c r="CG407" s="21"/>
      <c r="CH407" s="21"/>
      <c r="CI407" s="21"/>
      <c r="CJ407" s="21"/>
      <c r="CK407" s="21"/>
      <c r="CL407" s="21"/>
      <c r="CM407" s="21"/>
      <c r="CN407" s="21"/>
      <c r="CO407" s="21"/>
      <c r="CP407" s="21"/>
      <c r="CQ407" s="21"/>
      <c r="CR407" s="21"/>
      <c r="CS407" s="21"/>
      <c r="CT407" s="21"/>
      <c r="CU407" s="21"/>
      <c r="CV407" s="21"/>
      <c r="CW407" s="21"/>
      <c r="CX407" s="21"/>
      <c r="CY407" s="21"/>
      <c r="CZ407" s="21"/>
      <c r="DA407" s="21"/>
      <c r="DB407" s="21"/>
      <c r="DC407" s="21"/>
      <c r="DD407" s="21"/>
      <c r="DE407" s="21"/>
      <c r="DF407" s="21"/>
    </row>
    <row r="408" spans="1:110" s="16" customFormat="1" x14ac:dyDescent="0.3">
      <c r="A408" s="21" t="s">
        <v>32</v>
      </c>
      <c r="B408" s="21" t="s">
        <v>190</v>
      </c>
      <c r="C408" s="21" t="s">
        <v>573</v>
      </c>
      <c r="D408" s="42">
        <f>(D257*inputs!$E$76)/(inputs!$E$31)^inputs!E116</f>
        <v>0</v>
      </c>
      <c r="E408" s="21" t="str">
        <f t="shared" ref="E408:E471" ca="1" si="7">_xlfn.FORMULATEXT(D408)</f>
        <v>=(D257*inputs!$E$76)/(inputs!$E$31)^inputs!E116</v>
      </c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  <c r="AT408" s="21"/>
      <c r="AU408" s="21"/>
      <c r="AV408" s="21"/>
      <c r="AW408" s="21"/>
      <c r="AX408" s="21"/>
      <c r="AY408" s="21"/>
      <c r="AZ408" s="21"/>
      <c r="BA408" s="21"/>
      <c r="BB408" s="21"/>
      <c r="BC408" s="21"/>
      <c r="BD408" s="21"/>
      <c r="BE408" s="21"/>
      <c r="BF408" s="21"/>
      <c r="BG408" s="21"/>
      <c r="BH408" s="21"/>
      <c r="BI408" s="21"/>
      <c r="BJ408" s="21"/>
      <c r="BK408" s="21"/>
      <c r="BL408" s="21"/>
      <c r="BM408" s="21"/>
      <c r="BN408" s="21"/>
      <c r="BO408" s="21"/>
      <c r="BP408" s="21"/>
      <c r="BQ408" s="21"/>
      <c r="BR408" s="21"/>
      <c r="BS408" s="21"/>
      <c r="BT408" s="21"/>
      <c r="BU408" s="21"/>
      <c r="BV408" s="21"/>
      <c r="BW408" s="21"/>
      <c r="BX408" s="21"/>
      <c r="BY408" s="21"/>
      <c r="BZ408" s="21"/>
      <c r="CA408" s="21"/>
      <c r="CB408" s="21"/>
      <c r="CC408" s="21"/>
      <c r="CD408" s="21"/>
      <c r="CE408" s="21"/>
      <c r="CF408" s="21"/>
      <c r="CG408" s="21"/>
      <c r="CH408" s="21"/>
      <c r="CI408" s="21"/>
      <c r="CJ408" s="21"/>
      <c r="CK408" s="21"/>
      <c r="CL408" s="21"/>
      <c r="CM408" s="21"/>
      <c r="CN408" s="21"/>
      <c r="CO408" s="21"/>
      <c r="CP408" s="21"/>
      <c r="CQ408" s="21"/>
      <c r="CR408" s="21"/>
      <c r="CS408" s="21"/>
      <c r="CT408" s="21"/>
      <c r="CU408" s="21"/>
      <c r="CV408" s="21"/>
      <c r="CW408" s="21"/>
      <c r="CX408" s="21"/>
      <c r="CY408" s="21"/>
      <c r="CZ408" s="21"/>
      <c r="DA408" s="21"/>
      <c r="DB408" s="21"/>
      <c r="DC408" s="21"/>
      <c r="DD408" s="21"/>
      <c r="DE408" s="21"/>
      <c r="DF408" s="21"/>
    </row>
    <row r="409" spans="1:110" s="16" customFormat="1" x14ac:dyDescent="0.3">
      <c r="A409" s="21" t="s">
        <v>32</v>
      </c>
      <c r="B409" s="21" t="s">
        <v>190</v>
      </c>
      <c r="C409" s="21" t="s">
        <v>574</v>
      </c>
      <c r="D409" s="42">
        <f>(D258*inputs!$E$76)/(inputs!$E$31)^inputs!E117</f>
        <v>0</v>
      </c>
      <c r="E409" s="21" t="str">
        <f t="shared" ca="1" si="7"/>
        <v>=(D258*inputs!$E$76)/(inputs!$E$31)^inputs!E117</v>
      </c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  <c r="AT409" s="21"/>
      <c r="AU409" s="21"/>
      <c r="AV409" s="21"/>
      <c r="AW409" s="21"/>
      <c r="AX409" s="21"/>
      <c r="AY409" s="21"/>
      <c r="AZ409" s="21"/>
      <c r="BA409" s="21"/>
      <c r="BB409" s="21"/>
      <c r="BC409" s="21"/>
      <c r="BD409" s="21"/>
      <c r="BE409" s="21"/>
      <c r="BF409" s="21"/>
      <c r="BG409" s="21"/>
      <c r="BH409" s="21"/>
      <c r="BI409" s="21"/>
      <c r="BJ409" s="21"/>
      <c r="BK409" s="21"/>
      <c r="BL409" s="21"/>
      <c r="BM409" s="21"/>
      <c r="BN409" s="21"/>
      <c r="BO409" s="21"/>
      <c r="BP409" s="21"/>
      <c r="BQ409" s="21"/>
      <c r="BR409" s="21"/>
      <c r="BS409" s="21"/>
      <c r="BT409" s="21"/>
      <c r="BU409" s="21"/>
      <c r="BV409" s="21"/>
      <c r="BW409" s="21"/>
      <c r="BX409" s="21"/>
      <c r="BY409" s="21"/>
      <c r="BZ409" s="21"/>
      <c r="CA409" s="21"/>
      <c r="CB409" s="21"/>
      <c r="CC409" s="21"/>
      <c r="CD409" s="21"/>
      <c r="CE409" s="21"/>
      <c r="CF409" s="21"/>
      <c r="CG409" s="21"/>
      <c r="CH409" s="21"/>
      <c r="CI409" s="21"/>
      <c r="CJ409" s="21"/>
      <c r="CK409" s="21"/>
      <c r="CL409" s="21"/>
      <c r="CM409" s="21"/>
      <c r="CN409" s="21"/>
      <c r="CO409" s="21"/>
      <c r="CP409" s="21"/>
      <c r="CQ409" s="21"/>
      <c r="CR409" s="21"/>
      <c r="CS409" s="21"/>
      <c r="CT409" s="21"/>
      <c r="CU409" s="21"/>
      <c r="CV409" s="21"/>
      <c r="CW409" s="21"/>
      <c r="CX409" s="21"/>
      <c r="CY409" s="21"/>
      <c r="CZ409" s="21"/>
      <c r="DA409" s="21"/>
      <c r="DB409" s="21"/>
      <c r="DC409" s="21"/>
      <c r="DD409" s="21"/>
      <c r="DE409" s="21"/>
      <c r="DF409" s="21"/>
    </row>
    <row r="410" spans="1:110" s="16" customFormat="1" x14ac:dyDescent="0.3">
      <c r="A410" s="21" t="s">
        <v>32</v>
      </c>
      <c r="B410" s="21" t="s">
        <v>190</v>
      </c>
      <c r="C410" s="21" t="s">
        <v>575</v>
      </c>
      <c r="D410" s="42">
        <f>(D259*inputs!$E$76)/(inputs!$E$31)^inputs!E118</f>
        <v>0</v>
      </c>
      <c r="E410" s="21" t="str">
        <f t="shared" ca="1" si="7"/>
        <v>=(D259*inputs!$E$76)/(inputs!$E$31)^inputs!E118</v>
      </c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  <c r="AT410" s="21"/>
      <c r="AU410" s="21"/>
      <c r="AV410" s="21"/>
      <c r="AW410" s="21"/>
      <c r="AX410" s="21"/>
      <c r="AY410" s="21"/>
      <c r="AZ410" s="21"/>
      <c r="BA410" s="21"/>
      <c r="BB410" s="21"/>
      <c r="BC410" s="21"/>
      <c r="BD410" s="21"/>
      <c r="BE410" s="21"/>
      <c r="BF410" s="21"/>
      <c r="BG410" s="21"/>
      <c r="BH410" s="21"/>
      <c r="BI410" s="21"/>
      <c r="BJ410" s="21"/>
      <c r="BK410" s="21"/>
      <c r="BL410" s="21"/>
      <c r="BM410" s="21"/>
      <c r="BN410" s="21"/>
      <c r="BO410" s="21"/>
      <c r="BP410" s="21"/>
      <c r="BQ410" s="21"/>
      <c r="BR410" s="21"/>
      <c r="BS410" s="21"/>
      <c r="BT410" s="21"/>
      <c r="BU410" s="21"/>
      <c r="BV410" s="21"/>
      <c r="BW410" s="21"/>
      <c r="BX410" s="21"/>
      <c r="BY410" s="21"/>
      <c r="BZ410" s="21"/>
      <c r="CA410" s="21"/>
      <c r="CB410" s="21"/>
      <c r="CC410" s="21"/>
      <c r="CD410" s="21"/>
      <c r="CE410" s="21"/>
      <c r="CF410" s="21"/>
      <c r="CG410" s="21"/>
      <c r="CH410" s="21"/>
      <c r="CI410" s="21"/>
      <c r="CJ410" s="21"/>
      <c r="CK410" s="21"/>
      <c r="CL410" s="21"/>
      <c r="CM410" s="21"/>
      <c r="CN410" s="21"/>
      <c r="CO410" s="21"/>
      <c r="CP410" s="21"/>
      <c r="CQ410" s="21"/>
      <c r="CR410" s="21"/>
      <c r="CS410" s="21"/>
      <c r="CT410" s="21"/>
      <c r="CU410" s="21"/>
      <c r="CV410" s="21"/>
      <c r="CW410" s="21"/>
      <c r="CX410" s="21"/>
      <c r="CY410" s="21"/>
      <c r="CZ410" s="21"/>
      <c r="DA410" s="21"/>
      <c r="DB410" s="21"/>
      <c r="DC410" s="21"/>
      <c r="DD410" s="21"/>
      <c r="DE410" s="21"/>
      <c r="DF410" s="21"/>
    </row>
    <row r="411" spans="1:110" s="16" customFormat="1" x14ac:dyDescent="0.3">
      <c r="A411" s="21" t="s">
        <v>32</v>
      </c>
      <c r="B411" s="21" t="s">
        <v>190</v>
      </c>
      <c r="C411" s="21" t="s">
        <v>576</v>
      </c>
      <c r="D411" s="42">
        <f>(D260*inputs!$E$76)/(inputs!$E$31)^inputs!E119</f>
        <v>0</v>
      </c>
      <c r="E411" s="21" t="str">
        <f t="shared" ca="1" si="7"/>
        <v>=(D260*inputs!$E$76)/(inputs!$E$31)^inputs!E119</v>
      </c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  <c r="AT411" s="21"/>
      <c r="AU411" s="21"/>
      <c r="AV411" s="21"/>
      <c r="AW411" s="21"/>
      <c r="AX411" s="21"/>
      <c r="AY411" s="21"/>
      <c r="AZ411" s="21"/>
      <c r="BA411" s="21"/>
      <c r="BB411" s="21"/>
      <c r="BC411" s="21"/>
      <c r="BD411" s="21"/>
      <c r="BE411" s="21"/>
      <c r="BF411" s="21"/>
      <c r="BG411" s="21"/>
      <c r="BH411" s="21"/>
      <c r="BI411" s="21"/>
      <c r="BJ411" s="21"/>
      <c r="BK411" s="21"/>
      <c r="BL411" s="21"/>
      <c r="BM411" s="21"/>
      <c r="BN411" s="21"/>
      <c r="BO411" s="21"/>
      <c r="BP411" s="21"/>
      <c r="BQ411" s="21"/>
      <c r="BR411" s="21"/>
      <c r="BS411" s="21"/>
      <c r="BT411" s="21"/>
      <c r="BU411" s="21"/>
      <c r="BV411" s="21"/>
      <c r="BW411" s="21"/>
      <c r="BX411" s="21"/>
      <c r="BY411" s="21"/>
      <c r="BZ411" s="21"/>
      <c r="CA411" s="21"/>
      <c r="CB411" s="21"/>
      <c r="CC411" s="21"/>
      <c r="CD411" s="21"/>
      <c r="CE411" s="21"/>
      <c r="CF411" s="21"/>
      <c r="CG411" s="21"/>
      <c r="CH411" s="21"/>
      <c r="CI411" s="21"/>
      <c r="CJ411" s="21"/>
      <c r="CK411" s="21"/>
      <c r="CL411" s="21"/>
      <c r="CM411" s="21"/>
      <c r="CN411" s="21"/>
      <c r="CO411" s="21"/>
      <c r="CP411" s="21"/>
      <c r="CQ411" s="21"/>
      <c r="CR411" s="21"/>
      <c r="CS411" s="21"/>
      <c r="CT411" s="21"/>
      <c r="CU411" s="21"/>
      <c r="CV411" s="21"/>
      <c r="CW411" s="21"/>
      <c r="CX411" s="21"/>
      <c r="CY411" s="21"/>
      <c r="CZ411" s="21"/>
      <c r="DA411" s="21"/>
      <c r="DB411" s="21"/>
      <c r="DC411" s="21"/>
      <c r="DD411" s="21"/>
      <c r="DE411" s="21"/>
      <c r="DF411" s="21"/>
    </row>
    <row r="412" spans="1:110" s="16" customFormat="1" x14ac:dyDescent="0.3">
      <c r="A412" s="21" t="s">
        <v>32</v>
      </c>
      <c r="B412" s="21" t="s">
        <v>190</v>
      </c>
      <c r="C412" s="21" t="s">
        <v>577</v>
      </c>
      <c r="D412" s="42">
        <f>(D261*inputs!$E$76)/(inputs!$E$31)^inputs!E120</f>
        <v>0</v>
      </c>
      <c r="E412" s="21" t="str">
        <f t="shared" ca="1" si="7"/>
        <v>=(D261*inputs!$E$76)/(inputs!$E$31)^inputs!E120</v>
      </c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  <c r="AT412" s="21"/>
      <c r="AU412" s="21"/>
      <c r="AV412" s="21"/>
      <c r="AW412" s="21"/>
      <c r="AX412" s="21"/>
      <c r="AY412" s="21"/>
      <c r="AZ412" s="21"/>
      <c r="BA412" s="21"/>
      <c r="BB412" s="21"/>
      <c r="BC412" s="21"/>
      <c r="BD412" s="21"/>
      <c r="BE412" s="21"/>
      <c r="BF412" s="21"/>
      <c r="BG412" s="21"/>
      <c r="BH412" s="21"/>
      <c r="BI412" s="21"/>
      <c r="BJ412" s="21"/>
      <c r="BK412" s="21"/>
      <c r="BL412" s="21"/>
      <c r="BM412" s="21"/>
      <c r="BN412" s="21"/>
      <c r="BO412" s="21"/>
      <c r="BP412" s="21"/>
      <c r="BQ412" s="21"/>
      <c r="BR412" s="21"/>
      <c r="BS412" s="21"/>
      <c r="BT412" s="21"/>
      <c r="BU412" s="21"/>
      <c r="BV412" s="21"/>
      <c r="BW412" s="21"/>
      <c r="BX412" s="21"/>
      <c r="BY412" s="21"/>
      <c r="BZ412" s="21"/>
      <c r="CA412" s="21"/>
      <c r="CB412" s="21"/>
      <c r="CC412" s="21"/>
      <c r="CD412" s="21"/>
      <c r="CE412" s="21"/>
      <c r="CF412" s="21"/>
      <c r="CG412" s="21"/>
      <c r="CH412" s="21"/>
      <c r="CI412" s="21"/>
      <c r="CJ412" s="21"/>
      <c r="CK412" s="21"/>
      <c r="CL412" s="21"/>
      <c r="CM412" s="21"/>
      <c r="CN412" s="21"/>
      <c r="CO412" s="21"/>
      <c r="CP412" s="21"/>
      <c r="CQ412" s="21"/>
      <c r="CR412" s="21"/>
      <c r="CS412" s="21"/>
      <c r="CT412" s="21"/>
      <c r="CU412" s="21"/>
      <c r="CV412" s="21"/>
      <c r="CW412" s="21"/>
      <c r="CX412" s="21"/>
      <c r="CY412" s="21"/>
      <c r="CZ412" s="21"/>
      <c r="DA412" s="21"/>
      <c r="DB412" s="21"/>
      <c r="DC412" s="21"/>
      <c r="DD412" s="21"/>
      <c r="DE412" s="21"/>
      <c r="DF412" s="21"/>
    </row>
    <row r="413" spans="1:110" s="16" customFormat="1" x14ac:dyDescent="0.3">
      <c r="A413" s="21" t="s">
        <v>32</v>
      </c>
      <c r="B413" s="21" t="s">
        <v>190</v>
      </c>
      <c r="C413" s="21" t="s">
        <v>578</v>
      </c>
      <c r="D413" s="42">
        <f>(D262*inputs!$E$76)/(inputs!$E$31)^inputs!E121</f>
        <v>0</v>
      </c>
      <c r="E413" s="21" t="str">
        <f t="shared" ca="1" si="7"/>
        <v>=(D262*inputs!$E$76)/(inputs!$E$31)^inputs!E121</v>
      </c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  <c r="AT413" s="21"/>
      <c r="AU413" s="21"/>
      <c r="AV413" s="21"/>
      <c r="AW413" s="21"/>
      <c r="AX413" s="21"/>
      <c r="AY413" s="21"/>
      <c r="AZ413" s="21"/>
      <c r="BA413" s="21"/>
      <c r="BB413" s="21"/>
      <c r="BC413" s="21"/>
      <c r="BD413" s="21"/>
      <c r="BE413" s="21"/>
      <c r="BF413" s="21"/>
      <c r="BG413" s="21"/>
      <c r="BH413" s="21"/>
      <c r="BI413" s="21"/>
      <c r="BJ413" s="21"/>
      <c r="BK413" s="21"/>
      <c r="BL413" s="21"/>
      <c r="BM413" s="21"/>
      <c r="BN413" s="21"/>
      <c r="BO413" s="21"/>
      <c r="BP413" s="21"/>
      <c r="BQ413" s="21"/>
      <c r="BR413" s="21"/>
      <c r="BS413" s="21"/>
      <c r="BT413" s="21"/>
      <c r="BU413" s="21"/>
      <c r="BV413" s="21"/>
      <c r="BW413" s="21"/>
      <c r="BX413" s="21"/>
      <c r="BY413" s="21"/>
      <c r="BZ413" s="21"/>
      <c r="CA413" s="21"/>
      <c r="CB413" s="21"/>
      <c r="CC413" s="21"/>
      <c r="CD413" s="21"/>
      <c r="CE413" s="21"/>
      <c r="CF413" s="21"/>
      <c r="CG413" s="21"/>
      <c r="CH413" s="21"/>
      <c r="CI413" s="21"/>
      <c r="CJ413" s="21"/>
      <c r="CK413" s="21"/>
      <c r="CL413" s="21"/>
      <c r="CM413" s="21"/>
      <c r="CN413" s="21"/>
      <c r="CO413" s="21"/>
      <c r="CP413" s="21"/>
      <c r="CQ413" s="21"/>
      <c r="CR413" s="21"/>
      <c r="CS413" s="21"/>
      <c r="CT413" s="21"/>
      <c r="CU413" s="21"/>
      <c r="CV413" s="21"/>
      <c r="CW413" s="21"/>
      <c r="CX413" s="21"/>
      <c r="CY413" s="21"/>
      <c r="CZ413" s="21"/>
      <c r="DA413" s="21"/>
      <c r="DB413" s="21"/>
      <c r="DC413" s="21"/>
      <c r="DD413" s="21"/>
      <c r="DE413" s="21"/>
      <c r="DF413" s="21"/>
    </row>
    <row r="414" spans="1:110" s="16" customFormat="1" x14ac:dyDescent="0.3">
      <c r="A414" s="21" t="s">
        <v>32</v>
      </c>
      <c r="B414" s="21" t="s">
        <v>190</v>
      </c>
      <c r="C414" s="21" t="s">
        <v>579</v>
      </c>
      <c r="D414" s="42">
        <f>(D263*inputs!$E$76)/(inputs!$E$31)^inputs!E122</f>
        <v>0</v>
      </c>
      <c r="E414" s="21" t="str">
        <f t="shared" ca="1" si="7"/>
        <v>=(D263*inputs!$E$76)/(inputs!$E$31)^inputs!E122</v>
      </c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  <c r="AT414" s="21"/>
      <c r="AU414" s="21"/>
      <c r="AV414" s="21"/>
      <c r="AW414" s="21"/>
      <c r="AX414" s="21"/>
      <c r="AY414" s="21"/>
      <c r="AZ414" s="21"/>
      <c r="BA414" s="21"/>
      <c r="BB414" s="21"/>
      <c r="BC414" s="21"/>
      <c r="BD414" s="21"/>
      <c r="BE414" s="21"/>
      <c r="BF414" s="21"/>
      <c r="BG414" s="21"/>
      <c r="BH414" s="21"/>
      <c r="BI414" s="21"/>
      <c r="BJ414" s="21"/>
      <c r="BK414" s="21"/>
      <c r="BL414" s="21"/>
      <c r="BM414" s="21"/>
      <c r="BN414" s="21"/>
      <c r="BO414" s="21"/>
      <c r="BP414" s="21"/>
      <c r="BQ414" s="21"/>
      <c r="BR414" s="21"/>
      <c r="BS414" s="21"/>
      <c r="BT414" s="21"/>
      <c r="BU414" s="21"/>
      <c r="BV414" s="21"/>
      <c r="BW414" s="21"/>
      <c r="BX414" s="21"/>
      <c r="BY414" s="21"/>
      <c r="BZ414" s="21"/>
      <c r="CA414" s="21"/>
      <c r="CB414" s="21"/>
      <c r="CC414" s="21"/>
      <c r="CD414" s="21"/>
      <c r="CE414" s="21"/>
      <c r="CF414" s="21"/>
      <c r="CG414" s="21"/>
      <c r="CH414" s="21"/>
      <c r="CI414" s="21"/>
      <c r="CJ414" s="21"/>
      <c r="CK414" s="21"/>
      <c r="CL414" s="21"/>
      <c r="CM414" s="21"/>
      <c r="CN414" s="21"/>
      <c r="CO414" s="21"/>
      <c r="CP414" s="21"/>
      <c r="CQ414" s="21"/>
      <c r="CR414" s="21"/>
      <c r="CS414" s="21"/>
      <c r="CT414" s="21"/>
      <c r="CU414" s="21"/>
      <c r="CV414" s="21"/>
      <c r="CW414" s="21"/>
      <c r="CX414" s="21"/>
      <c r="CY414" s="21"/>
      <c r="CZ414" s="21"/>
      <c r="DA414" s="21"/>
      <c r="DB414" s="21"/>
      <c r="DC414" s="21"/>
      <c r="DD414" s="21"/>
      <c r="DE414" s="21"/>
      <c r="DF414" s="21"/>
    </row>
    <row r="415" spans="1:110" s="16" customFormat="1" x14ac:dyDescent="0.3">
      <c r="A415" s="21" t="s">
        <v>32</v>
      </c>
      <c r="B415" s="21" t="s">
        <v>190</v>
      </c>
      <c r="C415" s="21" t="s">
        <v>580</v>
      </c>
      <c r="D415" s="42">
        <f>(D264*inputs!$E$76)/(inputs!$E$31)^inputs!E123</f>
        <v>0</v>
      </c>
      <c r="E415" s="21" t="str">
        <f t="shared" ca="1" si="7"/>
        <v>=(D264*inputs!$E$76)/(inputs!$E$31)^inputs!E123</v>
      </c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  <c r="AT415" s="21"/>
      <c r="AU415" s="21"/>
      <c r="AV415" s="21"/>
      <c r="AW415" s="21"/>
      <c r="AX415" s="21"/>
      <c r="AY415" s="21"/>
      <c r="AZ415" s="21"/>
      <c r="BA415" s="21"/>
      <c r="BB415" s="21"/>
      <c r="BC415" s="21"/>
      <c r="BD415" s="21"/>
      <c r="BE415" s="21"/>
      <c r="BF415" s="21"/>
      <c r="BG415" s="21"/>
      <c r="BH415" s="21"/>
      <c r="BI415" s="21"/>
      <c r="BJ415" s="21"/>
      <c r="BK415" s="21"/>
      <c r="BL415" s="21"/>
      <c r="BM415" s="21"/>
      <c r="BN415" s="21"/>
      <c r="BO415" s="21"/>
      <c r="BP415" s="21"/>
      <c r="BQ415" s="21"/>
      <c r="BR415" s="21"/>
      <c r="BS415" s="21"/>
      <c r="BT415" s="21"/>
      <c r="BU415" s="21"/>
      <c r="BV415" s="21"/>
      <c r="BW415" s="21"/>
      <c r="BX415" s="21"/>
      <c r="BY415" s="21"/>
      <c r="BZ415" s="21"/>
      <c r="CA415" s="21"/>
      <c r="CB415" s="21"/>
      <c r="CC415" s="21"/>
      <c r="CD415" s="21"/>
      <c r="CE415" s="21"/>
      <c r="CF415" s="21"/>
      <c r="CG415" s="21"/>
      <c r="CH415" s="21"/>
      <c r="CI415" s="21"/>
      <c r="CJ415" s="21"/>
      <c r="CK415" s="21"/>
      <c r="CL415" s="21"/>
      <c r="CM415" s="21"/>
      <c r="CN415" s="21"/>
      <c r="CO415" s="21"/>
      <c r="CP415" s="21"/>
      <c r="CQ415" s="21"/>
      <c r="CR415" s="21"/>
      <c r="CS415" s="21"/>
      <c r="CT415" s="21"/>
      <c r="CU415" s="21"/>
      <c r="CV415" s="21"/>
      <c r="CW415" s="21"/>
      <c r="CX415" s="21"/>
      <c r="CY415" s="21"/>
      <c r="CZ415" s="21"/>
      <c r="DA415" s="21"/>
      <c r="DB415" s="21"/>
      <c r="DC415" s="21"/>
      <c r="DD415" s="21"/>
      <c r="DE415" s="21"/>
      <c r="DF415" s="21"/>
    </row>
    <row r="416" spans="1:110" s="16" customFormat="1" x14ac:dyDescent="0.3">
      <c r="A416" s="21" t="s">
        <v>32</v>
      </c>
      <c r="B416" s="21" t="s">
        <v>190</v>
      </c>
      <c r="C416" s="21" t="s">
        <v>581</v>
      </c>
      <c r="D416" s="42">
        <f>(D265*inputs!$E$76)/(inputs!$E$31)^inputs!E124</f>
        <v>0</v>
      </c>
      <c r="E416" s="21" t="str">
        <f t="shared" ca="1" si="7"/>
        <v>=(D265*inputs!$E$76)/(inputs!$E$31)^inputs!E124</v>
      </c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  <c r="AT416" s="21"/>
      <c r="AU416" s="21"/>
      <c r="AV416" s="21"/>
      <c r="AW416" s="21"/>
      <c r="AX416" s="21"/>
      <c r="AY416" s="21"/>
      <c r="AZ416" s="21"/>
      <c r="BA416" s="21"/>
      <c r="BB416" s="21"/>
      <c r="BC416" s="21"/>
      <c r="BD416" s="21"/>
      <c r="BE416" s="21"/>
      <c r="BF416" s="21"/>
      <c r="BG416" s="21"/>
      <c r="BH416" s="21"/>
      <c r="BI416" s="21"/>
      <c r="BJ416" s="21"/>
      <c r="BK416" s="21"/>
      <c r="BL416" s="21"/>
      <c r="BM416" s="21"/>
      <c r="BN416" s="21"/>
      <c r="BO416" s="21"/>
      <c r="BP416" s="21"/>
      <c r="BQ416" s="21"/>
      <c r="BR416" s="21"/>
      <c r="BS416" s="21"/>
      <c r="BT416" s="21"/>
      <c r="BU416" s="21"/>
      <c r="BV416" s="21"/>
      <c r="BW416" s="21"/>
      <c r="BX416" s="21"/>
      <c r="BY416" s="21"/>
      <c r="BZ416" s="21"/>
      <c r="CA416" s="21"/>
      <c r="CB416" s="21"/>
      <c r="CC416" s="21"/>
      <c r="CD416" s="21"/>
      <c r="CE416" s="21"/>
      <c r="CF416" s="21"/>
      <c r="CG416" s="21"/>
      <c r="CH416" s="21"/>
      <c r="CI416" s="21"/>
      <c r="CJ416" s="21"/>
      <c r="CK416" s="21"/>
      <c r="CL416" s="21"/>
      <c r="CM416" s="21"/>
      <c r="CN416" s="21"/>
      <c r="CO416" s="21"/>
      <c r="CP416" s="21"/>
      <c r="CQ416" s="21"/>
      <c r="CR416" s="21"/>
      <c r="CS416" s="21"/>
      <c r="CT416" s="21"/>
      <c r="CU416" s="21"/>
      <c r="CV416" s="21"/>
      <c r="CW416" s="21"/>
      <c r="CX416" s="21"/>
      <c r="CY416" s="21"/>
      <c r="CZ416" s="21"/>
      <c r="DA416" s="21"/>
      <c r="DB416" s="21"/>
      <c r="DC416" s="21"/>
      <c r="DD416" s="21"/>
      <c r="DE416" s="21"/>
      <c r="DF416" s="21"/>
    </row>
    <row r="417" spans="1:110" s="16" customFormat="1" x14ac:dyDescent="0.3">
      <c r="A417" s="21" t="s">
        <v>32</v>
      </c>
      <c r="B417" s="21" t="s">
        <v>190</v>
      </c>
      <c r="C417" s="21" t="s">
        <v>582</v>
      </c>
      <c r="D417" s="42">
        <f>(D266*inputs!$E$76)/(inputs!$E$31)^inputs!E125</f>
        <v>0</v>
      </c>
      <c r="E417" s="21" t="str">
        <f t="shared" ca="1" si="7"/>
        <v>=(D266*inputs!$E$76)/(inputs!$E$31)^inputs!E125</v>
      </c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  <c r="AT417" s="21"/>
      <c r="AU417" s="21"/>
      <c r="AV417" s="21"/>
      <c r="AW417" s="21"/>
      <c r="AX417" s="21"/>
      <c r="AY417" s="21"/>
      <c r="AZ417" s="21"/>
      <c r="BA417" s="21"/>
      <c r="BB417" s="21"/>
      <c r="BC417" s="21"/>
      <c r="BD417" s="21"/>
      <c r="BE417" s="21"/>
      <c r="BF417" s="21"/>
      <c r="BG417" s="21"/>
      <c r="BH417" s="21"/>
      <c r="BI417" s="21"/>
      <c r="BJ417" s="21"/>
      <c r="BK417" s="21"/>
      <c r="BL417" s="21"/>
      <c r="BM417" s="21"/>
      <c r="BN417" s="21"/>
      <c r="BO417" s="21"/>
      <c r="BP417" s="21"/>
      <c r="BQ417" s="21"/>
      <c r="BR417" s="21"/>
      <c r="BS417" s="21"/>
      <c r="BT417" s="21"/>
      <c r="BU417" s="21"/>
      <c r="BV417" s="21"/>
      <c r="BW417" s="21"/>
      <c r="BX417" s="21"/>
      <c r="BY417" s="21"/>
      <c r="BZ417" s="21"/>
      <c r="CA417" s="21"/>
      <c r="CB417" s="21"/>
      <c r="CC417" s="21"/>
      <c r="CD417" s="21"/>
      <c r="CE417" s="21"/>
      <c r="CF417" s="21"/>
      <c r="CG417" s="21"/>
      <c r="CH417" s="21"/>
      <c r="CI417" s="21"/>
      <c r="CJ417" s="21"/>
      <c r="CK417" s="21"/>
      <c r="CL417" s="21"/>
      <c r="CM417" s="21"/>
      <c r="CN417" s="21"/>
      <c r="CO417" s="21"/>
      <c r="CP417" s="21"/>
      <c r="CQ417" s="21"/>
      <c r="CR417" s="21"/>
      <c r="CS417" s="21"/>
      <c r="CT417" s="21"/>
      <c r="CU417" s="21"/>
      <c r="CV417" s="21"/>
      <c r="CW417" s="21"/>
      <c r="CX417" s="21"/>
      <c r="CY417" s="21"/>
      <c r="CZ417" s="21"/>
      <c r="DA417" s="21"/>
      <c r="DB417" s="21"/>
      <c r="DC417" s="21"/>
      <c r="DD417" s="21"/>
      <c r="DE417" s="21"/>
      <c r="DF417" s="21"/>
    </row>
    <row r="418" spans="1:110" s="16" customFormat="1" x14ac:dyDescent="0.3">
      <c r="A418" s="21" t="s">
        <v>32</v>
      </c>
      <c r="B418" s="21" t="s">
        <v>190</v>
      </c>
      <c r="C418" s="21" t="s">
        <v>583</v>
      </c>
      <c r="D418" s="42">
        <f>(D267*inputs!$E$76)/(inputs!$E$31)^inputs!E126</f>
        <v>0</v>
      </c>
      <c r="E418" s="21" t="str">
        <f t="shared" ca="1" si="7"/>
        <v>=(D267*inputs!$E$76)/(inputs!$E$31)^inputs!E126</v>
      </c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  <c r="AT418" s="21"/>
      <c r="AU418" s="21"/>
      <c r="AV418" s="21"/>
      <c r="AW418" s="21"/>
      <c r="AX418" s="21"/>
      <c r="AY418" s="21"/>
      <c r="AZ418" s="21"/>
      <c r="BA418" s="21"/>
      <c r="BB418" s="21"/>
      <c r="BC418" s="21"/>
      <c r="BD418" s="21"/>
      <c r="BE418" s="21"/>
      <c r="BF418" s="21"/>
      <c r="BG418" s="21"/>
      <c r="BH418" s="21"/>
      <c r="BI418" s="21"/>
      <c r="BJ418" s="21"/>
      <c r="BK418" s="21"/>
      <c r="BL418" s="21"/>
      <c r="BM418" s="21"/>
      <c r="BN418" s="21"/>
      <c r="BO418" s="21"/>
      <c r="BP418" s="21"/>
      <c r="BQ418" s="21"/>
      <c r="BR418" s="21"/>
      <c r="BS418" s="21"/>
      <c r="BT418" s="21"/>
      <c r="BU418" s="21"/>
      <c r="BV418" s="21"/>
      <c r="BW418" s="21"/>
      <c r="BX418" s="21"/>
      <c r="BY418" s="21"/>
      <c r="BZ418" s="21"/>
      <c r="CA418" s="21"/>
      <c r="CB418" s="21"/>
      <c r="CC418" s="21"/>
      <c r="CD418" s="21"/>
      <c r="CE418" s="21"/>
      <c r="CF418" s="21"/>
      <c r="CG418" s="21"/>
      <c r="CH418" s="21"/>
      <c r="CI418" s="21"/>
      <c r="CJ418" s="21"/>
      <c r="CK418" s="21"/>
      <c r="CL418" s="21"/>
      <c r="CM418" s="21"/>
      <c r="CN418" s="21"/>
      <c r="CO418" s="21"/>
      <c r="CP418" s="21"/>
      <c r="CQ418" s="21"/>
      <c r="CR418" s="21"/>
      <c r="CS418" s="21"/>
      <c r="CT418" s="21"/>
      <c r="CU418" s="21"/>
      <c r="CV418" s="21"/>
      <c r="CW418" s="21"/>
      <c r="CX418" s="21"/>
      <c r="CY418" s="21"/>
      <c r="CZ418" s="21"/>
      <c r="DA418" s="21"/>
      <c r="DB418" s="21"/>
      <c r="DC418" s="21"/>
      <c r="DD418" s="21"/>
      <c r="DE418" s="21"/>
      <c r="DF418" s="21"/>
    </row>
    <row r="419" spans="1:110" s="16" customFormat="1" x14ac:dyDescent="0.3">
      <c r="A419" s="21" t="s">
        <v>32</v>
      </c>
      <c r="B419" s="21" t="s">
        <v>190</v>
      </c>
      <c r="C419" s="21" t="s">
        <v>584</v>
      </c>
      <c r="D419" s="42">
        <f>(D268*inputs!$E$76)/(inputs!$E$31)^inputs!E127</f>
        <v>0</v>
      </c>
      <c r="E419" s="21" t="str">
        <f t="shared" ca="1" si="7"/>
        <v>=(D268*inputs!$E$76)/(inputs!$E$31)^inputs!E127</v>
      </c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  <c r="AT419" s="21"/>
      <c r="AU419" s="21"/>
      <c r="AV419" s="21"/>
      <c r="AW419" s="21"/>
      <c r="AX419" s="21"/>
      <c r="AY419" s="21"/>
      <c r="AZ419" s="21"/>
      <c r="BA419" s="21"/>
      <c r="BB419" s="21"/>
      <c r="BC419" s="21"/>
      <c r="BD419" s="21"/>
      <c r="BE419" s="21"/>
      <c r="BF419" s="21"/>
      <c r="BG419" s="21"/>
      <c r="BH419" s="21"/>
      <c r="BI419" s="21"/>
      <c r="BJ419" s="21"/>
      <c r="BK419" s="21"/>
      <c r="BL419" s="21"/>
      <c r="BM419" s="21"/>
      <c r="BN419" s="21"/>
      <c r="BO419" s="21"/>
      <c r="BP419" s="21"/>
      <c r="BQ419" s="21"/>
      <c r="BR419" s="21"/>
      <c r="BS419" s="21"/>
      <c r="BT419" s="21"/>
      <c r="BU419" s="21"/>
      <c r="BV419" s="21"/>
      <c r="BW419" s="21"/>
      <c r="BX419" s="21"/>
      <c r="BY419" s="21"/>
      <c r="BZ419" s="21"/>
      <c r="CA419" s="21"/>
      <c r="CB419" s="21"/>
      <c r="CC419" s="21"/>
      <c r="CD419" s="21"/>
      <c r="CE419" s="21"/>
      <c r="CF419" s="21"/>
      <c r="CG419" s="21"/>
      <c r="CH419" s="21"/>
      <c r="CI419" s="21"/>
      <c r="CJ419" s="21"/>
      <c r="CK419" s="21"/>
      <c r="CL419" s="21"/>
      <c r="CM419" s="21"/>
      <c r="CN419" s="21"/>
      <c r="CO419" s="21"/>
      <c r="CP419" s="21"/>
      <c r="CQ419" s="21"/>
      <c r="CR419" s="21"/>
      <c r="CS419" s="21"/>
      <c r="CT419" s="21"/>
      <c r="CU419" s="21"/>
      <c r="CV419" s="21"/>
      <c r="CW419" s="21"/>
      <c r="CX419" s="21"/>
      <c r="CY419" s="21"/>
      <c r="CZ419" s="21"/>
      <c r="DA419" s="21"/>
      <c r="DB419" s="21"/>
      <c r="DC419" s="21"/>
      <c r="DD419" s="21"/>
      <c r="DE419" s="21"/>
      <c r="DF419" s="21"/>
    </row>
    <row r="420" spans="1:110" s="16" customFormat="1" x14ac:dyDescent="0.3">
      <c r="A420" s="21" t="s">
        <v>32</v>
      </c>
      <c r="B420" s="21" t="s">
        <v>190</v>
      </c>
      <c r="C420" s="21" t="s">
        <v>585</v>
      </c>
      <c r="D420" s="42">
        <f>(D269*inputs!$E$76)/(inputs!$E$31)^inputs!E128</f>
        <v>0</v>
      </c>
      <c r="E420" s="21" t="str">
        <f t="shared" ca="1" si="7"/>
        <v>=(D269*inputs!$E$76)/(inputs!$E$31)^inputs!E128</v>
      </c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  <c r="AT420" s="21"/>
      <c r="AU420" s="21"/>
      <c r="AV420" s="21"/>
      <c r="AW420" s="21"/>
      <c r="AX420" s="21"/>
      <c r="AY420" s="21"/>
      <c r="AZ420" s="21"/>
      <c r="BA420" s="21"/>
      <c r="BB420" s="21"/>
      <c r="BC420" s="21"/>
      <c r="BD420" s="21"/>
      <c r="BE420" s="21"/>
      <c r="BF420" s="21"/>
      <c r="BG420" s="21"/>
      <c r="BH420" s="21"/>
      <c r="BI420" s="21"/>
      <c r="BJ420" s="21"/>
      <c r="BK420" s="21"/>
      <c r="BL420" s="21"/>
      <c r="BM420" s="21"/>
      <c r="BN420" s="21"/>
      <c r="BO420" s="21"/>
      <c r="BP420" s="21"/>
      <c r="BQ420" s="21"/>
      <c r="BR420" s="21"/>
      <c r="BS420" s="21"/>
      <c r="BT420" s="21"/>
      <c r="BU420" s="21"/>
      <c r="BV420" s="21"/>
      <c r="BW420" s="21"/>
      <c r="BX420" s="21"/>
      <c r="BY420" s="21"/>
      <c r="BZ420" s="21"/>
      <c r="CA420" s="21"/>
      <c r="CB420" s="21"/>
      <c r="CC420" s="21"/>
      <c r="CD420" s="21"/>
      <c r="CE420" s="21"/>
      <c r="CF420" s="21"/>
      <c r="CG420" s="21"/>
      <c r="CH420" s="21"/>
      <c r="CI420" s="21"/>
      <c r="CJ420" s="21"/>
      <c r="CK420" s="21"/>
      <c r="CL420" s="21"/>
      <c r="CM420" s="21"/>
      <c r="CN420" s="21"/>
      <c r="CO420" s="21"/>
      <c r="CP420" s="21"/>
      <c r="CQ420" s="21"/>
      <c r="CR420" s="21"/>
      <c r="CS420" s="21"/>
      <c r="CT420" s="21"/>
      <c r="CU420" s="21"/>
      <c r="CV420" s="21"/>
      <c r="CW420" s="21"/>
      <c r="CX420" s="21"/>
      <c r="CY420" s="21"/>
      <c r="CZ420" s="21"/>
      <c r="DA420" s="21"/>
      <c r="DB420" s="21"/>
      <c r="DC420" s="21"/>
      <c r="DD420" s="21"/>
      <c r="DE420" s="21"/>
      <c r="DF420" s="21"/>
    </row>
    <row r="421" spans="1:110" s="16" customFormat="1" x14ac:dyDescent="0.3">
      <c r="A421" s="21" t="s">
        <v>32</v>
      </c>
      <c r="B421" s="21" t="s">
        <v>190</v>
      </c>
      <c r="C421" s="21" t="s">
        <v>586</v>
      </c>
      <c r="D421" s="42">
        <f>(D270*inputs!$E$76)/(inputs!$E$31)^inputs!E129</f>
        <v>0</v>
      </c>
      <c r="E421" s="21" t="str">
        <f t="shared" ca="1" si="7"/>
        <v>=(D270*inputs!$E$76)/(inputs!$E$31)^inputs!E129</v>
      </c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  <c r="AT421" s="21"/>
      <c r="AU421" s="21"/>
      <c r="AV421" s="21"/>
      <c r="AW421" s="21"/>
      <c r="AX421" s="21"/>
      <c r="AY421" s="21"/>
      <c r="AZ421" s="21"/>
      <c r="BA421" s="21"/>
      <c r="BB421" s="21"/>
      <c r="BC421" s="21"/>
      <c r="BD421" s="21"/>
      <c r="BE421" s="21"/>
      <c r="BF421" s="21"/>
      <c r="BG421" s="21"/>
      <c r="BH421" s="21"/>
      <c r="BI421" s="21"/>
      <c r="BJ421" s="21"/>
      <c r="BK421" s="21"/>
      <c r="BL421" s="21"/>
      <c r="BM421" s="21"/>
      <c r="BN421" s="21"/>
      <c r="BO421" s="21"/>
      <c r="BP421" s="21"/>
      <c r="BQ421" s="21"/>
      <c r="BR421" s="21"/>
      <c r="BS421" s="21"/>
      <c r="BT421" s="21"/>
      <c r="BU421" s="21"/>
      <c r="BV421" s="21"/>
      <c r="BW421" s="21"/>
      <c r="BX421" s="21"/>
      <c r="BY421" s="21"/>
      <c r="BZ421" s="21"/>
      <c r="CA421" s="21"/>
      <c r="CB421" s="21"/>
      <c r="CC421" s="21"/>
      <c r="CD421" s="21"/>
      <c r="CE421" s="21"/>
      <c r="CF421" s="21"/>
      <c r="CG421" s="21"/>
      <c r="CH421" s="21"/>
      <c r="CI421" s="21"/>
      <c r="CJ421" s="21"/>
      <c r="CK421" s="21"/>
      <c r="CL421" s="21"/>
      <c r="CM421" s="21"/>
      <c r="CN421" s="21"/>
      <c r="CO421" s="21"/>
      <c r="CP421" s="21"/>
      <c r="CQ421" s="21"/>
      <c r="CR421" s="21"/>
      <c r="CS421" s="21"/>
      <c r="CT421" s="21"/>
      <c r="CU421" s="21"/>
      <c r="CV421" s="21"/>
      <c r="CW421" s="21"/>
      <c r="CX421" s="21"/>
      <c r="CY421" s="21"/>
      <c r="CZ421" s="21"/>
      <c r="DA421" s="21"/>
      <c r="DB421" s="21"/>
      <c r="DC421" s="21"/>
      <c r="DD421" s="21"/>
      <c r="DE421" s="21"/>
      <c r="DF421" s="21"/>
    </row>
    <row r="422" spans="1:110" s="16" customFormat="1" x14ac:dyDescent="0.3">
      <c r="A422" s="21" t="s">
        <v>32</v>
      </c>
      <c r="B422" s="21" t="s">
        <v>190</v>
      </c>
      <c r="C422" s="21" t="s">
        <v>587</v>
      </c>
      <c r="D422" s="42">
        <f>(D271*inputs!$E$76)/(inputs!$E$31)^inputs!E130</f>
        <v>0</v>
      </c>
      <c r="E422" s="21" t="str">
        <f t="shared" ca="1" si="7"/>
        <v>=(D271*inputs!$E$76)/(inputs!$E$31)^inputs!E130</v>
      </c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  <c r="AT422" s="21"/>
      <c r="AU422" s="21"/>
      <c r="AV422" s="21"/>
      <c r="AW422" s="21"/>
      <c r="AX422" s="21"/>
      <c r="AY422" s="21"/>
      <c r="AZ422" s="21"/>
      <c r="BA422" s="21"/>
      <c r="BB422" s="21"/>
      <c r="BC422" s="21"/>
      <c r="BD422" s="21"/>
      <c r="BE422" s="21"/>
      <c r="BF422" s="21"/>
      <c r="BG422" s="21"/>
      <c r="BH422" s="21"/>
      <c r="BI422" s="21"/>
      <c r="BJ422" s="21"/>
      <c r="BK422" s="21"/>
      <c r="BL422" s="21"/>
      <c r="BM422" s="21"/>
      <c r="BN422" s="21"/>
      <c r="BO422" s="21"/>
      <c r="BP422" s="21"/>
      <c r="BQ422" s="21"/>
      <c r="BR422" s="21"/>
      <c r="BS422" s="21"/>
      <c r="BT422" s="21"/>
      <c r="BU422" s="21"/>
      <c r="BV422" s="21"/>
      <c r="BW422" s="21"/>
      <c r="BX422" s="21"/>
      <c r="BY422" s="21"/>
      <c r="BZ422" s="21"/>
      <c r="CA422" s="21"/>
      <c r="CB422" s="21"/>
      <c r="CC422" s="21"/>
      <c r="CD422" s="21"/>
      <c r="CE422" s="21"/>
      <c r="CF422" s="21"/>
      <c r="CG422" s="21"/>
      <c r="CH422" s="21"/>
      <c r="CI422" s="21"/>
      <c r="CJ422" s="21"/>
      <c r="CK422" s="21"/>
      <c r="CL422" s="21"/>
      <c r="CM422" s="21"/>
      <c r="CN422" s="21"/>
      <c r="CO422" s="21"/>
      <c r="CP422" s="21"/>
      <c r="CQ422" s="21"/>
      <c r="CR422" s="21"/>
      <c r="CS422" s="21"/>
      <c r="CT422" s="21"/>
      <c r="CU422" s="21"/>
      <c r="CV422" s="21"/>
      <c r="CW422" s="21"/>
      <c r="CX422" s="21"/>
      <c r="CY422" s="21"/>
      <c r="CZ422" s="21"/>
      <c r="DA422" s="21"/>
      <c r="DB422" s="21"/>
      <c r="DC422" s="21"/>
      <c r="DD422" s="21"/>
      <c r="DE422" s="21"/>
      <c r="DF422" s="21"/>
    </row>
    <row r="423" spans="1:110" s="16" customFormat="1" x14ac:dyDescent="0.3">
      <c r="A423" s="21" t="s">
        <v>32</v>
      </c>
      <c r="B423" s="21" t="s">
        <v>190</v>
      </c>
      <c r="C423" s="21" t="s">
        <v>588</v>
      </c>
      <c r="D423" s="42">
        <f>(D272*inputs!$E$76)/(inputs!$E$31)^inputs!E131</f>
        <v>0</v>
      </c>
      <c r="E423" s="21" t="str">
        <f t="shared" ca="1" si="7"/>
        <v>=(D272*inputs!$E$76)/(inputs!$E$31)^inputs!E131</v>
      </c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  <c r="AT423" s="21"/>
      <c r="AU423" s="21"/>
      <c r="AV423" s="21"/>
      <c r="AW423" s="21"/>
      <c r="AX423" s="21"/>
      <c r="AY423" s="21"/>
      <c r="AZ423" s="21"/>
      <c r="BA423" s="21"/>
      <c r="BB423" s="21"/>
      <c r="BC423" s="21"/>
      <c r="BD423" s="21"/>
      <c r="BE423" s="21"/>
      <c r="BF423" s="21"/>
      <c r="BG423" s="21"/>
      <c r="BH423" s="21"/>
      <c r="BI423" s="21"/>
      <c r="BJ423" s="21"/>
      <c r="BK423" s="21"/>
      <c r="BL423" s="21"/>
      <c r="BM423" s="21"/>
      <c r="BN423" s="21"/>
      <c r="BO423" s="21"/>
      <c r="BP423" s="21"/>
      <c r="BQ423" s="21"/>
      <c r="BR423" s="21"/>
      <c r="BS423" s="21"/>
      <c r="BT423" s="21"/>
      <c r="BU423" s="21"/>
      <c r="BV423" s="21"/>
      <c r="BW423" s="21"/>
      <c r="BX423" s="21"/>
      <c r="BY423" s="21"/>
      <c r="BZ423" s="21"/>
      <c r="CA423" s="21"/>
      <c r="CB423" s="21"/>
      <c r="CC423" s="21"/>
      <c r="CD423" s="21"/>
      <c r="CE423" s="21"/>
      <c r="CF423" s="21"/>
      <c r="CG423" s="21"/>
      <c r="CH423" s="21"/>
      <c r="CI423" s="21"/>
      <c r="CJ423" s="21"/>
      <c r="CK423" s="21"/>
      <c r="CL423" s="21"/>
      <c r="CM423" s="21"/>
      <c r="CN423" s="21"/>
      <c r="CO423" s="21"/>
      <c r="CP423" s="21"/>
      <c r="CQ423" s="21"/>
      <c r="CR423" s="21"/>
      <c r="CS423" s="21"/>
      <c r="CT423" s="21"/>
      <c r="CU423" s="21"/>
      <c r="CV423" s="21"/>
      <c r="CW423" s="21"/>
      <c r="CX423" s="21"/>
      <c r="CY423" s="21"/>
      <c r="CZ423" s="21"/>
      <c r="DA423" s="21"/>
      <c r="DB423" s="21"/>
      <c r="DC423" s="21"/>
      <c r="DD423" s="21"/>
      <c r="DE423" s="21"/>
      <c r="DF423" s="21"/>
    </row>
    <row r="424" spans="1:110" s="16" customFormat="1" x14ac:dyDescent="0.3">
      <c r="A424" s="21" t="s">
        <v>32</v>
      </c>
      <c r="B424" s="21" t="s">
        <v>190</v>
      </c>
      <c r="C424" s="21" t="s">
        <v>589</v>
      </c>
      <c r="D424" s="42">
        <f>(D273*inputs!$E$76)/(inputs!$E$31)^inputs!E132</f>
        <v>0</v>
      </c>
      <c r="E424" s="21" t="str">
        <f t="shared" ca="1" si="7"/>
        <v>=(D273*inputs!$E$76)/(inputs!$E$31)^inputs!E132</v>
      </c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  <c r="AT424" s="21"/>
      <c r="AU424" s="21"/>
      <c r="AV424" s="21"/>
      <c r="AW424" s="21"/>
      <c r="AX424" s="21"/>
      <c r="AY424" s="21"/>
      <c r="AZ424" s="21"/>
      <c r="BA424" s="21"/>
      <c r="BB424" s="21"/>
      <c r="BC424" s="21"/>
      <c r="BD424" s="21"/>
      <c r="BE424" s="21"/>
      <c r="BF424" s="21"/>
      <c r="BG424" s="21"/>
      <c r="BH424" s="21"/>
      <c r="BI424" s="21"/>
      <c r="BJ424" s="21"/>
      <c r="BK424" s="21"/>
      <c r="BL424" s="21"/>
      <c r="BM424" s="21"/>
      <c r="BN424" s="21"/>
      <c r="BO424" s="21"/>
      <c r="BP424" s="21"/>
      <c r="BQ424" s="21"/>
      <c r="BR424" s="21"/>
      <c r="BS424" s="21"/>
      <c r="BT424" s="21"/>
      <c r="BU424" s="21"/>
      <c r="BV424" s="21"/>
      <c r="BW424" s="21"/>
      <c r="BX424" s="21"/>
      <c r="BY424" s="21"/>
      <c r="BZ424" s="21"/>
      <c r="CA424" s="21"/>
      <c r="CB424" s="21"/>
      <c r="CC424" s="21"/>
      <c r="CD424" s="21"/>
      <c r="CE424" s="21"/>
      <c r="CF424" s="21"/>
      <c r="CG424" s="21"/>
      <c r="CH424" s="21"/>
      <c r="CI424" s="21"/>
      <c r="CJ424" s="21"/>
      <c r="CK424" s="21"/>
      <c r="CL424" s="21"/>
      <c r="CM424" s="21"/>
      <c r="CN424" s="21"/>
      <c r="CO424" s="21"/>
      <c r="CP424" s="21"/>
      <c r="CQ424" s="21"/>
      <c r="CR424" s="21"/>
      <c r="CS424" s="21"/>
      <c r="CT424" s="21"/>
      <c r="CU424" s="21"/>
      <c r="CV424" s="21"/>
      <c r="CW424" s="21"/>
      <c r="CX424" s="21"/>
      <c r="CY424" s="21"/>
      <c r="CZ424" s="21"/>
      <c r="DA424" s="21"/>
      <c r="DB424" s="21"/>
      <c r="DC424" s="21"/>
      <c r="DD424" s="21"/>
      <c r="DE424" s="21"/>
      <c r="DF424" s="21"/>
    </row>
    <row r="425" spans="1:110" s="16" customFormat="1" x14ac:dyDescent="0.3">
      <c r="A425" s="21" t="s">
        <v>32</v>
      </c>
      <c r="B425" s="21" t="s">
        <v>190</v>
      </c>
      <c r="C425" s="21" t="s">
        <v>590</v>
      </c>
      <c r="D425" s="42">
        <f>(D274*inputs!$E$76)/(inputs!$E$31)^inputs!E133</f>
        <v>0</v>
      </c>
      <c r="E425" s="21" t="str">
        <f t="shared" ca="1" si="7"/>
        <v>=(D274*inputs!$E$76)/(inputs!$E$31)^inputs!E133</v>
      </c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  <c r="AT425" s="21"/>
      <c r="AU425" s="21"/>
      <c r="AV425" s="21"/>
      <c r="AW425" s="21"/>
      <c r="AX425" s="21"/>
      <c r="AY425" s="21"/>
      <c r="AZ425" s="21"/>
      <c r="BA425" s="21"/>
      <c r="BB425" s="21"/>
      <c r="BC425" s="21"/>
      <c r="BD425" s="21"/>
      <c r="BE425" s="21"/>
      <c r="BF425" s="21"/>
      <c r="BG425" s="21"/>
      <c r="BH425" s="21"/>
      <c r="BI425" s="21"/>
      <c r="BJ425" s="21"/>
      <c r="BK425" s="21"/>
      <c r="BL425" s="21"/>
      <c r="BM425" s="21"/>
      <c r="BN425" s="21"/>
      <c r="BO425" s="21"/>
      <c r="BP425" s="21"/>
      <c r="BQ425" s="21"/>
      <c r="BR425" s="21"/>
      <c r="BS425" s="21"/>
      <c r="BT425" s="21"/>
      <c r="BU425" s="21"/>
      <c r="BV425" s="21"/>
      <c r="BW425" s="21"/>
      <c r="BX425" s="21"/>
      <c r="BY425" s="21"/>
      <c r="BZ425" s="21"/>
      <c r="CA425" s="21"/>
      <c r="CB425" s="21"/>
      <c r="CC425" s="21"/>
      <c r="CD425" s="21"/>
      <c r="CE425" s="21"/>
      <c r="CF425" s="21"/>
      <c r="CG425" s="21"/>
      <c r="CH425" s="21"/>
      <c r="CI425" s="21"/>
      <c r="CJ425" s="21"/>
      <c r="CK425" s="21"/>
      <c r="CL425" s="21"/>
      <c r="CM425" s="21"/>
      <c r="CN425" s="21"/>
      <c r="CO425" s="21"/>
      <c r="CP425" s="21"/>
      <c r="CQ425" s="21"/>
      <c r="CR425" s="21"/>
      <c r="CS425" s="21"/>
      <c r="CT425" s="21"/>
      <c r="CU425" s="21"/>
      <c r="CV425" s="21"/>
      <c r="CW425" s="21"/>
      <c r="CX425" s="21"/>
      <c r="CY425" s="21"/>
      <c r="CZ425" s="21"/>
      <c r="DA425" s="21"/>
      <c r="DB425" s="21"/>
      <c r="DC425" s="21"/>
      <c r="DD425" s="21"/>
      <c r="DE425" s="21"/>
      <c r="DF425" s="21"/>
    </row>
    <row r="426" spans="1:110" s="16" customFormat="1" x14ac:dyDescent="0.3">
      <c r="A426" s="21" t="s">
        <v>32</v>
      </c>
      <c r="B426" s="21" t="s">
        <v>190</v>
      </c>
      <c r="C426" s="21" t="s">
        <v>591</v>
      </c>
      <c r="D426" s="42">
        <f>(D275*inputs!$E$76)/(inputs!$E$31)^inputs!E134</f>
        <v>0</v>
      </c>
      <c r="E426" s="21" t="str">
        <f t="shared" ca="1" si="7"/>
        <v>=(D275*inputs!$E$76)/(inputs!$E$31)^inputs!E134</v>
      </c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  <c r="AT426" s="21"/>
      <c r="AU426" s="21"/>
      <c r="AV426" s="21"/>
      <c r="AW426" s="21"/>
      <c r="AX426" s="21"/>
      <c r="AY426" s="21"/>
      <c r="AZ426" s="21"/>
      <c r="BA426" s="21"/>
      <c r="BB426" s="21"/>
      <c r="BC426" s="21"/>
      <c r="BD426" s="21"/>
      <c r="BE426" s="21"/>
      <c r="BF426" s="21"/>
      <c r="BG426" s="21"/>
      <c r="BH426" s="21"/>
      <c r="BI426" s="21"/>
      <c r="BJ426" s="21"/>
      <c r="BK426" s="21"/>
      <c r="BL426" s="21"/>
      <c r="BM426" s="21"/>
      <c r="BN426" s="21"/>
      <c r="BO426" s="21"/>
      <c r="BP426" s="21"/>
      <c r="BQ426" s="21"/>
      <c r="BR426" s="21"/>
      <c r="BS426" s="21"/>
      <c r="BT426" s="21"/>
      <c r="BU426" s="21"/>
      <c r="BV426" s="21"/>
      <c r="BW426" s="21"/>
      <c r="BX426" s="21"/>
      <c r="BY426" s="21"/>
      <c r="BZ426" s="21"/>
      <c r="CA426" s="21"/>
      <c r="CB426" s="21"/>
      <c r="CC426" s="21"/>
      <c r="CD426" s="21"/>
      <c r="CE426" s="21"/>
      <c r="CF426" s="21"/>
      <c r="CG426" s="21"/>
      <c r="CH426" s="21"/>
      <c r="CI426" s="21"/>
      <c r="CJ426" s="21"/>
      <c r="CK426" s="21"/>
      <c r="CL426" s="21"/>
      <c r="CM426" s="21"/>
      <c r="CN426" s="21"/>
      <c r="CO426" s="21"/>
      <c r="CP426" s="21"/>
      <c r="CQ426" s="21"/>
      <c r="CR426" s="21"/>
      <c r="CS426" s="21"/>
      <c r="CT426" s="21"/>
      <c r="CU426" s="21"/>
      <c r="CV426" s="21"/>
      <c r="CW426" s="21"/>
      <c r="CX426" s="21"/>
      <c r="CY426" s="21"/>
      <c r="CZ426" s="21"/>
      <c r="DA426" s="21"/>
      <c r="DB426" s="21"/>
      <c r="DC426" s="21"/>
      <c r="DD426" s="21"/>
      <c r="DE426" s="21"/>
      <c r="DF426" s="21"/>
    </row>
    <row r="427" spans="1:110" s="16" customFormat="1" x14ac:dyDescent="0.3">
      <c r="A427" s="21" t="s">
        <v>32</v>
      </c>
      <c r="B427" s="21" t="s">
        <v>190</v>
      </c>
      <c r="C427" s="21" t="s">
        <v>592</v>
      </c>
      <c r="D427" s="42">
        <f>(D276*inputs!$E$76)/(inputs!$E$31)^inputs!E135</f>
        <v>0</v>
      </c>
      <c r="E427" s="21" t="str">
        <f t="shared" ca="1" si="7"/>
        <v>=(D276*inputs!$E$76)/(inputs!$E$31)^inputs!E135</v>
      </c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  <c r="AT427" s="21"/>
      <c r="AU427" s="21"/>
      <c r="AV427" s="21"/>
      <c r="AW427" s="21"/>
      <c r="AX427" s="21"/>
      <c r="AY427" s="21"/>
      <c r="AZ427" s="21"/>
      <c r="BA427" s="21"/>
      <c r="BB427" s="21"/>
      <c r="BC427" s="21"/>
      <c r="BD427" s="21"/>
      <c r="BE427" s="21"/>
      <c r="BF427" s="21"/>
      <c r="BG427" s="21"/>
      <c r="BH427" s="21"/>
      <c r="BI427" s="21"/>
      <c r="BJ427" s="21"/>
      <c r="BK427" s="21"/>
      <c r="BL427" s="21"/>
      <c r="BM427" s="21"/>
      <c r="BN427" s="21"/>
      <c r="BO427" s="21"/>
      <c r="BP427" s="21"/>
      <c r="BQ427" s="21"/>
      <c r="BR427" s="21"/>
      <c r="BS427" s="21"/>
      <c r="BT427" s="21"/>
      <c r="BU427" s="21"/>
      <c r="BV427" s="21"/>
      <c r="BW427" s="21"/>
      <c r="BX427" s="21"/>
      <c r="BY427" s="21"/>
      <c r="BZ427" s="21"/>
      <c r="CA427" s="21"/>
      <c r="CB427" s="21"/>
      <c r="CC427" s="21"/>
      <c r="CD427" s="21"/>
      <c r="CE427" s="21"/>
      <c r="CF427" s="21"/>
      <c r="CG427" s="21"/>
      <c r="CH427" s="21"/>
      <c r="CI427" s="21"/>
      <c r="CJ427" s="21"/>
      <c r="CK427" s="21"/>
      <c r="CL427" s="21"/>
      <c r="CM427" s="21"/>
      <c r="CN427" s="21"/>
      <c r="CO427" s="21"/>
      <c r="CP427" s="21"/>
      <c r="CQ427" s="21"/>
      <c r="CR427" s="21"/>
      <c r="CS427" s="21"/>
      <c r="CT427" s="21"/>
      <c r="CU427" s="21"/>
      <c r="CV427" s="21"/>
      <c r="CW427" s="21"/>
      <c r="CX427" s="21"/>
      <c r="CY427" s="21"/>
      <c r="CZ427" s="21"/>
      <c r="DA427" s="21"/>
      <c r="DB427" s="21"/>
      <c r="DC427" s="21"/>
      <c r="DD427" s="21"/>
      <c r="DE427" s="21"/>
      <c r="DF427" s="21"/>
    </row>
    <row r="428" spans="1:110" s="16" customFormat="1" x14ac:dyDescent="0.3">
      <c r="A428" s="21" t="s">
        <v>32</v>
      </c>
      <c r="B428" s="21" t="s">
        <v>190</v>
      </c>
      <c r="C428" s="21" t="s">
        <v>593</v>
      </c>
      <c r="D428" s="42">
        <f>(D280*inputs!$E$77)/(inputs!$E$31)^inputs!E100</f>
        <v>0</v>
      </c>
      <c r="E428" s="21" t="str">
        <f ca="1">_xlfn.FORMULATEXT(D428)</f>
        <v>=(D280*inputs!$E$77)/(inputs!$E$31)^inputs!E100</v>
      </c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  <c r="AT428" s="21"/>
      <c r="AU428" s="21"/>
      <c r="AV428" s="21"/>
      <c r="AW428" s="21"/>
      <c r="AX428" s="21"/>
      <c r="AY428" s="21"/>
      <c r="AZ428" s="21"/>
      <c r="BA428" s="21"/>
      <c r="BB428" s="21"/>
      <c r="BC428" s="21"/>
      <c r="BD428" s="21"/>
      <c r="BE428" s="21"/>
      <c r="BF428" s="21"/>
      <c r="BG428" s="21"/>
      <c r="BH428" s="21"/>
      <c r="BI428" s="21"/>
      <c r="BJ428" s="21"/>
      <c r="BK428" s="21"/>
      <c r="BL428" s="21"/>
      <c r="BM428" s="21"/>
      <c r="BN428" s="21"/>
      <c r="BO428" s="21"/>
      <c r="BP428" s="21"/>
      <c r="BQ428" s="21"/>
      <c r="BR428" s="21"/>
      <c r="BS428" s="21"/>
      <c r="BT428" s="21"/>
      <c r="BU428" s="21"/>
      <c r="BV428" s="21"/>
      <c r="BW428" s="21"/>
      <c r="BX428" s="21"/>
      <c r="BY428" s="21"/>
      <c r="BZ428" s="21"/>
      <c r="CA428" s="21"/>
      <c r="CB428" s="21"/>
      <c r="CC428" s="21"/>
      <c r="CD428" s="21"/>
      <c r="CE428" s="21"/>
      <c r="CF428" s="21"/>
      <c r="CG428" s="21"/>
      <c r="CH428" s="21"/>
      <c r="CI428" s="21"/>
      <c r="CJ428" s="21"/>
      <c r="CK428" s="21"/>
      <c r="CL428" s="21"/>
      <c r="CM428" s="21"/>
      <c r="CN428" s="21"/>
      <c r="CO428" s="21"/>
      <c r="CP428" s="21"/>
      <c r="CQ428" s="21"/>
      <c r="CR428" s="21"/>
      <c r="CS428" s="21"/>
      <c r="CT428" s="21"/>
      <c r="CU428" s="21"/>
      <c r="CV428" s="21"/>
      <c r="CW428" s="21"/>
      <c r="CX428" s="21"/>
      <c r="CY428" s="21"/>
      <c r="CZ428" s="21"/>
      <c r="DA428" s="21"/>
      <c r="DB428" s="21"/>
      <c r="DC428" s="21"/>
      <c r="DD428" s="21"/>
      <c r="DE428" s="21"/>
      <c r="DF428" s="21"/>
    </row>
    <row r="429" spans="1:110" s="16" customFormat="1" x14ac:dyDescent="0.3">
      <c r="A429" s="21" t="s">
        <v>32</v>
      </c>
      <c r="B429" s="21" t="s">
        <v>190</v>
      </c>
      <c r="C429" s="21" t="s">
        <v>594</v>
      </c>
      <c r="D429" s="42">
        <f>(D281*inputs!$E$77)/(inputs!$E$31)^inputs!E101</f>
        <v>0</v>
      </c>
      <c r="E429" s="21" t="str">
        <f t="shared" ca="1" si="7"/>
        <v>=(D281*inputs!$E$77)/(inputs!$E$31)^inputs!E101</v>
      </c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  <c r="AT429" s="21"/>
      <c r="AU429" s="21"/>
      <c r="AV429" s="21"/>
      <c r="AW429" s="21"/>
      <c r="AX429" s="21"/>
      <c r="AY429" s="21"/>
      <c r="AZ429" s="21"/>
      <c r="BA429" s="21"/>
      <c r="BB429" s="21"/>
      <c r="BC429" s="21"/>
      <c r="BD429" s="21"/>
      <c r="BE429" s="21"/>
      <c r="BF429" s="21"/>
      <c r="BG429" s="21"/>
      <c r="BH429" s="21"/>
      <c r="BI429" s="21"/>
      <c r="BJ429" s="21"/>
      <c r="BK429" s="21"/>
      <c r="BL429" s="21"/>
      <c r="BM429" s="21"/>
      <c r="BN429" s="21"/>
      <c r="BO429" s="21"/>
      <c r="BP429" s="21"/>
      <c r="BQ429" s="21"/>
      <c r="BR429" s="21"/>
      <c r="BS429" s="21"/>
      <c r="BT429" s="21"/>
      <c r="BU429" s="21"/>
      <c r="BV429" s="21"/>
      <c r="BW429" s="21"/>
      <c r="BX429" s="21"/>
      <c r="BY429" s="21"/>
      <c r="BZ429" s="21"/>
      <c r="CA429" s="21"/>
      <c r="CB429" s="21"/>
      <c r="CC429" s="21"/>
      <c r="CD429" s="21"/>
      <c r="CE429" s="21"/>
      <c r="CF429" s="21"/>
      <c r="CG429" s="21"/>
      <c r="CH429" s="21"/>
      <c r="CI429" s="21"/>
      <c r="CJ429" s="21"/>
      <c r="CK429" s="21"/>
      <c r="CL429" s="21"/>
      <c r="CM429" s="21"/>
      <c r="CN429" s="21"/>
      <c r="CO429" s="21"/>
      <c r="CP429" s="21"/>
      <c r="CQ429" s="21"/>
      <c r="CR429" s="21"/>
      <c r="CS429" s="21"/>
      <c r="CT429" s="21"/>
      <c r="CU429" s="21"/>
      <c r="CV429" s="21"/>
      <c r="CW429" s="21"/>
      <c r="CX429" s="21"/>
      <c r="CY429" s="21"/>
      <c r="CZ429" s="21"/>
      <c r="DA429" s="21"/>
      <c r="DB429" s="21"/>
      <c r="DC429" s="21"/>
      <c r="DD429" s="21"/>
      <c r="DE429" s="21"/>
      <c r="DF429" s="21"/>
    </row>
    <row r="430" spans="1:110" s="16" customFormat="1" x14ac:dyDescent="0.3">
      <c r="A430" s="21" t="s">
        <v>32</v>
      </c>
      <c r="B430" s="21" t="s">
        <v>190</v>
      </c>
      <c r="C430" s="21" t="s">
        <v>595</v>
      </c>
      <c r="D430" s="42">
        <f>(D282*inputs!$E$77)/(inputs!$E$31)^inputs!E102</f>
        <v>0</v>
      </c>
      <c r="E430" s="21" t="str">
        <f t="shared" ca="1" si="7"/>
        <v>=(D282*inputs!$E$77)/(inputs!$E$31)^inputs!E102</v>
      </c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  <c r="AT430" s="21"/>
      <c r="AU430" s="21"/>
      <c r="AV430" s="21"/>
      <c r="AW430" s="21"/>
      <c r="AX430" s="21"/>
      <c r="AY430" s="21"/>
      <c r="AZ430" s="21"/>
      <c r="BA430" s="21"/>
      <c r="BB430" s="21"/>
      <c r="BC430" s="21"/>
      <c r="BD430" s="21"/>
      <c r="BE430" s="21"/>
      <c r="BF430" s="21"/>
      <c r="BG430" s="21"/>
      <c r="BH430" s="21"/>
      <c r="BI430" s="21"/>
      <c r="BJ430" s="21"/>
      <c r="BK430" s="21"/>
      <c r="BL430" s="21"/>
      <c r="BM430" s="21"/>
      <c r="BN430" s="21"/>
      <c r="BO430" s="21"/>
      <c r="BP430" s="21"/>
      <c r="BQ430" s="21"/>
      <c r="BR430" s="21"/>
      <c r="BS430" s="21"/>
      <c r="BT430" s="21"/>
      <c r="BU430" s="21"/>
      <c r="BV430" s="21"/>
      <c r="BW430" s="21"/>
      <c r="BX430" s="21"/>
      <c r="BY430" s="21"/>
      <c r="BZ430" s="21"/>
      <c r="CA430" s="21"/>
      <c r="CB430" s="21"/>
      <c r="CC430" s="21"/>
      <c r="CD430" s="21"/>
      <c r="CE430" s="21"/>
      <c r="CF430" s="21"/>
      <c r="CG430" s="21"/>
      <c r="CH430" s="21"/>
      <c r="CI430" s="21"/>
      <c r="CJ430" s="21"/>
      <c r="CK430" s="21"/>
      <c r="CL430" s="21"/>
      <c r="CM430" s="21"/>
      <c r="CN430" s="21"/>
      <c r="CO430" s="21"/>
      <c r="CP430" s="21"/>
      <c r="CQ430" s="21"/>
      <c r="CR430" s="21"/>
      <c r="CS430" s="21"/>
      <c r="CT430" s="21"/>
      <c r="CU430" s="21"/>
      <c r="CV430" s="21"/>
      <c r="CW430" s="21"/>
      <c r="CX430" s="21"/>
      <c r="CY430" s="21"/>
      <c r="CZ430" s="21"/>
      <c r="DA430" s="21"/>
      <c r="DB430" s="21"/>
      <c r="DC430" s="21"/>
      <c r="DD430" s="21"/>
      <c r="DE430" s="21"/>
      <c r="DF430" s="21"/>
    </row>
    <row r="431" spans="1:110" s="16" customFormat="1" x14ac:dyDescent="0.3">
      <c r="A431" s="21" t="s">
        <v>32</v>
      </c>
      <c r="B431" s="21" t="s">
        <v>190</v>
      </c>
      <c r="C431" s="21" t="s">
        <v>596</v>
      </c>
      <c r="D431" s="42">
        <f>(D283*inputs!$E$77)/(inputs!$E$31)^inputs!E103</f>
        <v>0</v>
      </c>
      <c r="E431" s="21" t="str">
        <f t="shared" ca="1" si="7"/>
        <v>=(D283*inputs!$E$77)/(inputs!$E$31)^inputs!E103</v>
      </c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  <c r="AT431" s="21"/>
      <c r="AU431" s="21"/>
      <c r="AV431" s="21"/>
      <c r="AW431" s="21"/>
      <c r="AX431" s="21"/>
      <c r="AY431" s="21"/>
      <c r="AZ431" s="21"/>
      <c r="BA431" s="21"/>
      <c r="BB431" s="21"/>
      <c r="BC431" s="21"/>
      <c r="BD431" s="21"/>
      <c r="BE431" s="21"/>
      <c r="BF431" s="21"/>
      <c r="BG431" s="21"/>
      <c r="BH431" s="21"/>
      <c r="BI431" s="21"/>
      <c r="BJ431" s="21"/>
      <c r="BK431" s="21"/>
      <c r="BL431" s="21"/>
      <c r="BM431" s="21"/>
      <c r="BN431" s="21"/>
      <c r="BO431" s="21"/>
      <c r="BP431" s="21"/>
      <c r="BQ431" s="21"/>
      <c r="BR431" s="21"/>
      <c r="BS431" s="21"/>
      <c r="BT431" s="21"/>
      <c r="BU431" s="21"/>
      <c r="BV431" s="21"/>
      <c r="BW431" s="21"/>
      <c r="BX431" s="21"/>
      <c r="BY431" s="21"/>
      <c r="BZ431" s="21"/>
      <c r="CA431" s="21"/>
      <c r="CB431" s="21"/>
      <c r="CC431" s="21"/>
      <c r="CD431" s="21"/>
      <c r="CE431" s="21"/>
      <c r="CF431" s="21"/>
      <c r="CG431" s="21"/>
      <c r="CH431" s="21"/>
      <c r="CI431" s="21"/>
      <c r="CJ431" s="21"/>
      <c r="CK431" s="21"/>
      <c r="CL431" s="21"/>
      <c r="CM431" s="21"/>
      <c r="CN431" s="21"/>
      <c r="CO431" s="21"/>
      <c r="CP431" s="21"/>
      <c r="CQ431" s="21"/>
      <c r="CR431" s="21"/>
      <c r="CS431" s="21"/>
      <c r="CT431" s="21"/>
      <c r="CU431" s="21"/>
      <c r="CV431" s="21"/>
      <c r="CW431" s="21"/>
      <c r="CX431" s="21"/>
      <c r="CY431" s="21"/>
      <c r="CZ431" s="21"/>
      <c r="DA431" s="21"/>
      <c r="DB431" s="21"/>
      <c r="DC431" s="21"/>
      <c r="DD431" s="21"/>
      <c r="DE431" s="21"/>
      <c r="DF431" s="21"/>
    </row>
    <row r="432" spans="1:110" s="16" customFormat="1" x14ac:dyDescent="0.3">
      <c r="A432" s="21" t="s">
        <v>32</v>
      </c>
      <c r="B432" s="21" t="s">
        <v>190</v>
      </c>
      <c r="C432" s="21" t="s">
        <v>597</v>
      </c>
      <c r="D432" s="42">
        <f>(D284*inputs!$E$77)/(inputs!$E$31)^inputs!E104</f>
        <v>0</v>
      </c>
      <c r="E432" s="21" t="str">
        <f t="shared" ca="1" si="7"/>
        <v>=(D284*inputs!$E$77)/(inputs!$E$31)^inputs!E104</v>
      </c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  <c r="AT432" s="21"/>
      <c r="AU432" s="21"/>
      <c r="AV432" s="21"/>
      <c r="AW432" s="21"/>
      <c r="AX432" s="21"/>
      <c r="AY432" s="21"/>
      <c r="AZ432" s="21"/>
      <c r="BA432" s="21"/>
      <c r="BB432" s="21"/>
      <c r="BC432" s="21"/>
      <c r="BD432" s="21"/>
      <c r="BE432" s="21"/>
      <c r="BF432" s="21"/>
      <c r="BG432" s="21"/>
      <c r="BH432" s="21"/>
      <c r="BI432" s="21"/>
      <c r="BJ432" s="21"/>
      <c r="BK432" s="21"/>
      <c r="BL432" s="21"/>
      <c r="BM432" s="21"/>
      <c r="BN432" s="21"/>
      <c r="BO432" s="21"/>
      <c r="BP432" s="21"/>
      <c r="BQ432" s="21"/>
      <c r="BR432" s="21"/>
      <c r="BS432" s="21"/>
      <c r="BT432" s="21"/>
      <c r="BU432" s="21"/>
      <c r="BV432" s="21"/>
      <c r="BW432" s="21"/>
      <c r="BX432" s="21"/>
      <c r="BY432" s="21"/>
      <c r="BZ432" s="21"/>
      <c r="CA432" s="21"/>
      <c r="CB432" s="21"/>
      <c r="CC432" s="21"/>
      <c r="CD432" s="21"/>
      <c r="CE432" s="21"/>
      <c r="CF432" s="21"/>
      <c r="CG432" s="21"/>
      <c r="CH432" s="21"/>
      <c r="CI432" s="21"/>
      <c r="CJ432" s="21"/>
      <c r="CK432" s="21"/>
      <c r="CL432" s="21"/>
      <c r="CM432" s="21"/>
      <c r="CN432" s="21"/>
      <c r="CO432" s="21"/>
      <c r="CP432" s="21"/>
      <c r="CQ432" s="21"/>
      <c r="CR432" s="21"/>
      <c r="CS432" s="21"/>
      <c r="CT432" s="21"/>
      <c r="CU432" s="21"/>
      <c r="CV432" s="21"/>
      <c r="CW432" s="21"/>
      <c r="CX432" s="21"/>
      <c r="CY432" s="21"/>
      <c r="CZ432" s="21"/>
      <c r="DA432" s="21"/>
      <c r="DB432" s="21"/>
      <c r="DC432" s="21"/>
      <c r="DD432" s="21"/>
      <c r="DE432" s="21"/>
      <c r="DF432" s="21"/>
    </row>
    <row r="433" spans="1:110" s="16" customFormat="1" x14ac:dyDescent="0.3">
      <c r="A433" s="21" t="s">
        <v>32</v>
      </c>
      <c r="B433" s="21" t="s">
        <v>190</v>
      </c>
      <c r="C433" s="21" t="s">
        <v>598</v>
      </c>
      <c r="D433" s="42">
        <f>(D285*inputs!$E$77)/(inputs!$E$31)^inputs!E105</f>
        <v>0</v>
      </c>
      <c r="E433" s="21" t="str">
        <f t="shared" ca="1" si="7"/>
        <v>=(D285*inputs!$E$77)/(inputs!$E$31)^inputs!E105</v>
      </c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  <c r="AT433" s="21"/>
      <c r="AU433" s="21"/>
      <c r="AV433" s="21"/>
      <c r="AW433" s="21"/>
      <c r="AX433" s="21"/>
      <c r="AY433" s="21"/>
      <c r="AZ433" s="21"/>
      <c r="BA433" s="21"/>
      <c r="BB433" s="21"/>
      <c r="BC433" s="21"/>
      <c r="BD433" s="21"/>
      <c r="BE433" s="21"/>
      <c r="BF433" s="21"/>
      <c r="BG433" s="21"/>
      <c r="BH433" s="21"/>
      <c r="BI433" s="21"/>
      <c r="BJ433" s="21"/>
      <c r="BK433" s="21"/>
      <c r="BL433" s="21"/>
      <c r="BM433" s="21"/>
      <c r="BN433" s="21"/>
      <c r="BO433" s="21"/>
      <c r="BP433" s="21"/>
      <c r="BQ433" s="21"/>
      <c r="BR433" s="21"/>
      <c r="BS433" s="21"/>
      <c r="BT433" s="21"/>
      <c r="BU433" s="21"/>
      <c r="BV433" s="21"/>
      <c r="BW433" s="21"/>
      <c r="BX433" s="21"/>
      <c r="BY433" s="21"/>
      <c r="BZ433" s="21"/>
      <c r="CA433" s="21"/>
      <c r="CB433" s="21"/>
      <c r="CC433" s="21"/>
      <c r="CD433" s="21"/>
      <c r="CE433" s="21"/>
      <c r="CF433" s="21"/>
      <c r="CG433" s="21"/>
      <c r="CH433" s="21"/>
      <c r="CI433" s="21"/>
      <c r="CJ433" s="21"/>
      <c r="CK433" s="21"/>
      <c r="CL433" s="21"/>
      <c r="CM433" s="21"/>
      <c r="CN433" s="21"/>
      <c r="CO433" s="21"/>
      <c r="CP433" s="21"/>
      <c r="CQ433" s="21"/>
      <c r="CR433" s="21"/>
      <c r="CS433" s="21"/>
      <c r="CT433" s="21"/>
      <c r="CU433" s="21"/>
      <c r="CV433" s="21"/>
      <c r="CW433" s="21"/>
      <c r="CX433" s="21"/>
      <c r="CY433" s="21"/>
      <c r="CZ433" s="21"/>
      <c r="DA433" s="21"/>
      <c r="DB433" s="21"/>
      <c r="DC433" s="21"/>
      <c r="DD433" s="21"/>
      <c r="DE433" s="21"/>
      <c r="DF433" s="21"/>
    </row>
    <row r="434" spans="1:110" s="16" customFormat="1" x14ac:dyDescent="0.3">
      <c r="A434" s="21" t="s">
        <v>32</v>
      </c>
      <c r="B434" s="21" t="s">
        <v>190</v>
      </c>
      <c r="C434" s="21" t="s">
        <v>599</v>
      </c>
      <c r="D434" s="42">
        <f>(D286*inputs!$E$77)/(inputs!$E$31)^inputs!E106</f>
        <v>0</v>
      </c>
      <c r="E434" s="21" t="str">
        <f t="shared" ca="1" si="7"/>
        <v>=(D286*inputs!$E$77)/(inputs!$E$31)^inputs!E106</v>
      </c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  <c r="AT434" s="21"/>
      <c r="AU434" s="21"/>
      <c r="AV434" s="21"/>
      <c r="AW434" s="21"/>
      <c r="AX434" s="21"/>
      <c r="AY434" s="21"/>
      <c r="AZ434" s="21"/>
      <c r="BA434" s="21"/>
      <c r="BB434" s="21"/>
      <c r="BC434" s="21"/>
      <c r="BD434" s="21"/>
      <c r="BE434" s="21"/>
      <c r="BF434" s="21"/>
      <c r="BG434" s="21"/>
      <c r="BH434" s="21"/>
      <c r="BI434" s="21"/>
      <c r="BJ434" s="21"/>
      <c r="BK434" s="21"/>
      <c r="BL434" s="21"/>
      <c r="BM434" s="21"/>
      <c r="BN434" s="21"/>
      <c r="BO434" s="21"/>
      <c r="BP434" s="21"/>
      <c r="BQ434" s="21"/>
      <c r="BR434" s="21"/>
      <c r="BS434" s="21"/>
      <c r="BT434" s="21"/>
      <c r="BU434" s="21"/>
      <c r="BV434" s="21"/>
      <c r="BW434" s="21"/>
      <c r="BX434" s="21"/>
      <c r="BY434" s="21"/>
      <c r="BZ434" s="21"/>
      <c r="CA434" s="21"/>
      <c r="CB434" s="21"/>
      <c r="CC434" s="21"/>
      <c r="CD434" s="21"/>
      <c r="CE434" s="21"/>
      <c r="CF434" s="21"/>
      <c r="CG434" s="21"/>
      <c r="CH434" s="21"/>
      <c r="CI434" s="21"/>
      <c r="CJ434" s="21"/>
      <c r="CK434" s="21"/>
      <c r="CL434" s="21"/>
      <c r="CM434" s="21"/>
      <c r="CN434" s="21"/>
      <c r="CO434" s="21"/>
      <c r="CP434" s="21"/>
      <c r="CQ434" s="21"/>
      <c r="CR434" s="21"/>
      <c r="CS434" s="21"/>
      <c r="CT434" s="21"/>
      <c r="CU434" s="21"/>
      <c r="CV434" s="21"/>
      <c r="CW434" s="21"/>
      <c r="CX434" s="21"/>
      <c r="CY434" s="21"/>
      <c r="CZ434" s="21"/>
      <c r="DA434" s="21"/>
      <c r="DB434" s="21"/>
      <c r="DC434" s="21"/>
      <c r="DD434" s="21"/>
      <c r="DE434" s="21"/>
      <c r="DF434" s="21"/>
    </row>
    <row r="435" spans="1:110" s="16" customFormat="1" x14ac:dyDescent="0.3">
      <c r="A435" s="21" t="s">
        <v>32</v>
      </c>
      <c r="B435" s="21" t="s">
        <v>190</v>
      </c>
      <c r="C435" s="21" t="s">
        <v>600</v>
      </c>
      <c r="D435" s="42">
        <f>(D287*inputs!$E$77)/(inputs!$E$31)^inputs!E107</f>
        <v>0</v>
      </c>
      <c r="E435" s="21" t="str">
        <f t="shared" ca="1" si="7"/>
        <v>=(D287*inputs!$E$77)/(inputs!$E$31)^inputs!E107</v>
      </c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  <c r="AT435" s="21"/>
      <c r="AU435" s="21"/>
      <c r="AV435" s="21"/>
      <c r="AW435" s="21"/>
      <c r="AX435" s="21"/>
      <c r="AY435" s="21"/>
      <c r="AZ435" s="21"/>
      <c r="BA435" s="21"/>
      <c r="BB435" s="21"/>
      <c r="BC435" s="21"/>
      <c r="BD435" s="21"/>
      <c r="BE435" s="21"/>
      <c r="BF435" s="21"/>
      <c r="BG435" s="21"/>
      <c r="BH435" s="21"/>
      <c r="BI435" s="21"/>
      <c r="BJ435" s="21"/>
      <c r="BK435" s="21"/>
      <c r="BL435" s="21"/>
      <c r="BM435" s="21"/>
      <c r="BN435" s="21"/>
      <c r="BO435" s="21"/>
      <c r="BP435" s="21"/>
      <c r="BQ435" s="21"/>
      <c r="BR435" s="21"/>
      <c r="BS435" s="21"/>
      <c r="BT435" s="21"/>
      <c r="BU435" s="21"/>
      <c r="BV435" s="21"/>
      <c r="BW435" s="21"/>
      <c r="BX435" s="21"/>
      <c r="BY435" s="21"/>
      <c r="BZ435" s="21"/>
      <c r="CA435" s="21"/>
      <c r="CB435" s="21"/>
      <c r="CC435" s="21"/>
      <c r="CD435" s="21"/>
      <c r="CE435" s="21"/>
      <c r="CF435" s="21"/>
      <c r="CG435" s="21"/>
      <c r="CH435" s="21"/>
      <c r="CI435" s="21"/>
      <c r="CJ435" s="21"/>
      <c r="CK435" s="21"/>
      <c r="CL435" s="21"/>
      <c r="CM435" s="21"/>
      <c r="CN435" s="21"/>
      <c r="CO435" s="21"/>
      <c r="CP435" s="21"/>
      <c r="CQ435" s="21"/>
      <c r="CR435" s="21"/>
      <c r="CS435" s="21"/>
      <c r="CT435" s="21"/>
      <c r="CU435" s="21"/>
      <c r="CV435" s="21"/>
      <c r="CW435" s="21"/>
      <c r="CX435" s="21"/>
      <c r="CY435" s="21"/>
      <c r="CZ435" s="21"/>
      <c r="DA435" s="21"/>
      <c r="DB435" s="21"/>
      <c r="DC435" s="21"/>
      <c r="DD435" s="21"/>
      <c r="DE435" s="21"/>
      <c r="DF435" s="21"/>
    </row>
    <row r="436" spans="1:110" s="16" customFormat="1" x14ac:dyDescent="0.3">
      <c r="A436" s="21" t="s">
        <v>32</v>
      </c>
      <c r="B436" s="21" t="s">
        <v>190</v>
      </c>
      <c r="C436" s="21" t="s">
        <v>601</v>
      </c>
      <c r="D436" s="42">
        <f>(D288*inputs!$E$77)/(inputs!$E$31)^inputs!E108</f>
        <v>0</v>
      </c>
      <c r="E436" s="21" t="str">
        <f t="shared" ca="1" si="7"/>
        <v>=(D288*inputs!$E$77)/(inputs!$E$31)^inputs!E108</v>
      </c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  <c r="AT436" s="21"/>
      <c r="AU436" s="21"/>
      <c r="AV436" s="21"/>
      <c r="AW436" s="21"/>
      <c r="AX436" s="21"/>
      <c r="AY436" s="21"/>
      <c r="AZ436" s="21"/>
      <c r="BA436" s="21"/>
      <c r="BB436" s="21"/>
      <c r="BC436" s="21"/>
      <c r="BD436" s="21"/>
      <c r="BE436" s="21"/>
      <c r="BF436" s="21"/>
      <c r="BG436" s="21"/>
      <c r="BH436" s="21"/>
      <c r="BI436" s="21"/>
      <c r="BJ436" s="21"/>
      <c r="BK436" s="21"/>
      <c r="BL436" s="21"/>
      <c r="BM436" s="21"/>
      <c r="BN436" s="21"/>
      <c r="BO436" s="21"/>
      <c r="BP436" s="21"/>
      <c r="BQ436" s="21"/>
      <c r="BR436" s="21"/>
      <c r="BS436" s="21"/>
      <c r="BT436" s="21"/>
      <c r="BU436" s="21"/>
      <c r="BV436" s="21"/>
      <c r="BW436" s="21"/>
      <c r="BX436" s="21"/>
      <c r="BY436" s="21"/>
      <c r="BZ436" s="21"/>
      <c r="CA436" s="21"/>
      <c r="CB436" s="21"/>
      <c r="CC436" s="21"/>
      <c r="CD436" s="21"/>
      <c r="CE436" s="21"/>
      <c r="CF436" s="21"/>
      <c r="CG436" s="21"/>
      <c r="CH436" s="21"/>
      <c r="CI436" s="21"/>
      <c r="CJ436" s="21"/>
      <c r="CK436" s="21"/>
      <c r="CL436" s="21"/>
      <c r="CM436" s="21"/>
      <c r="CN436" s="21"/>
      <c r="CO436" s="21"/>
      <c r="CP436" s="21"/>
      <c r="CQ436" s="21"/>
      <c r="CR436" s="21"/>
      <c r="CS436" s="21"/>
      <c r="CT436" s="21"/>
      <c r="CU436" s="21"/>
      <c r="CV436" s="21"/>
      <c r="CW436" s="21"/>
      <c r="CX436" s="21"/>
      <c r="CY436" s="21"/>
      <c r="CZ436" s="21"/>
      <c r="DA436" s="21"/>
      <c r="DB436" s="21"/>
      <c r="DC436" s="21"/>
      <c r="DD436" s="21"/>
      <c r="DE436" s="21"/>
      <c r="DF436" s="21"/>
    </row>
    <row r="437" spans="1:110" s="16" customFormat="1" x14ac:dyDescent="0.3">
      <c r="A437" s="21" t="s">
        <v>32</v>
      </c>
      <c r="B437" s="21" t="s">
        <v>190</v>
      </c>
      <c r="C437" s="21" t="s">
        <v>602</v>
      </c>
      <c r="D437" s="42">
        <f>(D289*inputs!$E$77)/(inputs!$E$31)^inputs!E109</f>
        <v>0</v>
      </c>
      <c r="E437" s="21" t="str">
        <f t="shared" ca="1" si="7"/>
        <v>=(D289*inputs!$E$77)/(inputs!$E$31)^inputs!E109</v>
      </c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  <c r="AT437" s="21"/>
      <c r="AU437" s="21"/>
      <c r="AV437" s="21"/>
      <c r="AW437" s="21"/>
      <c r="AX437" s="21"/>
      <c r="AY437" s="21"/>
      <c r="AZ437" s="21"/>
      <c r="BA437" s="21"/>
      <c r="BB437" s="21"/>
      <c r="BC437" s="21"/>
      <c r="BD437" s="21"/>
      <c r="BE437" s="21"/>
      <c r="BF437" s="21"/>
      <c r="BG437" s="21"/>
      <c r="BH437" s="21"/>
      <c r="BI437" s="21"/>
      <c r="BJ437" s="21"/>
      <c r="BK437" s="21"/>
      <c r="BL437" s="21"/>
      <c r="BM437" s="21"/>
      <c r="BN437" s="21"/>
      <c r="BO437" s="21"/>
      <c r="BP437" s="21"/>
      <c r="BQ437" s="21"/>
      <c r="BR437" s="21"/>
      <c r="BS437" s="21"/>
      <c r="BT437" s="21"/>
      <c r="BU437" s="21"/>
      <c r="BV437" s="21"/>
      <c r="BW437" s="21"/>
      <c r="BX437" s="21"/>
      <c r="BY437" s="21"/>
      <c r="BZ437" s="21"/>
      <c r="CA437" s="21"/>
      <c r="CB437" s="21"/>
      <c r="CC437" s="21"/>
      <c r="CD437" s="21"/>
      <c r="CE437" s="21"/>
      <c r="CF437" s="21"/>
      <c r="CG437" s="21"/>
      <c r="CH437" s="21"/>
      <c r="CI437" s="21"/>
      <c r="CJ437" s="21"/>
      <c r="CK437" s="21"/>
      <c r="CL437" s="21"/>
      <c r="CM437" s="21"/>
      <c r="CN437" s="21"/>
      <c r="CO437" s="21"/>
      <c r="CP437" s="21"/>
      <c r="CQ437" s="21"/>
      <c r="CR437" s="21"/>
      <c r="CS437" s="21"/>
      <c r="CT437" s="21"/>
      <c r="CU437" s="21"/>
      <c r="CV437" s="21"/>
      <c r="CW437" s="21"/>
      <c r="CX437" s="21"/>
      <c r="CY437" s="21"/>
      <c r="CZ437" s="21"/>
      <c r="DA437" s="21"/>
      <c r="DB437" s="21"/>
      <c r="DC437" s="21"/>
      <c r="DD437" s="21"/>
      <c r="DE437" s="21"/>
      <c r="DF437" s="21"/>
    </row>
    <row r="438" spans="1:110" s="16" customFormat="1" x14ac:dyDescent="0.3">
      <c r="A438" s="21" t="s">
        <v>32</v>
      </c>
      <c r="B438" s="21" t="s">
        <v>190</v>
      </c>
      <c r="C438" s="21" t="s">
        <v>603</v>
      </c>
      <c r="D438" s="42">
        <f>(D290*inputs!$E$77)/(inputs!$E$31)^inputs!E110</f>
        <v>0</v>
      </c>
      <c r="E438" s="21" t="str">
        <f t="shared" ca="1" si="7"/>
        <v>=(D290*inputs!$E$77)/(inputs!$E$31)^inputs!E110</v>
      </c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  <c r="AT438" s="21"/>
      <c r="AU438" s="21"/>
      <c r="AV438" s="21"/>
      <c r="AW438" s="21"/>
      <c r="AX438" s="21"/>
      <c r="AY438" s="21"/>
      <c r="AZ438" s="21"/>
      <c r="BA438" s="21"/>
      <c r="BB438" s="21"/>
      <c r="BC438" s="21"/>
      <c r="BD438" s="21"/>
      <c r="BE438" s="21"/>
      <c r="BF438" s="21"/>
      <c r="BG438" s="21"/>
      <c r="BH438" s="21"/>
      <c r="BI438" s="21"/>
      <c r="BJ438" s="21"/>
      <c r="BK438" s="21"/>
      <c r="BL438" s="21"/>
      <c r="BM438" s="21"/>
      <c r="BN438" s="21"/>
      <c r="BO438" s="21"/>
      <c r="BP438" s="21"/>
      <c r="BQ438" s="21"/>
      <c r="BR438" s="21"/>
      <c r="BS438" s="21"/>
      <c r="BT438" s="21"/>
      <c r="BU438" s="21"/>
      <c r="BV438" s="21"/>
      <c r="BW438" s="21"/>
      <c r="BX438" s="21"/>
      <c r="BY438" s="21"/>
      <c r="BZ438" s="21"/>
      <c r="CA438" s="21"/>
      <c r="CB438" s="21"/>
      <c r="CC438" s="21"/>
      <c r="CD438" s="21"/>
      <c r="CE438" s="21"/>
      <c r="CF438" s="21"/>
      <c r="CG438" s="21"/>
      <c r="CH438" s="21"/>
      <c r="CI438" s="21"/>
      <c r="CJ438" s="21"/>
      <c r="CK438" s="21"/>
      <c r="CL438" s="21"/>
      <c r="CM438" s="21"/>
      <c r="CN438" s="21"/>
      <c r="CO438" s="21"/>
      <c r="CP438" s="21"/>
      <c r="CQ438" s="21"/>
      <c r="CR438" s="21"/>
      <c r="CS438" s="21"/>
      <c r="CT438" s="21"/>
      <c r="CU438" s="21"/>
      <c r="CV438" s="21"/>
      <c r="CW438" s="21"/>
      <c r="CX438" s="21"/>
      <c r="CY438" s="21"/>
      <c r="CZ438" s="21"/>
      <c r="DA438" s="21"/>
      <c r="DB438" s="21"/>
      <c r="DC438" s="21"/>
      <c r="DD438" s="21"/>
      <c r="DE438" s="21"/>
      <c r="DF438" s="21"/>
    </row>
    <row r="439" spans="1:110" s="16" customFormat="1" x14ac:dyDescent="0.3">
      <c r="A439" s="21" t="s">
        <v>32</v>
      </c>
      <c r="B439" s="21" t="s">
        <v>190</v>
      </c>
      <c r="C439" s="21" t="s">
        <v>604</v>
      </c>
      <c r="D439" s="42">
        <f>(D291*inputs!$E$77)/(inputs!$E$31)^inputs!E111</f>
        <v>0</v>
      </c>
      <c r="E439" s="21" t="str">
        <f t="shared" ca="1" si="7"/>
        <v>=(D291*inputs!$E$77)/(inputs!$E$31)^inputs!E111</v>
      </c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  <c r="AT439" s="21"/>
      <c r="AU439" s="21"/>
      <c r="AV439" s="21"/>
      <c r="AW439" s="21"/>
      <c r="AX439" s="21"/>
      <c r="AY439" s="21"/>
      <c r="AZ439" s="21"/>
      <c r="BA439" s="21"/>
      <c r="BB439" s="21"/>
      <c r="BC439" s="21"/>
      <c r="BD439" s="21"/>
      <c r="BE439" s="21"/>
      <c r="BF439" s="21"/>
      <c r="BG439" s="21"/>
      <c r="BH439" s="21"/>
      <c r="BI439" s="21"/>
      <c r="BJ439" s="21"/>
      <c r="BK439" s="21"/>
      <c r="BL439" s="21"/>
      <c r="BM439" s="21"/>
      <c r="BN439" s="21"/>
      <c r="BO439" s="21"/>
      <c r="BP439" s="21"/>
      <c r="BQ439" s="21"/>
      <c r="BR439" s="21"/>
      <c r="BS439" s="21"/>
      <c r="BT439" s="21"/>
      <c r="BU439" s="21"/>
      <c r="BV439" s="21"/>
      <c r="BW439" s="21"/>
      <c r="BX439" s="21"/>
      <c r="BY439" s="21"/>
      <c r="BZ439" s="21"/>
      <c r="CA439" s="21"/>
      <c r="CB439" s="21"/>
      <c r="CC439" s="21"/>
      <c r="CD439" s="21"/>
      <c r="CE439" s="21"/>
      <c r="CF439" s="21"/>
      <c r="CG439" s="21"/>
      <c r="CH439" s="21"/>
      <c r="CI439" s="21"/>
      <c r="CJ439" s="21"/>
      <c r="CK439" s="21"/>
      <c r="CL439" s="21"/>
      <c r="CM439" s="21"/>
      <c r="CN439" s="21"/>
      <c r="CO439" s="21"/>
      <c r="CP439" s="21"/>
      <c r="CQ439" s="21"/>
      <c r="CR439" s="21"/>
      <c r="CS439" s="21"/>
      <c r="CT439" s="21"/>
      <c r="CU439" s="21"/>
      <c r="CV439" s="21"/>
      <c r="CW439" s="21"/>
      <c r="CX439" s="21"/>
      <c r="CY439" s="21"/>
      <c r="CZ439" s="21"/>
      <c r="DA439" s="21"/>
      <c r="DB439" s="21"/>
      <c r="DC439" s="21"/>
      <c r="DD439" s="21"/>
      <c r="DE439" s="21"/>
      <c r="DF439" s="21"/>
    </row>
    <row r="440" spans="1:110" s="16" customFormat="1" x14ac:dyDescent="0.3">
      <c r="A440" s="21" t="s">
        <v>32</v>
      </c>
      <c r="B440" s="21" t="s">
        <v>190</v>
      </c>
      <c r="C440" s="21" t="s">
        <v>605</v>
      </c>
      <c r="D440" s="42">
        <f>(D292*inputs!$E$77)/(inputs!$E$31)^inputs!E112</f>
        <v>0</v>
      </c>
      <c r="E440" s="21" t="str">
        <f t="shared" ca="1" si="7"/>
        <v>=(D292*inputs!$E$77)/(inputs!$E$31)^inputs!E112</v>
      </c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  <c r="AT440" s="21"/>
      <c r="AU440" s="21"/>
      <c r="AV440" s="21"/>
      <c r="AW440" s="21"/>
      <c r="AX440" s="21"/>
      <c r="AY440" s="21"/>
      <c r="AZ440" s="21"/>
      <c r="BA440" s="21"/>
      <c r="BB440" s="21"/>
      <c r="BC440" s="21"/>
      <c r="BD440" s="21"/>
      <c r="BE440" s="21"/>
      <c r="BF440" s="21"/>
      <c r="BG440" s="21"/>
      <c r="BH440" s="21"/>
      <c r="BI440" s="21"/>
      <c r="BJ440" s="21"/>
      <c r="BK440" s="21"/>
      <c r="BL440" s="21"/>
      <c r="BM440" s="21"/>
      <c r="BN440" s="21"/>
      <c r="BO440" s="21"/>
      <c r="BP440" s="21"/>
      <c r="BQ440" s="21"/>
      <c r="BR440" s="21"/>
      <c r="BS440" s="21"/>
      <c r="BT440" s="21"/>
      <c r="BU440" s="21"/>
      <c r="BV440" s="21"/>
      <c r="BW440" s="21"/>
      <c r="BX440" s="21"/>
      <c r="BY440" s="21"/>
      <c r="BZ440" s="21"/>
      <c r="CA440" s="21"/>
      <c r="CB440" s="21"/>
      <c r="CC440" s="21"/>
      <c r="CD440" s="21"/>
      <c r="CE440" s="21"/>
      <c r="CF440" s="21"/>
      <c r="CG440" s="21"/>
      <c r="CH440" s="21"/>
      <c r="CI440" s="21"/>
      <c r="CJ440" s="21"/>
      <c r="CK440" s="21"/>
      <c r="CL440" s="21"/>
      <c r="CM440" s="21"/>
      <c r="CN440" s="21"/>
      <c r="CO440" s="21"/>
      <c r="CP440" s="21"/>
      <c r="CQ440" s="21"/>
      <c r="CR440" s="21"/>
      <c r="CS440" s="21"/>
      <c r="CT440" s="21"/>
      <c r="CU440" s="21"/>
      <c r="CV440" s="21"/>
      <c r="CW440" s="21"/>
      <c r="CX440" s="21"/>
      <c r="CY440" s="21"/>
      <c r="CZ440" s="21"/>
      <c r="DA440" s="21"/>
      <c r="DB440" s="21"/>
      <c r="DC440" s="21"/>
      <c r="DD440" s="21"/>
      <c r="DE440" s="21"/>
      <c r="DF440" s="21"/>
    </row>
    <row r="441" spans="1:110" s="16" customFormat="1" x14ac:dyDescent="0.3">
      <c r="A441" s="21" t="s">
        <v>32</v>
      </c>
      <c r="B441" s="21" t="s">
        <v>190</v>
      </c>
      <c r="C441" s="21" t="s">
        <v>606</v>
      </c>
      <c r="D441" s="42">
        <f>(D293*inputs!$E$77)/(inputs!$E$31)^inputs!E113</f>
        <v>0</v>
      </c>
      <c r="E441" s="21" t="str">
        <f t="shared" ca="1" si="7"/>
        <v>=(D293*inputs!$E$77)/(inputs!$E$31)^inputs!E113</v>
      </c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  <c r="AT441" s="21"/>
      <c r="AU441" s="21"/>
      <c r="AV441" s="21"/>
      <c r="AW441" s="21"/>
      <c r="AX441" s="21"/>
      <c r="AY441" s="21"/>
      <c r="AZ441" s="21"/>
      <c r="BA441" s="21"/>
      <c r="BB441" s="21"/>
      <c r="BC441" s="21"/>
      <c r="BD441" s="21"/>
      <c r="BE441" s="21"/>
      <c r="BF441" s="21"/>
      <c r="BG441" s="21"/>
      <c r="BH441" s="21"/>
      <c r="BI441" s="21"/>
      <c r="BJ441" s="21"/>
      <c r="BK441" s="21"/>
      <c r="BL441" s="21"/>
      <c r="BM441" s="21"/>
      <c r="BN441" s="21"/>
      <c r="BO441" s="21"/>
      <c r="BP441" s="21"/>
      <c r="BQ441" s="21"/>
      <c r="BR441" s="21"/>
      <c r="BS441" s="21"/>
      <c r="BT441" s="21"/>
      <c r="BU441" s="21"/>
      <c r="BV441" s="21"/>
      <c r="BW441" s="21"/>
      <c r="BX441" s="21"/>
      <c r="BY441" s="21"/>
      <c r="BZ441" s="21"/>
      <c r="CA441" s="21"/>
      <c r="CB441" s="21"/>
      <c r="CC441" s="21"/>
      <c r="CD441" s="21"/>
      <c r="CE441" s="21"/>
      <c r="CF441" s="21"/>
      <c r="CG441" s="21"/>
      <c r="CH441" s="21"/>
      <c r="CI441" s="21"/>
      <c r="CJ441" s="21"/>
      <c r="CK441" s="21"/>
      <c r="CL441" s="21"/>
      <c r="CM441" s="21"/>
      <c r="CN441" s="21"/>
      <c r="CO441" s="21"/>
      <c r="CP441" s="21"/>
      <c r="CQ441" s="21"/>
      <c r="CR441" s="21"/>
      <c r="CS441" s="21"/>
      <c r="CT441" s="21"/>
      <c r="CU441" s="21"/>
      <c r="CV441" s="21"/>
      <c r="CW441" s="21"/>
      <c r="CX441" s="21"/>
      <c r="CY441" s="21"/>
      <c r="CZ441" s="21"/>
      <c r="DA441" s="21"/>
      <c r="DB441" s="21"/>
      <c r="DC441" s="21"/>
      <c r="DD441" s="21"/>
      <c r="DE441" s="21"/>
      <c r="DF441" s="21"/>
    </row>
    <row r="442" spans="1:110" s="16" customFormat="1" x14ac:dyDescent="0.3">
      <c r="A442" s="21" t="s">
        <v>32</v>
      </c>
      <c r="B442" s="21" t="s">
        <v>190</v>
      </c>
      <c r="C442" s="21" t="s">
        <v>607</v>
      </c>
      <c r="D442" s="42">
        <f>(D294*inputs!$E$77)/(inputs!$E$31)^inputs!E114</f>
        <v>0</v>
      </c>
      <c r="E442" s="21" t="str">
        <f t="shared" ca="1" si="7"/>
        <v>=(D294*inputs!$E$77)/(inputs!$E$31)^inputs!E114</v>
      </c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  <c r="AT442" s="21"/>
      <c r="AU442" s="21"/>
      <c r="AV442" s="21"/>
      <c r="AW442" s="21"/>
      <c r="AX442" s="21"/>
      <c r="AY442" s="21"/>
      <c r="AZ442" s="21"/>
      <c r="BA442" s="21"/>
      <c r="BB442" s="21"/>
      <c r="BC442" s="21"/>
      <c r="BD442" s="21"/>
      <c r="BE442" s="21"/>
      <c r="BF442" s="21"/>
      <c r="BG442" s="21"/>
      <c r="BH442" s="21"/>
      <c r="BI442" s="21"/>
      <c r="BJ442" s="21"/>
      <c r="BK442" s="21"/>
      <c r="BL442" s="21"/>
      <c r="BM442" s="21"/>
      <c r="BN442" s="21"/>
      <c r="BO442" s="21"/>
      <c r="BP442" s="21"/>
      <c r="BQ442" s="21"/>
      <c r="BR442" s="21"/>
      <c r="BS442" s="21"/>
      <c r="BT442" s="21"/>
      <c r="BU442" s="21"/>
      <c r="BV442" s="21"/>
      <c r="BW442" s="21"/>
      <c r="BX442" s="21"/>
      <c r="BY442" s="21"/>
      <c r="BZ442" s="21"/>
      <c r="CA442" s="21"/>
      <c r="CB442" s="21"/>
      <c r="CC442" s="21"/>
      <c r="CD442" s="21"/>
      <c r="CE442" s="21"/>
      <c r="CF442" s="21"/>
      <c r="CG442" s="21"/>
      <c r="CH442" s="21"/>
      <c r="CI442" s="21"/>
      <c r="CJ442" s="21"/>
      <c r="CK442" s="21"/>
      <c r="CL442" s="21"/>
      <c r="CM442" s="21"/>
      <c r="CN442" s="21"/>
      <c r="CO442" s="21"/>
      <c r="CP442" s="21"/>
      <c r="CQ442" s="21"/>
      <c r="CR442" s="21"/>
      <c r="CS442" s="21"/>
      <c r="CT442" s="21"/>
      <c r="CU442" s="21"/>
      <c r="CV442" s="21"/>
      <c r="CW442" s="21"/>
      <c r="CX442" s="21"/>
      <c r="CY442" s="21"/>
      <c r="CZ442" s="21"/>
      <c r="DA442" s="21"/>
      <c r="DB442" s="21"/>
      <c r="DC442" s="21"/>
      <c r="DD442" s="21"/>
      <c r="DE442" s="21"/>
      <c r="DF442" s="21"/>
    </row>
    <row r="443" spans="1:110" s="16" customFormat="1" x14ac:dyDescent="0.3">
      <c r="A443" s="21" t="s">
        <v>32</v>
      </c>
      <c r="B443" s="21" t="s">
        <v>190</v>
      </c>
      <c r="C443" s="21" t="s">
        <v>608</v>
      </c>
      <c r="D443" s="42">
        <f>(D295*inputs!$E$77)/(inputs!$E$31)^inputs!E115</f>
        <v>0</v>
      </c>
      <c r="E443" s="21" t="str">
        <f t="shared" ca="1" si="7"/>
        <v>=(D295*inputs!$E$77)/(inputs!$E$31)^inputs!E115</v>
      </c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  <c r="AT443" s="21"/>
      <c r="AU443" s="21"/>
      <c r="AV443" s="21"/>
      <c r="AW443" s="21"/>
      <c r="AX443" s="21"/>
      <c r="AY443" s="21"/>
      <c r="AZ443" s="21"/>
      <c r="BA443" s="21"/>
      <c r="BB443" s="21"/>
      <c r="BC443" s="21"/>
      <c r="BD443" s="21"/>
      <c r="BE443" s="21"/>
      <c r="BF443" s="21"/>
      <c r="BG443" s="21"/>
      <c r="BH443" s="21"/>
      <c r="BI443" s="21"/>
      <c r="BJ443" s="21"/>
      <c r="BK443" s="21"/>
      <c r="BL443" s="21"/>
      <c r="BM443" s="21"/>
      <c r="BN443" s="21"/>
      <c r="BO443" s="21"/>
      <c r="BP443" s="21"/>
      <c r="BQ443" s="21"/>
      <c r="BR443" s="21"/>
      <c r="BS443" s="21"/>
      <c r="BT443" s="21"/>
      <c r="BU443" s="21"/>
      <c r="BV443" s="21"/>
      <c r="BW443" s="21"/>
      <c r="BX443" s="21"/>
      <c r="BY443" s="21"/>
      <c r="BZ443" s="21"/>
      <c r="CA443" s="21"/>
      <c r="CB443" s="21"/>
      <c r="CC443" s="21"/>
      <c r="CD443" s="21"/>
      <c r="CE443" s="21"/>
      <c r="CF443" s="21"/>
      <c r="CG443" s="21"/>
      <c r="CH443" s="21"/>
      <c r="CI443" s="21"/>
      <c r="CJ443" s="21"/>
      <c r="CK443" s="21"/>
      <c r="CL443" s="21"/>
      <c r="CM443" s="21"/>
      <c r="CN443" s="21"/>
      <c r="CO443" s="21"/>
      <c r="CP443" s="21"/>
      <c r="CQ443" s="21"/>
      <c r="CR443" s="21"/>
      <c r="CS443" s="21"/>
      <c r="CT443" s="21"/>
      <c r="CU443" s="21"/>
      <c r="CV443" s="21"/>
      <c r="CW443" s="21"/>
      <c r="CX443" s="21"/>
      <c r="CY443" s="21"/>
      <c r="CZ443" s="21"/>
      <c r="DA443" s="21"/>
      <c r="DB443" s="21"/>
      <c r="DC443" s="21"/>
      <c r="DD443" s="21"/>
      <c r="DE443" s="21"/>
      <c r="DF443" s="21"/>
    </row>
    <row r="444" spans="1:110" s="16" customFormat="1" x14ac:dyDescent="0.3">
      <c r="A444" s="21" t="s">
        <v>32</v>
      </c>
      <c r="B444" s="21" t="s">
        <v>190</v>
      </c>
      <c r="C444" s="21" t="s">
        <v>609</v>
      </c>
      <c r="D444" s="42">
        <f>(D296*inputs!$E$77)/(inputs!$E$31)^inputs!E116</f>
        <v>0</v>
      </c>
      <c r="E444" s="21" t="str">
        <f t="shared" ca="1" si="7"/>
        <v>=(D296*inputs!$E$77)/(inputs!$E$31)^inputs!E116</v>
      </c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  <c r="AT444" s="21"/>
      <c r="AU444" s="21"/>
      <c r="AV444" s="21"/>
      <c r="AW444" s="21"/>
      <c r="AX444" s="21"/>
      <c r="AY444" s="21"/>
      <c r="AZ444" s="21"/>
      <c r="BA444" s="21"/>
      <c r="BB444" s="21"/>
      <c r="BC444" s="21"/>
      <c r="BD444" s="21"/>
      <c r="BE444" s="21"/>
      <c r="BF444" s="21"/>
      <c r="BG444" s="21"/>
      <c r="BH444" s="21"/>
      <c r="BI444" s="21"/>
      <c r="BJ444" s="21"/>
      <c r="BK444" s="21"/>
      <c r="BL444" s="21"/>
      <c r="BM444" s="21"/>
      <c r="BN444" s="21"/>
      <c r="BO444" s="21"/>
      <c r="BP444" s="21"/>
      <c r="BQ444" s="21"/>
      <c r="BR444" s="21"/>
      <c r="BS444" s="21"/>
      <c r="BT444" s="21"/>
      <c r="BU444" s="21"/>
      <c r="BV444" s="21"/>
      <c r="BW444" s="21"/>
      <c r="BX444" s="21"/>
      <c r="BY444" s="21"/>
      <c r="BZ444" s="21"/>
      <c r="CA444" s="21"/>
      <c r="CB444" s="21"/>
      <c r="CC444" s="21"/>
      <c r="CD444" s="21"/>
      <c r="CE444" s="21"/>
      <c r="CF444" s="21"/>
      <c r="CG444" s="21"/>
      <c r="CH444" s="21"/>
      <c r="CI444" s="21"/>
      <c r="CJ444" s="21"/>
      <c r="CK444" s="21"/>
      <c r="CL444" s="21"/>
      <c r="CM444" s="21"/>
      <c r="CN444" s="21"/>
      <c r="CO444" s="21"/>
      <c r="CP444" s="21"/>
      <c r="CQ444" s="21"/>
      <c r="CR444" s="21"/>
      <c r="CS444" s="21"/>
      <c r="CT444" s="21"/>
      <c r="CU444" s="21"/>
      <c r="CV444" s="21"/>
      <c r="CW444" s="21"/>
      <c r="CX444" s="21"/>
      <c r="CY444" s="21"/>
      <c r="CZ444" s="21"/>
      <c r="DA444" s="21"/>
      <c r="DB444" s="21"/>
      <c r="DC444" s="21"/>
      <c r="DD444" s="21"/>
      <c r="DE444" s="21"/>
      <c r="DF444" s="21"/>
    </row>
    <row r="445" spans="1:110" s="16" customFormat="1" x14ac:dyDescent="0.3">
      <c r="A445" s="21" t="s">
        <v>32</v>
      </c>
      <c r="B445" s="21" t="s">
        <v>190</v>
      </c>
      <c r="C445" s="21" t="s">
        <v>610</v>
      </c>
      <c r="D445" s="42">
        <f>(D297*inputs!$E$77)/(inputs!$E$31)^inputs!E117</f>
        <v>0</v>
      </c>
      <c r="E445" s="21" t="str">
        <f t="shared" ca="1" si="7"/>
        <v>=(D297*inputs!$E$77)/(inputs!$E$31)^inputs!E117</v>
      </c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  <c r="AT445" s="21"/>
      <c r="AU445" s="21"/>
      <c r="AV445" s="21"/>
      <c r="AW445" s="21"/>
      <c r="AX445" s="21"/>
      <c r="AY445" s="21"/>
      <c r="AZ445" s="21"/>
      <c r="BA445" s="21"/>
      <c r="BB445" s="21"/>
      <c r="BC445" s="21"/>
      <c r="BD445" s="21"/>
      <c r="BE445" s="21"/>
      <c r="BF445" s="21"/>
      <c r="BG445" s="21"/>
      <c r="BH445" s="21"/>
      <c r="BI445" s="21"/>
      <c r="BJ445" s="21"/>
      <c r="BK445" s="21"/>
      <c r="BL445" s="21"/>
      <c r="BM445" s="21"/>
      <c r="BN445" s="21"/>
      <c r="BO445" s="21"/>
      <c r="BP445" s="21"/>
      <c r="BQ445" s="21"/>
      <c r="BR445" s="21"/>
      <c r="BS445" s="21"/>
      <c r="BT445" s="21"/>
      <c r="BU445" s="21"/>
      <c r="BV445" s="21"/>
      <c r="BW445" s="21"/>
      <c r="BX445" s="21"/>
      <c r="BY445" s="21"/>
      <c r="BZ445" s="21"/>
      <c r="CA445" s="21"/>
      <c r="CB445" s="21"/>
      <c r="CC445" s="21"/>
      <c r="CD445" s="21"/>
      <c r="CE445" s="21"/>
      <c r="CF445" s="21"/>
      <c r="CG445" s="21"/>
      <c r="CH445" s="21"/>
      <c r="CI445" s="21"/>
      <c r="CJ445" s="21"/>
      <c r="CK445" s="21"/>
      <c r="CL445" s="21"/>
      <c r="CM445" s="21"/>
      <c r="CN445" s="21"/>
      <c r="CO445" s="21"/>
      <c r="CP445" s="21"/>
      <c r="CQ445" s="21"/>
      <c r="CR445" s="21"/>
      <c r="CS445" s="21"/>
      <c r="CT445" s="21"/>
      <c r="CU445" s="21"/>
      <c r="CV445" s="21"/>
      <c r="CW445" s="21"/>
      <c r="CX445" s="21"/>
      <c r="CY445" s="21"/>
      <c r="CZ445" s="21"/>
      <c r="DA445" s="21"/>
      <c r="DB445" s="21"/>
      <c r="DC445" s="21"/>
      <c r="DD445" s="21"/>
      <c r="DE445" s="21"/>
      <c r="DF445" s="21"/>
    </row>
    <row r="446" spans="1:110" s="16" customFormat="1" x14ac:dyDescent="0.3">
      <c r="A446" s="21" t="s">
        <v>32</v>
      </c>
      <c r="B446" s="21" t="s">
        <v>190</v>
      </c>
      <c r="C446" s="21" t="s">
        <v>611</v>
      </c>
      <c r="D446" s="42">
        <f>(D298*inputs!$E$77)/(inputs!$E$31)^inputs!E118</f>
        <v>0</v>
      </c>
      <c r="E446" s="21" t="str">
        <f t="shared" ca="1" si="7"/>
        <v>=(D298*inputs!$E$77)/(inputs!$E$31)^inputs!E118</v>
      </c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  <c r="AT446" s="21"/>
      <c r="AU446" s="21"/>
      <c r="AV446" s="21"/>
      <c r="AW446" s="21"/>
      <c r="AX446" s="21"/>
      <c r="AY446" s="21"/>
      <c r="AZ446" s="21"/>
      <c r="BA446" s="21"/>
      <c r="BB446" s="21"/>
      <c r="BC446" s="21"/>
      <c r="BD446" s="21"/>
      <c r="BE446" s="21"/>
      <c r="BF446" s="21"/>
      <c r="BG446" s="21"/>
      <c r="BH446" s="21"/>
      <c r="BI446" s="21"/>
      <c r="BJ446" s="21"/>
      <c r="BK446" s="21"/>
      <c r="BL446" s="21"/>
      <c r="BM446" s="21"/>
      <c r="BN446" s="21"/>
      <c r="BO446" s="21"/>
      <c r="BP446" s="21"/>
      <c r="BQ446" s="21"/>
      <c r="BR446" s="21"/>
      <c r="BS446" s="21"/>
      <c r="BT446" s="21"/>
      <c r="BU446" s="21"/>
      <c r="BV446" s="21"/>
      <c r="BW446" s="21"/>
      <c r="BX446" s="21"/>
      <c r="BY446" s="21"/>
      <c r="BZ446" s="21"/>
      <c r="CA446" s="21"/>
      <c r="CB446" s="21"/>
      <c r="CC446" s="21"/>
      <c r="CD446" s="21"/>
      <c r="CE446" s="21"/>
      <c r="CF446" s="21"/>
      <c r="CG446" s="21"/>
      <c r="CH446" s="21"/>
      <c r="CI446" s="21"/>
      <c r="CJ446" s="21"/>
      <c r="CK446" s="21"/>
      <c r="CL446" s="21"/>
      <c r="CM446" s="21"/>
      <c r="CN446" s="21"/>
      <c r="CO446" s="21"/>
      <c r="CP446" s="21"/>
      <c r="CQ446" s="21"/>
      <c r="CR446" s="21"/>
      <c r="CS446" s="21"/>
      <c r="CT446" s="21"/>
      <c r="CU446" s="21"/>
      <c r="CV446" s="21"/>
      <c r="CW446" s="21"/>
      <c r="CX446" s="21"/>
      <c r="CY446" s="21"/>
      <c r="CZ446" s="21"/>
      <c r="DA446" s="21"/>
      <c r="DB446" s="21"/>
      <c r="DC446" s="21"/>
      <c r="DD446" s="21"/>
      <c r="DE446" s="21"/>
      <c r="DF446" s="21"/>
    </row>
    <row r="447" spans="1:110" s="16" customFormat="1" x14ac:dyDescent="0.3">
      <c r="A447" s="21" t="s">
        <v>32</v>
      </c>
      <c r="B447" s="21" t="s">
        <v>190</v>
      </c>
      <c r="C447" s="21" t="s">
        <v>612</v>
      </c>
      <c r="D447" s="42">
        <f>(D299*inputs!$E$77)/(inputs!$E$31)^inputs!E119</f>
        <v>0</v>
      </c>
      <c r="E447" s="21" t="str">
        <f t="shared" ca="1" si="7"/>
        <v>=(D299*inputs!$E$77)/(inputs!$E$31)^inputs!E119</v>
      </c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  <c r="AT447" s="21"/>
      <c r="AU447" s="21"/>
      <c r="AV447" s="21"/>
      <c r="AW447" s="21"/>
      <c r="AX447" s="21"/>
      <c r="AY447" s="21"/>
      <c r="AZ447" s="21"/>
      <c r="BA447" s="21"/>
      <c r="BB447" s="21"/>
      <c r="BC447" s="21"/>
      <c r="BD447" s="21"/>
      <c r="BE447" s="21"/>
      <c r="BF447" s="21"/>
      <c r="BG447" s="21"/>
      <c r="BH447" s="21"/>
      <c r="BI447" s="21"/>
      <c r="BJ447" s="21"/>
      <c r="BK447" s="21"/>
      <c r="BL447" s="21"/>
      <c r="BM447" s="21"/>
      <c r="BN447" s="21"/>
      <c r="BO447" s="21"/>
      <c r="BP447" s="21"/>
      <c r="BQ447" s="21"/>
      <c r="BR447" s="21"/>
      <c r="BS447" s="21"/>
      <c r="BT447" s="21"/>
      <c r="BU447" s="21"/>
      <c r="BV447" s="21"/>
      <c r="BW447" s="21"/>
      <c r="BX447" s="21"/>
      <c r="BY447" s="21"/>
      <c r="BZ447" s="21"/>
      <c r="CA447" s="21"/>
      <c r="CB447" s="21"/>
      <c r="CC447" s="21"/>
      <c r="CD447" s="21"/>
      <c r="CE447" s="21"/>
      <c r="CF447" s="21"/>
      <c r="CG447" s="21"/>
      <c r="CH447" s="21"/>
      <c r="CI447" s="21"/>
      <c r="CJ447" s="21"/>
      <c r="CK447" s="21"/>
      <c r="CL447" s="21"/>
      <c r="CM447" s="21"/>
      <c r="CN447" s="21"/>
      <c r="CO447" s="21"/>
      <c r="CP447" s="21"/>
      <c r="CQ447" s="21"/>
      <c r="CR447" s="21"/>
      <c r="CS447" s="21"/>
      <c r="CT447" s="21"/>
      <c r="CU447" s="21"/>
      <c r="CV447" s="21"/>
      <c r="CW447" s="21"/>
      <c r="CX447" s="21"/>
      <c r="CY447" s="21"/>
      <c r="CZ447" s="21"/>
      <c r="DA447" s="21"/>
      <c r="DB447" s="21"/>
      <c r="DC447" s="21"/>
      <c r="DD447" s="21"/>
      <c r="DE447" s="21"/>
      <c r="DF447" s="21"/>
    </row>
    <row r="448" spans="1:110" s="16" customFormat="1" x14ac:dyDescent="0.3">
      <c r="A448" s="21" t="s">
        <v>32</v>
      </c>
      <c r="B448" s="21" t="s">
        <v>190</v>
      </c>
      <c r="C448" s="21" t="s">
        <v>613</v>
      </c>
      <c r="D448" s="42">
        <f>(D300*inputs!$E$77)/(inputs!$E$31)^inputs!E120</f>
        <v>0</v>
      </c>
      <c r="E448" s="21" t="str">
        <f t="shared" ca="1" si="7"/>
        <v>=(D300*inputs!$E$77)/(inputs!$E$31)^inputs!E120</v>
      </c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  <c r="AT448" s="21"/>
      <c r="AU448" s="21"/>
      <c r="AV448" s="21"/>
      <c r="AW448" s="21"/>
      <c r="AX448" s="21"/>
      <c r="AY448" s="21"/>
      <c r="AZ448" s="21"/>
      <c r="BA448" s="21"/>
      <c r="BB448" s="21"/>
      <c r="BC448" s="21"/>
      <c r="BD448" s="21"/>
      <c r="BE448" s="21"/>
      <c r="BF448" s="21"/>
      <c r="BG448" s="21"/>
      <c r="BH448" s="21"/>
      <c r="BI448" s="21"/>
      <c r="BJ448" s="21"/>
      <c r="BK448" s="21"/>
      <c r="BL448" s="21"/>
      <c r="BM448" s="21"/>
      <c r="BN448" s="21"/>
      <c r="BO448" s="21"/>
      <c r="BP448" s="21"/>
      <c r="BQ448" s="21"/>
      <c r="BR448" s="21"/>
      <c r="BS448" s="21"/>
      <c r="BT448" s="21"/>
      <c r="BU448" s="21"/>
      <c r="BV448" s="21"/>
      <c r="BW448" s="21"/>
      <c r="BX448" s="21"/>
      <c r="BY448" s="21"/>
      <c r="BZ448" s="21"/>
      <c r="CA448" s="21"/>
      <c r="CB448" s="21"/>
      <c r="CC448" s="21"/>
      <c r="CD448" s="21"/>
      <c r="CE448" s="21"/>
      <c r="CF448" s="21"/>
      <c r="CG448" s="21"/>
      <c r="CH448" s="21"/>
      <c r="CI448" s="21"/>
      <c r="CJ448" s="21"/>
      <c r="CK448" s="21"/>
      <c r="CL448" s="21"/>
      <c r="CM448" s="21"/>
      <c r="CN448" s="21"/>
      <c r="CO448" s="21"/>
      <c r="CP448" s="21"/>
      <c r="CQ448" s="21"/>
      <c r="CR448" s="21"/>
      <c r="CS448" s="21"/>
      <c r="CT448" s="21"/>
      <c r="CU448" s="21"/>
      <c r="CV448" s="21"/>
      <c r="CW448" s="21"/>
      <c r="CX448" s="21"/>
      <c r="CY448" s="21"/>
      <c r="CZ448" s="21"/>
      <c r="DA448" s="21"/>
      <c r="DB448" s="21"/>
      <c r="DC448" s="21"/>
      <c r="DD448" s="21"/>
      <c r="DE448" s="21"/>
      <c r="DF448" s="21"/>
    </row>
    <row r="449" spans="1:110" s="16" customFormat="1" x14ac:dyDescent="0.3">
      <c r="A449" s="21" t="s">
        <v>32</v>
      </c>
      <c r="B449" s="21" t="s">
        <v>190</v>
      </c>
      <c r="C449" s="21" t="s">
        <v>614</v>
      </c>
      <c r="D449" s="42">
        <f>(D301*inputs!$E$77)/(inputs!$E$31)^inputs!E121</f>
        <v>0</v>
      </c>
      <c r="E449" s="21" t="str">
        <f t="shared" ca="1" si="7"/>
        <v>=(D301*inputs!$E$77)/(inputs!$E$31)^inputs!E121</v>
      </c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  <c r="AT449" s="21"/>
      <c r="AU449" s="21"/>
      <c r="AV449" s="21"/>
      <c r="AW449" s="21"/>
      <c r="AX449" s="21"/>
      <c r="AY449" s="21"/>
      <c r="AZ449" s="21"/>
      <c r="BA449" s="21"/>
      <c r="BB449" s="21"/>
      <c r="BC449" s="21"/>
      <c r="BD449" s="21"/>
      <c r="BE449" s="21"/>
      <c r="BF449" s="21"/>
      <c r="BG449" s="21"/>
      <c r="BH449" s="21"/>
      <c r="BI449" s="21"/>
      <c r="BJ449" s="21"/>
      <c r="BK449" s="21"/>
      <c r="BL449" s="21"/>
      <c r="BM449" s="21"/>
      <c r="BN449" s="21"/>
      <c r="BO449" s="21"/>
      <c r="BP449" s="21"/>
      <c r="BQ449" s="21"/>
      <c r="BR449" s="21"/>
      <c r="BS449" s="21"/>
      <c r="BT449" s="21"/>
      <c r="BU449" s="21"/>
      <c r="BV449" s="21"/>
      <c r="BW449" s="21"/>
      <c r="BX449" s="21"/>
      <c r="BY449" s="21"/>
      <c r="BZ449" s="21"/>
      <c r="CA449" s="21"/>
      <c r="CB449" s="21"/>
      <c r="CC449" s="21"/>
      <c r="CD449" s="21"/>
      <c r="CE449" s="21"/>
      <c r="CF449" s="21"/>
      <c r="CG449" s="21"/>
      <c r="CH449" s="21"/>
      <c r="CI449" s="21"/>
      <c r="CJ449" s="21"/>
      <c r="CK449" s="21"/>
      <c r="CL449" s="21"/>
      <c r="CM449" s="21"/>
      <c r="CN449" s="21"/>
      <c r="CO449" s="21"/>
      <c r="CP449" s="21"/>
      <c r="CQ449" s="21"/>
      <c r="CR449" s="21"/>
      <c r="CS449" s="21"/>
      <c r="CT449" s="21"/>
      <c r="CU449" s="21"/>
      <c r="CV449" s="21"/>
      <c r="CW449" s="21"/>
      <c r="CX449" s="21"/>
      <c r="CY449" s="21"/>
      <c r="CZ449" s="21"/>
      <c r="DA449" s="21"/>
      <c r="DB449" s="21"/>
      <c r="DC449" s="21"/>
      <c r="DD449" s="21"/>
      <c r="DE449" s="21"/>
      <c r="DF449" s="21"/>
    </row>
    <row r="450" spans="1:110" s="16" customFormat="1" x14ac:dyDescent="0.3">
      <c r="A450" s="21" t="s">
        <v>32</v>
      </c>
      <c r="B450" s="21" t="s">
        <v>190</v>
      </c>
      <c r="C450" s="21" t="s">
        <v>615</v>
      </c>
      <c r="D450" s="42">
        <f>(D302*inputs!$E$77)/(inputs!$E$31)^inputs!E122</f>
        <v>0</v>
      </c>
      <c r="E450" s="21" t="str">
        <f t="shared" ca="1" si="7"/>
        <v>=(D302*inputs!$E$77)/(inputs!$E$31)^inputs!E122</v>
      </c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  <c r="AT450" s="21"/>
      <c r="AU450" s="21"/>
      <c r="AV450" s="21"/>
      <c r="AW450" s="21"/>
      <c r="AX450" s="21"/>
      <c r="AY450" s="21"/>
      <c r="AZ450" s="21"/>
      <c r="BA450" s="21"/>
      <c r="BB450" s="21"/>
      <c r="BC450" s="21"/>
      <c r="BD450" s="21"/>
      <c r="BE450" s="21"/>
      <c r="BF450" s="21"/>
      <c r="BG450" s="21"/>
      <c r="BH450" s="21"/>
      <c r="BI450" s="21"/>
      <c r="BJ450" s="21"/>
      <c r="BK450" s="21"/>
      <c r="BL450" s="21"/>
      <c r="BM450" s="21"/>
      <c r="BN450" s="21"/>
      <c r="BO450" s="21"/>
      <c r="BP450" s="21"/>
      <c r="BQ450" s="21"/>
      <c r="BR450" s="21"/>
      <c r="BS450" s="21"/>
      <c r="BT450" s="21"/>
      <c r="BU450" s="21"/>
      <c r="BV450" s="21"/>
      <c r="BW450" s="21"/>
      <c r="BX450" s="21"/>
      <c r="BY450" s="21"/>
      <c r="BZ450" s="21"/>
      <c r="CA450" s="21"/>
      <c r="CB450" s="21"/>
      <c r="CC450" s="21"/>
      <c r="CD450" s="21"/>
      <c r="CE450" s="21"/>
      <c r="CF450" s="21"/>
      <c r="CG450" s="21"/>
      <c r="CH450" s="21"/>
      <c r="CI450" s="21"/>
      <c r="CJ450" s="21"/>
      <c r="CK450" s="21"/>
      <c r="CL450" s="21"/>
      <c r="CM450" s="21"/>
      <c r="CN450" s="21"/>
      <c r="CO450" s="21"/>
      <c r="CP450" s="21"/>
      <c r="CQ450" s="21"/>
      <c r="CR450" s="21"/>
      <c r="CS450" s="21"/>
      <c r="CT450" s="21"/>
      <c r="CU450" s="21"/>
      <c r="CV450" s="21"/>
      <c r="CW450" s="21"/>
      <c r="CX450" s="21"/>
      <c r="CY450" s="21"/>
      <c r="CZ450" s="21"/>
      <c r="DA450" s="21"/>
      <c r="DB450" s="21"/>
      <c r="DC450" s="21"/>
      <c r="DD450" s="21"/>
      <c r="DE450" s="21"/>
      <c r="DF450" s="21"/>
    </row>
    <row r="451" spans="1:110" s="16" customFormat="1" x14ac:dyDescent="0.3">
      <c r="A451" s="21" t="s">
        <v>32</v>
      </c>
      <c r="B451" s="21" t="s">
        <v>190</v>
      </c>
      <c r="C451" s="21" t="s">
        <v>616</v>
      </c>
      <c r="D451" s="42">
        <f>(D303*inputs!$E$77)/(inputs!$E$31)^inputs!E123</f>
        <v>0</v>
      </c>
      <c r="E451" s="21" t="str">
        <f t="shared" ca="1" si="7"/>
        <v>=(D303*inputs!$E$77)/(inputs!$E$31)^inputs!E123</v>
      </c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  <c r="AT451" s="21"/>
      <c r="AU451" s="21"/>
      <c r="AV451" s="21"/>
      <c r="AW451" s="21"/>
      <c r="AX451" s="21"/>
      <c r="AY451" s="21"/>
      <c r="AZ451" s="21"/>
      <c r="BA451" s="21"/>
      <c r="BB451" s="21"/>
      <c r="BC451" s="21"/>
      <c r="BD451" s="21"/>
      <c r="BE451" s="21"/>
      <c r="BF451" s="21"/>
      <c r="BG451" s="21"/>
      <c r="BH451" s="21"/>
      <c r="BI451" s="21"/>
      <c r="BJ451" s="21"/>
      <c r="BK451" s="21"/>
      <c r="BL451" s="21"/>
      <c r="BM451" s="21"/>
      <c r="BN451" s="21"/>
      <c r="BO451" s="21"/>
      <c r="BP451" s="21"/>
      <c r="BQ451" s="21"/>
      <c r="BR451" s="21"/>
      <c r="BS451" s="21"/>
      <c r="BT451" s="21"/>
      <c r="BU451" s="21"/>
      <c r="BV451" s="21"/>
      <c r="BW451" s="21"/>
      <c r="BX451" s="21"/>
      <c r="BY451" s="21"/>
      <c r="BZ451" s="21"/>
      <c r="CA451" s="21"/>
      <c r="CB451" s="21"/>
      <c r="CC451" s="21"/>
      <c r="CD451" s="21"/>
      <c r="CE451" s="21"/>
      <c r="CF451" s="21"/>
      <c r="CG451" s="21"/>
      <c r="CH451" s="21"/>
      <c r="CI451" s="21"/>
      <c r="CJ451" s="21"/>
      <c r="CK451" s="21"/>
      <c r="CL451" s="21"/>
      <c r="CM451" s="21"/>
      <c r="CN451" s="21"/>
      <c r="CO451" s="21"/>
      <c r="CP451" s="21"/>
      <c r="CQ451" s="21"/>
      <c r="CR451" s="21"/>
      <c r="CS451" s="21"/>
      <c r="CT451" s="21"/>
      <c r="CU451" s="21"/>
      <c r="CV451" s="21"/>
      <c r="CW451" s="21"/>
      <c r="CX451" s="21"/>
      <c r="CY451" s="21"/>
      <c r="CZ451" s="21"/>
      <c r="DA451" s="21"/>
      <c r="DB451" s="21"/>
      <c r="DC451" s="21"/>
      <c r="DD451" s="21"/>
      <c r="DE451" s="21"/>
      <c r="DF451" s="21"/>
    </row>
    <row r="452" spans="1:110" s="16" customFormat="1" x14ac:dyDescent="0.3">
      <c r="A452" s="21" t="s">
        <v>32</v>
      </c>
      <c r="B452" s="21" t="s">
        <v>190</v>
      </c>
      <c r="C452" s="21" t="s">
        <v>617</v>
      </c>
      <c r="D452" s="42">
        <f>(D304*inputs!$E$77)/(inputs!$E$31)^inputs!E124</f>
        <v>0</v>
      </c>
      <c r="E452" s="21" t="str">
        <f t="shared" ca="1" si="7"/>
        <v>=(D304*inputs!$E$77)/(inputs!$E$31)^inputs!E124</v>
      </c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  <c r="AT452" s="21"/>
      <c r="AU452" s="21"/>
      <c r="AV452" s="21"/>
      <c r="AW452" s="21"/>
      <c r="AX452" s="21"/>
      <c r="AY452" s="21"/>
      <c r="AZ452" s="21"/>
      <c r="BA452" s="21"/>
      <c r="BB452" s="21"/>
      <c r="BC452" s="21"/>
      <c r="BD452" s="21"/>
      <c r="BE452" s="21"/>
      <c r="BF452" s="21"/>
      <c r="BG452" s="21"/>
      <c r="BH452" s="21"/>
      <c r="BI452" s="21"/>
      <c r="BJ452" s="21"/>
      <c r="BK452" s="21"/>
      <c r="BL452" s="21"/>
      <c r="BM452" s="21"/>
      <c r="BN452" s="21"/>
      <c r="BO452" s="21"/>
      <c r="BP452" s="21"/>
      <c r="BQ452" s="21"/>
      <c r="BR452" s="21"/>
      <c r="BS452" s="21"/>
      <c r="BT452" s="21"/>
      <c r="BU452" s="21"/>
      <c r="BV452" s="21"/>
      <c r="BW452" s="21"/>
      <c r="BX452" s="21"/>
      <c r="BY452" s="21"/>
      <c r="BZ452" s="21"/>
      <c r="CA452" s="21"/>
      <c r="CB452" s="21"/>
      <c r="CC452" s="21"/>
      <c r="CD452" s="21"/>
      <c r="CE452" s="21"/>
      <c r="CF452" s="21"/>
      <c r="CG452" s="21"/>
      <c r="CH452" s="21"/>
      <c r="CI452" s="21"/>
      <c r="CJ452" s="21"/>
      <c r="CK452" s="21"/>
      <c r="CL452" s="21"/>
      <c r="CM452" s="21"/>
      <c r="CN452" s="21"/>
      <c r="CO452" s="21"/>
      <c r="CP452" s="21"/>
      <c r="CQ452" s="21"/>
      <c r="CR452" s="21"/>
      <c r="CS452" s="21"/>
      <c r="CT452" s="21"/>
      <c r="CU452" s="21"/>
      <c r="CV452" s="21"/>
      <c r="CW452" s="21"/>
      <c r="CX452" s="21"/>
      <c r="CY452" s="21"/>
      <c r="CZ452" s="21"/>
      <c r="DA452" s="21"/>
      <c r="DB452" s="21"/>
      <c r="DC452" s="21"/>
      <c r="DD452" s="21"/>
      <c r="DE452" s="21"/>
      <c r="DF452" s="21"/>
    </row>
    <row r="453" spans="1:110" s="16" customFormat="1" x14ac:dyDescent="0.3">
      <c r="A453" s="21" t="s">
        <v>32</v>
      </c>
      <c r="B453" s="21" t="s">
        <v>190</v>
      </c>
      <c r="C453" s="21" t="s">
        <v>618</v>
      </c>
      <c r="D453" s="42">
        <f>(D305*inputs!$E$77)/(inputs!$E$31)^inputs!E125</f>
        <v>0</v>
      </c>
      <c r="E453" s="21" t="str">
        <f t="shared" ca="1" si="7"/>
        <v>=(D305*inputs!$E$77)/(inputs!$E$31)^inputs!E125</v>
      </c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  <c r="AT453" s="21"/>
      <c r="AU453" s="21"/>
      <c r="AV453" s="21"/>
      <c r="AW453" s="21"/>
      <c r="AX453" s="21"/>
      <c r="AY453" s="21"/>
      <c r="AZ453" s="21"/>
      <c r="BA453" s="21"/>
      <c r="BB453" s="21"/>
      <c r="BC453" s="21"/>
      <c r="BD453" s="21"/>
      <c r="BE453" s="21"/>
      <c r="BF453" s="21"/>
      <c r="BG453" s="21"/>
      <c r="BH453" s="21"/>
      <c r="BI453" s="21"/>
      <c r="BJ453" s="21"/>
      <c r="BK453" s="21"/>
      <c r="BL453" s="21"/>
      <c r="BM453" s="21"/>
      <c r="BN453" s="21"/>
      <c r="BO453" s="21"/>
      <c r="BP453" s="21"/>
      <c r="BQ453" s="21"/>
      <c r="BR453" s="21"/>
      <c r="BS453" s="21"/>
      <c r="BT453" s="21"/>
      <c r="BU453" s="21"/>
      <c r="BV453" s="21"/>
      <c r="BW453" s="21"/>
      <c r="BX453" s="21"/>
      <c r="BY453" s="21"/>
      <c r="BZ453" s="21"/>
      <c r="CA453" s="21"/>
      <c r="CB453" s="21"/>
      <c r="CC453" s="21"/>
      <c r="CD453" s="21"/>
      <c r="CE453" s="21"/>
      <c r="CF453" s="21"/>
      <c r="CG453" s="21"/>
      <c r="CH453" s="21"/>
      <c r="CI453" s="21"/>
      <c r="CJ453" s="21"/>
      <c r="CK453" s="21"/>
      <c r="CL453" s="21"/>
      <c r="CM453" s="21"/>
      <c r="CN453" s="21"/>
      <c r="CO453" s="21"/>
      <c r="CP453" s="21"/>
      <c r="CQ453" s="21"/>
      <c r="CR453" s="21"/>
      <c r="CS453" s="21"/>
      <c r="CT453" s="21"/>
      <c r="CU453" s="21"/>
      <c r="CV453" s="21"/>
      <c r="CW453" s="21"/>
      <c r="CX453" s="21"/>
      <c r="CY453" s="21"/>
      <c r="CZ453" s="21"/>
      <c r="DA453" s="21"/>
      <c r="DB453" s="21"/>
      <c r="DC453" s="21"/>
      <c r="DD453" s="21"/>
      <c r="DE453" s="21"/>
      <c r="DF453" s="21"/>
    </row>
    <row r="454" spans="1:110" s="16" customFormat="1" x14ac:dyDescent="0.3">
      <c r="A454" s="21" t="s">
        <v>32</v>
      </c>
      <c r="B454" s="21" t="s">
        <v>190</v>
      </c>
      <c r="C454" s="21" t="s">
        <v>619</v>
      </c>
      <c r="D454" s="42">
        <f>(D306*inputs!$E$77)/(inputs!$E$31)^inputs!E126</f>
        <v>0</v>
      </c>
      <c r="E454" s="21" t="str">
        <f t="shared" ca="1" si="7"/>
        <v>=(D306*inputs!$E$77)/(inputs!$E$31)^inputs!E126</v>
      </c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  <c r="AT454" s="21"/>
      <c r="AU454" s="21"/>
      <c r="AV454" s="21"/>
      <c r="AW454" s="21"/>
      <c r="AX454" s="21"/>
      <c r="AY454" s="21"/>
      <c r="AZ454" s="21"/>
      <c r="BA454" s="21"/>
      <c r="BB454" s="21"/>
      <c r="BC454" s="21"/>
      <c r="BD454" s="21"/>
      <c r="BE454" s="21"/>
      <c r="BF454" s="21"/>
      <c r="BG454" s="21"/>
      <c r="BH454" s="21"/>
      <c r="BI454" s="21"/>
      <c r="BJ454" s="21"/>
      <c r="BK454" s="21"/>
      <c r="BL454" s="21"/>
      <c r="BM454" s="21"/>
      <c r="BN454" s="21"/>
      <c r="BO454" s="21"/>
      <c r="BP454" s="21"/>
      <c r="BQ454" s="21"/>
      <c r="BR454" s="21"/>
      <c r="BS454" s="21"/>
      <c r="BT454" s="21"/>
      <c r="BU454" s="21"/>
      <c r="BV454" s="21"/>
      <c r="BW454" s="21"/>
      <c r="BX454" s="21"/>
      <c r="BY454" s="21"/>
      <c r="BZ454" s="21"/>
      <c r="CA454" s="21"/>
      <c r="CB454" s="21"/>
      <c r="CC454" s="21"/>
      <c r="CD454" s="21"/>
      <c r="CE454" s="21"/>
      <c r="CF454" s="21"/>
      <c r="CG454" s="21"/>
      <c r="CH454" s="21"/>
      <c r="CI454" s="21"/>
      <c r="CJ454" s="21"/>
      <c r="CK454" s="21"/>
      <c r="CL454" s="21"/>
      <c r="CM454" s="21"/>
      <c r="CN454" s="21"/>
      <c r="CO454" s="21"/>
      <c r="CP454" s="21"/>
      <c r="CQ454" s="21"/>
      <c r="CR454" s="21"/>
      <c r="CS454" s="21"/>
      <c r="CT454" s="21"/>
      <c r="CU454" s="21"/>
      <c r="CV454" s="21"/>
      <c r="CW454" s="21"/>
      <c r="CX454" s="21"/>
      <c r="CY454" s="21"/>
      <c r="CZ454" s="21"/>
      <c r="DA454" s="21"/>
      <c r="DB454" s="21"/>
      <c r="DC454" s="21"/>
      <c r="DD454" s="21"/>
      <c r="DE454" s="21"/>
      <c r="DF454" s="21"/>
    </row>
    <row r="455" spans="1:110" s="16" customFormat="1" x14ac:dyDescent="0.3">
      <c r="A455" s="21" t="s">
        <v>32</v>
      </c>
      <c r="B455" s="21" t="s">
        <v>190</v>
      </c>
      <c r="C455" s="21" t="s">
        <v>620</v>
      </c>
      <c r="D455" s="42">
        <f>(D307*inputs!$E$77)/(inputs!$E$31)^inputs!E127</f>
        <v>0</v>
      </c>
      <c r="E455" s="21" t="str">
        <f t="shared" ca="1" si="7"/>
        <v>=(D307*inputs!$E$77)/(inputs!$E$31)^inputs!E127</v>
      </c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  <c r="AT455" s="21"/>
      <c r="AU455" s="21"/>
      <c r="AV455" s="21"/>
      <c r="AW455" s="21"/>
      <c r="AX455" s="21"/>
      <c r="AY455" s="21"/>
      <c r="AZ455" s="21"/>
      <c r="BA455" s="21"/>
      <c r="BB455" s="21"/>
      <c r="BC455" s="21"/>
      <c r="BD455" s="21"/>
      <c r="BE455" s="21"/>
      <c r="BF455" s="21"/>
      <c r="BG455" s="21"/>
      <c r="BH455" s="21"/>
      <c r="BI455" s="21"/>
      <c r="BJ455" s="21"/>
      <c r="BK455" s="21"/>
      <c r="BL455" s="21"/>
      <c r="BM455" s="21"/>
      <c r="BN455" s="21"/>
      <c r="BO455" s="21"/>
      <c r="BP455" s="21"/>
      <c r="BQ455" s="21"/>
      <c r="BR455" s="21"/>
      <c r="BS455" s="21"/>
      <c r="BT455" s="21"/>
      <c r="BU455" s="21"/>
      <c r="BV455" s="21"/>
      <c r="BW455" s="21"/>
      <c r="BX455" s="21"/>
      <c r="BY455" s="21"/>
      <c r="BZ455" s="21"/>
      <c r="CA455" s="21"/>
      <c r="CB455" s="21"/>
      <c r="CC455" s="21"/>
      <c r="CD455" s="21"/>
      <c r="CE455" s="21"/>
      <c r="CF455" s="21"/>
      <c r="CG455" s="21"/>
      <c r="CH455" s="21"/>
      <c r="CI455" s="21"/>
      <c r="CJ455" s="21"/>
      <c r="CK455" s="21"/>
      <c r="CL455" s="21"/>
      <c r="CM455" s="21"/>
      <c r="CN455" s="21"/>
      <c r="CO455" s="21"/>
      <c r="CP455" s="21"/>
      <c r="CQ455" s="21"/>
      <c r="CR455" s="21"/>
      <c r="CS455" s="21"/>
      <c r="CT455" s="21"/>
      <c r="CU455" s="21"/>
      <c r="CV455" s="21"/>
      <c r="CW455" s="21"/>
      <c r="CX455" s="21"/>
      <c r="CY455" s="21"/>
      <c r="CZ455" s="21"/>
      <c r="DA455" s="21"/>
      <c r="DB455" s="21"/>
      <c r="DC455" s="21"/>
      <c r="DD455" s="21"/>
      <c r="DE455" s="21"/>
      <c r="DF455" s="21"/>
    </row>
    <row r="456" spans="1:110" s="16" customFormat="1" x14ac:dyDescent="0.3">
      <c r="A456" s="21" t="s">
        <v>32</v>
      </c>
      <c r="B456" s="21" t="s">
        <v>190</v>
      </c>
      <c r="C456" s="21" t="s">
        <v>621</v>
      </c>
      <c r="D456" s="42">
        <f>(D308*inputs!$E$77)/(inputs!$E$31)^inputs!E128</f>
        <v>0</v>
      </c>
      <c r="E456" s="21" t="str">
        <f t="shared" ca="1" si="7"/>
        <v>=(D308*inputs!$E$77)/(inputs!$E$31)^inputs!E128</v>
      </c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  <c r="AT456" s="21"/>
      <c r="AU456" s="21"/>
      <c r="AV456" s="21"/>
      <c r="AW456" s="21"/>
      <c r="AX456" s="21"/>
      <c r="AY456" s="21"/>
      <c r="AZ456" s="21"/>
      <c r="BA456" s="21"/>
      <c r="BB456" s="21"/>
      <c r="BC456" s="21"/>
      <c r="BD456" s="21"/>
      <c r="BE456" s="21"/>
      <c r="BF456" s="21"/>
      <c r="BG456" s="21"/>
      <c r="BH456" s="21"/>
      <c r="BI456" s="21"/>
      <c r="BJ456" s="21"/>
      <c r="BK456" s="21"/>
      <c r="BL456" s="21"/>
      <c r="BM456" s="21"/>
      <c r="BN456" s="21"/>
      <c r="BO456" s="21"/>
      <c r="BP456" s="21"/>
      <c r="BQ456" s="21"/>
      <c r="BR456" s="21"/>
      <c r="BS456" s="21"/>
      <c r="BT456" s="21"/>
      <c r="BU456" s="21"/>
      <c r="BV456" s="21"/>
      <c r="BW456" s="21"/>
      <c r="BX456" s="21"/>
      <c r="BY456" s="21"/>
      <c r="BZ456" s="21"/>
      <c r="CA456" s="21"/>
      <c r="CB456" s="21"/>
      <c r="CC456" s="21"/>
      <c r="CD456" s="21"/>
      <c r="CE456" s="21"/>
      <c r="CF456" s="21"/>
      <c r="CG456" s="21"/>
      <c r="CH456" s="21"/>
      <c r="CI456" s="21"/>
      <c r="CJ456" s="21"/>
      <c r="CK456" s="21"/>
      <c r="CL456" s="21"/>
      <c r="CM456" s="21"/>
      <c r="CN456" s="21"/>
      <c r="CO456" s="21"/>
      <c r="CP456" s="21"/>
      <c r="CQ456" s="21"/>
      <c r="CR456" s="21"/>
      <c r="CS456" s="21"/>
      <c r="CT456" s="21"/>
      <c r="CU456" s="21"/>
      <c r="CV456" s="21"/>
      <c r="CW456" s="21"/>
      <c r="CX456" s="21"/>
      <c r="CY456" s="21"/>
      <c r="CZ456" s="21"/>
      <c r="DA456" s="21"/>
      <c r="DB456" s="21"/>
      <c r="DC456" s="21"/>
      <c r="DD456" s="21"/>
      <c r="DE456" s="21"/>
      <c r="DF456" s="21"/>
    </row>
    <row r="457" spans="1:110" s="16" customFormat="1" x14ac:dyDescent="0.3">
      <c r="A457" s="21" t="s">
        <v>32</v>
      </c>
      <c r="B457" s="21" t="s">
        <v>190</v>
      </c>
      <c r="C457" s="21" t="s">
        <v>622</v>
      </c>
      <c r="D457" s="42">
        <f>(D309*inputs!$E$77)/(inputs!$E$31)^inputs!E129</f>
        <v>0</v>
      </c>
      <c r="E457" s="21" t="str">
        <f t="shared" ca="1" si="7"/>
        <v>=(D309*inputs!$E$77)/(inputs!$E$31)^inputs!E129</v>
      </c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  <c r="AT457" s="21"/>
      <c r="AU457" s="21"/>
      <c r="AV457" s="21"/>
      <c r="AW457" s="21"/>
      <c r="AX457" s="21"/>
      <c r="AY457" s="21"/>
      <c r="AZ457" s="21"/>
      <c r="BA457" s="21"/>
      <c r="BB457" s="21"/>
      <c r="BC457" s="21"/>
      <c r="BD457" s="21"/>
      <c r="BE457" s="21"/>
      <c r="BF457" s="21"/>
      <c r="BG457" s="21"/>
      <c r="BH457" s="21"/>
      <c r="BI457" s="21"/>
      <c r="BJ457" s="21"/>
      <c r="BK457" s="21"/>
      <c r="BL457" s="21"/>
      <c r="BM457" s="21"/>
      <c r="BN457" s="21"/>
      <c r="BO457" s="21"/>
      <c r="BP457" s="21"/>
      <c r="BQ457" s="21"/>
      <c r="BR457" s="21"/>
      <c r="BS457" s="21"/>
      <c r="BT457" s="21"/>
      <c r="BU457" s="21"/>
      <c r="BV457" s="21"/>
      <c r="BW457" s="21"/>
      <c r="BX457" s="21"/>
      <c r="BY457" s="21"/>
      <c r="BZ457" s="21"/>
      <c r="CA457" s="21"/>
      <c r="CB457" s="21"/>
      <c r="CC457" s="21"/>
      <c r="CD457" s="21"/>
      <c r="CE457" s="21"/>
      <c r="CF457" s="21"/>
      <c r="CG457" s="21"/>
      <c r="CH457" s="21"/>
      <c r="CI457" s="21"/>
      <c r="CJ457" s="21"/>
      <c r="CK457" s="21"/>
      <c r="CL457" s="21"/>
      <c r="CM457" s="21"/>
      <c r="CN457" s="21"/>
      <c r="CO457" s="21"/>
      <c r="CP457" s="21"/>
      <c r="CQ457" s="21"/>
      <c r="CR457" s="21"/>
      <c r="CS457" s="21"/>
      <c r="CT457" s="21"/>
      <c r="CU457" s="21"/>
      <c r="CV457" s="21"/>
      <c r="CW457" s="21"/>
      <c r="CX457" s="21"/>
      <c r="CY457" s="21"/>
      <c r="CZ457" s="21"/>
      <c r="DA457" s="21"/>
      <c r="DB457" s="21"/>
      <c r="DC457" s="21"/>
      <c r="DD457" s="21"/>
      <c r="DE457" s="21"/>
      <c r="DF457" s="21"/>
    </row>
    <row r="458" spans="1:110" s="16" customFormat="1" x14ac:dyDescent="0.3">
      <c r="A458" s="21" t="s">
        <v>32</v>
      </c>
      <c r="B458" s="21" t="s">
        <v>190</v>
      </c>
      <c r="C458" s="21" t="s">
        <v>623</v>
      </c>
      <c r="D458" s="42">
        <f>(D310*inputs!$E$77)/(inputs!$E$31)^inputs!E130</f>
        <v>0</v>
      </c>
      <c r="E458" s="21" t="str">
        <f t="shared" ca="1" si="7"/>
        <v>=(D310*inputs!$E$77)/(inputs!$E$31)^inputs!E130</v>
      </c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  <c r="AT458" s="21"/>
      <c r="AU458" s="21"/>
      <c r="AV458" s="21"/>
      <c r="AW458" s="21"/>
      <c r="AX458" s="21"/>
      <c r="AY458" s="21"/>
      <c r="AZ458" s="21"/>
      <c r="BA458" s="21"/>
      <c r="BB458" s="21"/>
      <c r="BC458" s="21"/>
      <c r="BD458" s="21"/>
      <c r="BE458" s="21"/>
      <c r="BF458" s="21"/>
      <c r="BG458" s="21"/>
      <c r="BH458" s="21"/>
      <c r="BI458" s="21"/>
      <c r="BJ458" s="21"/>
      <c r="BK458" s="21"/>
      <c r="BL458" s="21"/>
      <c r="BM458" s="21"/>
      <c r="BN458" s="21"/>
      <c r="BO458" s="21"/>
      <c r="BP458" s="21"/>
      <c r="BQ458" s="21"/>
      <c r="BR458" s="21"/>
      <c r="BS458" s="21"/>
      <c r="BT458" s="21"/>
      <c r="BU458" s="21"/>
      <c r="BV458" s="21"/>
      <c r="BW458" s="21"/>
      <c r="BX458" s="21"/>
      <c r="BY458" s="21"/>
      <c r="BZ458" s="21"/>
      <c r="CA458" s="21"/>
      <c r="CB458" s="21"/>
      <c r="CC458" s="21"/>
      <c r="CD458" s="21"/>
      <c r="CE458" s="21"/>
      <c r="CF458" s="21"/>
      <c r="CG458" s="21"/>
      <c r="CH458" s="21"/>
      <c r="CI458" s="21"/>
      <c r="CJ458" s="21"/>
      <c r="CK458" s="21"/>
      <c r="CL458" s="21"/>
      <c r="CM458" s="21"/>
      <c r="CN458" s="21"/>
      <c r="CO458" s="21"/>
      <c r="CP458" s="21"/>
      <c r="CQ458" s="21"/>
      <c r="CR458" s="21"/>
      <c r="CS458" s="21"/>
      <c r="CT458" s="21"/>
      <c r="CU458" s="21"/>
      <c r="CV458" s="21"/>
      <c r="CW458" s="21"/>
      <c r="CX458" s="21"/>
      <c r="CY458" s="21"/>
      <c r="CZ458" s="21"/>
      <c r="DA458" s="21"/>
      <c r="DB458" s="21"/>
      <c r="DC458" s="21"/>
      <c r="DD458" s="21"/>
      <c r="DE458" s="21"/>
      <c r="DF458" s="21"/>
    </row>
    <row r="459" spans="1:110" s="16" customFormat="1" x14ac:dyDescent="0.3">
      <c r="A459" s="21" t="s">
        <v>32</v>
      </c>
      <c r="B459" s="21" t="s">
        <v>190</v>
      </c>
      <c r="C459" s="21" t="s">
        <v>624</v>
      </c>
      <c r="D459" s="42">
        <f>(D311*inputs!$E$77)/(inputs!$E$31)^inputs!E131</f>
        <v>0</v>
      </c>
      <c r="E459" s="21" t="str">
        <f t="shared" ca="1" si="7"/>
        <v>=(D311*inputs!$E$77)/(inputs!$E$31)^inputs!E131</v>
      </c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  <c r="AT459" s="21"/>
      <c r="AU459" s="21"/>
      <c r="AV459" s="21"/>
      <c r="AW459" s="21"/>
      <c r="AX459" s="21"/>
      <c r="AY459" s="21"/>
      <c r="AZ459" s="21"/>
      <c r="BA459" s="21"/>
      <c r="BB459" s="21"/>
      <c r="BC459" s="21"/>
      <c r="BD459" s="21"/>
      <c r="BE459" s="21"/>
      <c r="BF459" s="21"/>
      <c r="BG459" s="21"/>
      <c r="BH459" s="21"/>
      <c r="BI459" s="21"/>
      <c r="BJ459" s="21"/>
      <c r="BK459" s="21"/>
      <c r="BL459" s="21"/>
      <c r="BM459" s="21"/>
      <c r="BN459" s="21"/>
      <c r="BO459" s="21"/>
      <c r="BP459" s="21"/>
      <c r="BQ459" s="21"/>
      <c r="BR459" s="21"/>
      <c r="BS459" s="21"/>
      <c r="BT459" s="21"/>
      <c r="BU459" s="21"/>
      <c r="BV459" s="21"/>
      <c r="BW459" s="21"/>
      <c r="BX459" s="21"/>
      <c r="BY459" s="21"/>
      <c r="BZ459" s="21"/>
      <c r="CA459" s="21"/>
      <c r="CB459" s="21"/>
      <c r="CC459" s="21"/>
      <c r="CD459" s="21"/>
      <c r="CE459" s="21"/>
      <c r="CF459" s="21"/>
      <c r="CG459" s="21"/>
      <c r="CH459" s="21"/>
      <c r="CI459" s="21"/>
      <c r="CJ459" s="21"/>
      <c r="CK459" s="21"/>
      <c r="CL459" s="21"/>
      <c r="CM459" s="21"/>
      <c r="CN459" s="21"/>
      <c r="CO459" s="21"/>
      <c r="CP459" s="21"/>
      <c r="CQ459" s="21"/>
      <c r="CR459" s="21"/>
      <c r="CS459" s="21"/>
      <c r="CT459" s="21"/>
      <c r="CU459" s="21"/>
      <c r="CV459" s="21"/>
      <c r="CW459" s="21"/>
      <c r="CX459" s="21"/>
      <c r="CY459" s="21"/>
      <c r="CZ459" s="21"/>
      <c r="DA459" s="21"/>
      <c r="DB459" s="21"/>
      <c r="DC459" s="21"/>
      <c r="DD459" s="21"/>
      <c r="DE459" s="21"/>
      <c r="DF459" s="21"/>
    </row>
    <row r="460" spans="1:110" s="16" customFormat="1" x14ac:dyDescent="0.3">
      <c r="A460" s="21" t="s">
        <v>32</v>
      </c>
      <c r="B460" s="21" t="s">
        <v>190</v>
      </c>
      <c r="C460" s="21" t="s">
        <v>625</v>
      </c>
      <c r="D460" s="42">
        <f>(D312*inputs!$E$77)/(inputs!$E$31)^inputs!E132</f>
        <v>0</v>
      </c>
      <c r="E460" s="21" t="str">
        <f t="shared" ca="1" si="7"/>
        <v>=(D312*inputs!$E$77)/(inputs!$E$31)^inputs!E132</v>
      </c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  <c r="AT460" s="21"/>
      <c r="AU460" s="21"/>
      <c r="AV460" s="21"/>
      <c r="AW460" s="21"/>
      <c r="AX460" s="21"/>
      <c r="AY460" s="21"/>
      <c r="AZ460" s="21"/>
      <c r="BA460" s="21"/>
      <c r="BB460" s="21"/>
      <c r="BC460" s="21"/>
      <c r="BD460" s="21"/>
      <c r="BE460" s="21"/>
      <c r="BF460" s="21"/>
      <c r="BG460" s="21"/>
      <c r="BH460" s="21"/>
      <c r="BI460" s="21"/>
      <c r="BJ460" s="21"/>
      <c r="BK460" s="21"/>
      <c r="BL460" s="21"/>
      <c r="BM460" s="21"/>
      <c r="BN460" s="21"/>
      <c r="BO460" s="21"/>
      <c r="BP460" s="21"/>
      <c r="BQ460" s="21"/>
      <c r="BR460" s="21"/>
      <c r="BS460" s="21"/>
      <c r="BT460" s="21"/>
      <c r="BU460" s="21"/>
      <c r="BV460" s="21"/>
      <c r="BW460" s="21"/>
      <c r="BX460" s="21"/>
      <c r="BY460" s="21"/>
      <c r="BZ460" s="21"/>
      <c r="CA460" s="21"/>
      <c r="CB460" s="21"/>
      <c r="CC460" s="21"/>
      <c r="CD460" s="21"/>
      <c r="CE460" s="21"/>
      <c r="CF460" s="21"/>
      <c r="CG460" s="21"/>
      <c r="CH460" s="21"/>
      <c r="CI460" s="21"/>
      <c r="CJ460" s="21"/>
      <c r="CK460" s="21"/>
      <c r="CL460" s="21"/>
      <c r="CM460" s="21"/>
      <c r="CN460" s="21"/>
      <c r="CO460" s="21"/>
      <c r="CP460" s="21"/>
      <c r="CQ460" s="21"/>
      <c r="CR460" s="21"/>
      <c r="CS460" s="21"/>
      <c r="CT460" s="21"/>
      <c r="CU460" s="21"/>
      <c r="CV460" s="21"/>
      <c r="CW460" s="21"/>
      <c r="CX460" s="21"/>
      <c r="CY460" s="21"/>
      <c r="CZ460" s="21"/>
      <c r="DA460" s="21"/>
      <c r="DB460" s="21"/>
      <c r="DC460" s="21"/>
      <c r="DD460" s="21"/>
      <c r="DE460" s="21"/>
      <c r="DF460" s="21"/>
    </row>
    <row r="461" spans="1:110" s="16" customFormat="1" x14ac:dyDescent="0.3">
      <c r="A461" s="21" t="s">
        <v>32</v>
      </c>
      <c r="B461" s="21" t="s">
        <v>190</v>
      </c>
      <c r="C461" s="21" t="s">
        <v>626</v>
      </c>
      <c r="D461" s="42">
        <f>(D313*inputs!$E$77)/(inputs!$E$31)^inputs!E133</f>
        <v>0</v>
      </c>
      <c r="E461" s="21" t="str">
        <f t="shared" ca="1" si="7"/>
        <v>=(D313*inputs!$E$77)/(inputs!$E$31)^inputs!E133</v>
      </c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  <c r="AT461" s="21"/>
      <c r="AU461" s="21"/>
      <c r="AV461" s="21"/>
      <c r="AW461" s="21"/>
      <c r="AX461" s="21"/>
      <c r="AY461" s="21"/>
      <c r="AZ461" s="21"/>
      <c r="BA461" s="21"/>
      <c r="BB461" s="21"/>
      <c r="BC461" s="21"/>
      <c r="BD461" s="21"/>
      <c r="BE461" s="21"/>
      <c r="BF461" s="21"/>
      <c r="BG461" s="21"/>
      <c r="BH461" s="21"/>
      <c r="BI461" s="21"/>
      <c r="BJ461" s="21"/>
      <c r="BK461" s="21"/>
      <c r="BL461" s="21"/>
      <c r="BM461" s="21"/>
      <c r="BN461" s="21"/>
      <c r="BO461" s="21"/>
      <c r="BP461" s="21"/>
      <c r="BQ461" s="21"/>
      <c r="BR461" s="21"/>
      <c r="BS461" s="21"/>
      <c r="BT461" s="21"/>
      <c r="BU461" s="21"/>
      <c r="BV461" s="21"/>
      <c r="BW461" s="21"/>
      <c r="BX461" s="21"/>
      <c r="BY461" s="21"/>
      <c r="BZ461" s="21"/>
      <c r="CA461" s="21"/>
      <c r="CB461" s="21"/>
      <c r="CC461" s="21"/>
      <c r="CD461" s="21"/>
      <c r="CE461" s="21"/>
      <c r="CF461" s="21"/>
      <c r="CG461" s="21"/>
      <c r="CH461" s="21"/>
      <c r="CI461" s="21"/>
      <c r="CJ461" s="21"/>
      <c r="CK461" s="21"/>
      <c r="CL461" s="21"/>
      <c r="CM461" s="21"/>
      <c r="CN461" s="21"/>
      <c r="CO461" s="21"/>
      <c r="CP461" s="21"/>
      <c r="CQ461" s="21"/>
      <c r="CR461" s="21"/>
      <c r="CS461" s="21"/>
      <c r="CT461" s="21"/>
      <c r="CU461" s="21"/>
      <c r="CV461" s="21"/>
      <c r="CW461" s="21"/>
      <c r="CX461" s="21"/>
      <c r="CY461" s="21"/>
      <c r="CZ461" s="21"/>
      <c r="DA461" s="21"/>
      <c r="DB461" s="21"/>
      <c r="DC461" s="21"/>
      <c r="DD461" s="21"/>
      <c r="DE461" s="21"/>
      <c r="DF461" s="21"/>
    </row>
    <row r="462" spans="1:110" s="16" customFormat="1" x14ac:dyDescent="0.3">
      <c r="A462" s="21" t="s">
        <v>32</v>
      </c>
      <c r="B462" s="21" t="s">
        <v>190</v>
      </c>
      <c r="C462" s="21" t="s">
        <v>627</v>
      </c>
      <c r="D462" s="42">
        <f>(D314*inputs!$E$77)/(inputs!$E$31)^inputs!E134</f>
        <v>0</v>
      </c>
      <c r="E462" s="21" t="str">
        <f t="shared" ca="1" si="7"/>
        <v>=(D314*inputs!$E$77)/(inputs!$E$31)^inputs!E134</v>
      </c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  <c r="AT462" s="21"/>
      <c r="AU462" s="21"/>
      <c r="AV462" s="21"/>
      <c r="AW462" s="21"/>
      <c r="AX462" s="21"/>
      <c r="AY462" s="21"/>
      <c r="AZ462" s="21"/>
      <c r="BA462" s="21"/>
      <c r="BB462" s="21"/>
      <c r="BC462" s="21"/>
      <c r="BD462" s="21"/>
      <c r="BE462" s="21"/>
      <c r="BF462" s="21"/>
      <c r="BG462" s="21"/>
      <c r="BH462" s="21"/>
      <c r="BI462" s="21"/>
      <c r="BJ462" s="21"/>
      <c r="BK462" s="21"/>
      <c r="BL462" s="21"/>
      <c r="BM462" s="21"/>
      <c r="BN462" s="21"/>
      <c r="BO462" s="21"/>
      <c r="BP462" s="21"/>
      <c r="BQ462" s="21"/>
      <c r="BR462" s="21"/>
      <c r="BS462" s="21"/>
      <c r="BT462" s="21"/>
      <c r="BU462" s="21"/>
      <c r="BV462" s="21"/>
      <c r="BW462" s="21"/>
      <c r="BX462" s="21"/>
      <c r="BY462" s="21"/>
      <c r="BZ462" s="21"/>
      <c r="CA462" s="21"/>
      <c r="CB462" s="21"/>
      <c r="CC462" s="21"/>
      <c r="CD462" s="21"/>
      <c r="CE462" s="21"/>
      <c r="CF462" s="21"/>
      <c r="CG462" s="21"/>
      <c r="CH462" s="21"/>
      <c r="CI462" s="21"/>
      <c r="CJ462" s="21"/>
      <c r="CK462" s="21"/>
      <c r="CL462" s="21"/>
      <c r="CM462" s="21"/>
      <c r="CN462" s="21"/>
      <c r="CO462" s="21"/>
      <c r="CP462" s="21"/>
      <c r="CQ462" s="21"/>
      <c r="CR462" s="21"/>
      <c r="CS462" s="21"/>
      <c r="CT462" s="21"/>
      <c r="CU462" s="21"/>
      <c r="CV462" s="21"/>
      <c r="CW462" s="21"/>
      <c r="CX462" s="21"/>
      <c r="CY462" s="21"/>
      <c r="CZ462" s="21"/>
      <c r="DA462" s="21"/>
      <c r="DB462" s="21"/>
      <c r="DC462" s="21"/>
      <c r="DD462" s="21"/>
      <c r="DE462" s="21"/>
      <c r="DF462" s="21"/>
    </row>
    <row r="463" spans="1:110" s="16" customFormat="1" x14ac:dyDescent="0.3">
      <c r="A463" s="21" t="s">
        <v>32</v>
      </c>
      <c r="B463" s="21" t="s">
        <v>190</v>
      </c>
      <c r="C463" s="21" t="s">
        <v>628</v>
      </c>
      <c r="D463" s="42">
        <f>(D315*inputs!$E$77)/(inputs!$E$31)^inputs!E135</f>
        <v>0</v>
      </c>
      <c r="E463" s="21" t="str">
        <f t="shared" ca="1" si="7"/>
        <v>=(D315*inputs!$E$77)/(inputs!$E$31)^inputs!E135</v>
      </c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  <c r="AT463" s="21"/>
      <c r="AU463" s="21"/>
      <c r="AV463" s="21"/>
      <c r="AW463" s="21"/>
      <c r="AX463" s="21"/>
      <c r="AY463" s="21"/>
      <c r="AZ463" s="21"/>
      <c r="BA463" s="21"/>
      <c r="BB463" s="21"/>
      <c r="BC463" s="21"/>
      <c r="BD463" s="21"/>
      <c r="BE463" s="21"/>
      <c r="BF463" s="21"/>
      <c r="BG463" s="21"/>
      <c r="BH463" s="21"/>
      <c r="BI463" s="21"/>
      <c r="BJ463" s="21"/>
      <c r="BK463" s="21"/>
      <c r="BL463" s="21"/>
      <c r="BM463" s="21"/>
      <c r="BN463" s="21"/>
      <c r="BO463" s="21"/>
      <c r="BP463" s="21"/>
      <c r="BQ463" s="21"/>
      <c r="BR463" s="21"/>
      <c r="BS463" s="21"/>
      <c r="BT463" s="21"/>
      <c r="BU463" s="21"/>
      <c r="BV463" s="21"/>
      <c r="BW463" s="21"/>
      <c r="BX463" s="21"/>
      <c r="BY463" s="21"/>
      <c r="BZ463" s="21"/>
      <c r="CA463" s="21"/>
      <c r="CB463" s="21"/>
      <c r="CC463" s="21"/>
      <c r="CD463" s="21"/>
      <c r="CE463" s="21"/>
      <c r="CF463" s="21"/>
      <c r="CG463" s="21"/>
      <c r="CH463" s="21"/>
      <c r="CI463" s="21"/>
      <c r="CJ463" s="21"/>
      <c r="CK463" s="21"/>
      <c r="CL463" s="21"/>
      <c r="CM463" s="21"/>
      <c r="CN463" s="21"/>
      <c r="CO463" s="21"/>
      <c r="CP463" s="21"/>
      <c r="CQ463" s="21"/>
      <c r="CR463" s="21"/>
      <c r="CS463" s="21"/>
      <c r="CT463" s="21"/>
      <c r="CU463" s="21"/>
      <c r="CV463" s="21"/>
      <c r="CW463" s="21"/>
      <c r="CX463" s="21"/>
      <c r="CY463" s="21"/>
      <c r="CZ463" s="21"/>
      <c r="DA463" s="21"/>
      <c r="DB463" s="21"/>
      <c r="DC463" s="21"/>
      <c r="DD463" s="21"/>
      <c r="DE463" s="21"/>
      <c r="DF463" s="21"/>
    </row>
    <row r="464" spans="1:110" s="16" customFormat="1" x14ac:dyDescent="0.3">
      <c r="A464" s="21" t="s">
        <v>32</v>
      </c>
      <c r="B464" s="21" t="s">
        <v>190</v>
      </c>
      <c r="C464" s="21" t="s">
        <v>630</v>
      </c>
      <c r="D464" s="42">
        <f>(D319*inputs!$E$78)/(inputs!$E$31)^inputs!E100</f>
        <v>0</v>
      </c>
      <c r="E464" s="21" t="str">
        <f t="shared" ca="1" si="7"/>
        <v>=(D319*inputs!$E$78)/(inputs!$E$31)^inputs!E100</v>
      </c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  <c r="AT464" s="21"/>
      <c r="AU464" s="21"/>
      <c r="AV464" s="21"/>
      <c r="AW464" s="21"/>
      <c r="AX464" s="21"/>
      <c r="AY464" s="21"/>
      <c r="AZ464" s="21"/>
      <c r="BA464" s="21"/>
      <c r="BB464" s="21"/>
      <c r="BC464" s="21"/>
      <c r="BD464" s="21"/>
      <c r="BE464" s="21"/>
      <c r="BF464" s="21"/>
      <c r="BG464" s="21"/>
      <c r="BH464" s="21"/>
      <c r="BI464" s="21"/>
      <c r="BJ464" s="21"/>
      <c r="BK464" s="21"/>
      <c r="BL464" s="21"/>
      <c r="BM464" s="21"/>
      <c r="BN464" s="21"/>
      <c r="BO464" s="21"/>
      <c r="BP464" s="21"/>
      <c r="BQ464" s="21"/>
      <c r="BR464" s="21"/>
      <c r="BS464" s="21"/>
      <c r="BT464" s="21"/>
      <c r="BU464" s="21"/>
      <c r="BV464" s="21"/>
      <c r="BW464" s="21"/>
      <c r="BX464" s="21"/>
      <c r="BY464" s="21"/>
      <c r="BZ464" s="21"/>
      <c r="CA464" s="21"/>
      <c r="CB464" s="21"/>
      <c r="CC464" s="21"/>
      <c r="CD464" s="21"/>
      <c r="CE464" s="21"/>
      <c r="CF464" s="21"/>
      <c r="CG464" s="21"/>
      <c r="CH464" s="21"/>
      <c r="CI464" s="21"/>
      <c r="CJ464" s="21"/>
      <c r="CK464" s="21"/>
      <c r="CL464" s="21"/>
      <c r="CM464" s="21"/>
      <c r="CN464" s="21"/>
      <c r="CO464" s="21"/>
      <c r="CP464" s="21"/>
      <c r="CQ464" s="21"/>
      <c r="CR464" s="21"/>
      <c r="CS464" s="21"/>
      <c r="CT464" s="21"/>
      <c r="CU464" s="21"/>
      <c r="CV464" s="21"/>
      <c r="CW464" s="21"/>
      <c r="CX464" s="21"/>
      <c r="CY464" s="21"/>
      <c r="CZ464" s="21"/>
      <c r="DA464" s="21"/>
      <c r="DB464" s="21"/>
      <c r="DC464" s="21"/>
      <c r="DD464" s="21"/>
      <c r="DE464" s="21"/>
      <c r="DF464" s="21"/>
    </row>
    <row r="465" spans="1:110" s="16" customFormat="1" x14ac:dyDescent="0.3">
      <c r="A465" s="21" t="s">
        <v>32</v>
      </c>
      <c r="B465" s="21" t="s">
        <v>190</v>
      </c>
      <c r="C465" s="21" t="s">
        <v>631</v>
      </c>
      <c r="D465" s="42">
        <f>(D320*inputs!$E$78)/(inputs!$E$31)^inputs!E101</f>
        <v>0</v>
      </c>
      <c r="E465" s="21" t="str">
        <f t="shared" ca="1" si="7"/>
        <v>=(D320*inputs!$E$78)/(inputs!$E$31)^inputs!E101</v>
      </c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  <c r="AT465" s="21"/>
      <c r="AU465" s="21"/>
      <c r="AV465" s="21"/>
      <c r="AW465" s="21"/>
      <c r="AX465" s="21"/>
      <c r="AY465" s="21"/>
      <c r="AZ465" s="21"/>
      <c r="BA465" s="21"/>
      <c r="BB465" s="21"/>
      <c r="BC465" s="21"/>
      <c r="BD465" s="21"/>
      <c r="BE465" s="21"/>
      <c r="BF465" s="21"/>
      <c r="BG465" s="21"/>
      <c r="BH465" s="21"/>
      <c r="BI465" s="21"/>
      <c r="BJ465" s="21"/>
      <c r="BK465" s="21"/>
      <c r="BL465" s="21"/>
      <c r="BM465" s="21"/>
      <c r="BN465" s="21"/>
      <c r="BO465" s="21"/>
      <c r="BP465" s="21"/>
      <c r="BQ465" s="21"/>
      <c r="BR465" s="21"/>
      <c r="BS465" s="21"/>
      <c r="BT465" s="21"/>
      <c r="BU465" s="21"/>
      <c r="BV465" s="21"/>
      <c r="BW465" s="21"/>
      <c r="BX465" s="21"/>
      <c r="BY465" s="21"/>
      <c r="BZ465" s="21"/>
      <c r="CA465" s="21"/>
      <c r="CB465" s="21"/>
      <c r="CC465" s="21"/>
      <c r="CD465" s="21"/>
      <c r="CE465" s="21"/>
      <c r="CF465" s="21"/>
      <c r="CG465" s="21"/>
      <c r="CH465" s="21"/>
      <c r="CI465" s="21"/>
      <c r="CJ465" s="21"/>
      <c r="CK465" s="21"/>
      <c r="CL465" s="21"/>
      <c r="CM465" s="21"/>
      <c r="CN465" s="21"/>
      <c r="CO465" s="21"/>
      <c r="CP465" s="21"/>
      <c r="CQ465" s="21"/>
      <c r="CR465" s="21"/>
      <c r="CS465" s="21"/>
      <c r="CT465" s="21"/>
      <c r="CU465" s="21"/>
      <c r="CV465" s="21"/>
      <c r="CW465" s="21"/>
      <c r="CX465" s="21"/>
      <c r="CY465" s="21"/>
      <c r="CZ465" s="21"/>
      <c r="DA465" s="21"/>
      <c r="DB465" s="21"/>
      <c r="DC465" s="21"/>
      <c r="DD465" s="21"/>
      <c r="DE465" s="21"/>
      <c r="DF465" s="21"/>
    </row>
    <row r="466" spans="1:110" s="16" customFormat="1" x14ac:dyDescent="0.3">
      <c r="A466" s="21" t="s">
        <v>32</v>
      </c>
      <c r="B466" s="21" t="s">
        <v>190</v>
      </c>
      <c r="C466" s="21" t="s">
        <v>632</v>
      </c>
      <c r="D466" s="42">
        <f>(D321*inputs!$E$78)/(inputs!$E$31)^inputs!E102</f>
        <v>0</v>
      </c>
      <c r="E466" s="21" t="str">
        <f t="shared" ca="1" si="7"/>
        <v>=(D321*inputs!$E$78)/(inputs!$E$31)^inputs!E102</v>
      </c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  <c r="AT466" s="21"/>
      <c r="AU466" s="21"/>
      <c r="AV466" s="21"/>
      <c r="AW466" s="21"/>
      <c r="AX466" s="21"/>
      <c r="AY466" s="21"/>
      <c r="AZ466" s="21"/>
      <c r="BA466" s="21"/>
      <c r="BB466" s="21"/>
      <c r="BC466" s="21"/>
      <c r="BD466" s="21"/>
      <c r="BE466" s="21"/>
      <c r="BF466" s="21"/>
      <c r="BG466" s="21"/>
      <c r="BH466" s="21"/>
      <c r="BI466" s="21"/>
      <c r="BJ466" s="21"/>
      <c r="BK466" s="21"/>
      <c r="BL466" s="21"/>
      <c r="BM466" s="21"/>
      <c r="BN466" s="21"/>
      <c r="BO466" s="21"/>
      <c r="BP466" s="21"/>
      <c r="BQ466" s="21"/>
      <c r="BR466" s="21"/>
      <c r="BS466" s="21"/>
      <c r="BT466" s="21"/>
      <c r="BU466" s="21"/>
      <c r="BV466" s="21"/>
      <c r="BW466" s="21"/>
      <c r="BX466" s="21"/>
      <c r="BY466" s="21"/>
      <c r="BZ466" s="21"/>
      <c r="CA466" s="21"/>
      <c r="CB466" s="21"/>
      <c r="CC466" s="21"/>
      <c r="CD466" s="21"/>
      <c r="CE466" s="21"/>
      <c r="CF466" s="21"/>
      <c r="CG466" s="21"/>
      <c r="CH466" s="21"/>
      <c r="CI466" s="21"/>
      <c r="CJ466" s="21"/>
      <c r="CK466" s="21"/>
      <c r="CL466" s="21"/>
      <c r="CM466" s="21"/>
      <c r="CN466" s="21"/>
      <c r="CO466" s="21"/>
      <c r="CP466" s="21"/>
      <c r="CQ466" s="21"/>
      <c r="CR466" s="21"/>
      <c r="CS466" s="21"/>
      <c r="CT466" s="21"/>
      <c r="CU466" s="21"/>
      <c r="CV466" s="21"/>
      <c r="CW466" s="21"/>
      <c r="CX466" s="21"/>
      <c r="CY466" s="21"/>
      <c r="CZ466" s="21"/>
      <c r="DA466" s="21"/>
      <c r="DB466" s="21"/>
      <c r="DC466" s="21"/>
      <c r="DD466" s="21"/>
      <c r="DE466" s="21"/>
      <c r="DF466" s="21"/>
    </row>
    <row r="467" spans="1:110" s="16" customFormat="1" x14ac:dyDescent="0.3">
      <c r="A467" s="21" t="s">
        <v>32</v>
      </c>
      <c r="B467" s="21" t="s">
        <v>190</v>
      </c>
      <c r="C467" s="21" t="s">
        <v>633</v>
      </c>
      <c r="D467" s="42">
        <f>(D322*inputs!$E$78)/(inputs!$E$31)^inputs!E103</f>
        <v>0</v>
      </c>
      <c r="E467" s="21" t="str">
        <f t="shared" ca="1" si="7"/>
        <v>=(D322*inputs!$E$78)/(inputs!$E$31)^inputs!E103</v>
      </c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  <c r="AT467" s="21"/>
      <c r="AU467" s="21"/>
      <c r="AV467" s="21"/>
      <c r="AW467" s="21"/>
      <c r="AX467" s="21"/>
      <c r="AY467" s="21"/>
      <c r="AZ467" s="21"/>
      <c r="BA467" s="21"/>
      <c r="BB467" s="21"/>
      <c r="BC467" s="21"/>
      <c r="BD467" s="21"/>
      <c r="BE467" s="21"/>
      <c r="BF467" s="21"/>
      <c r="BG467" s="21"/>
      <c r="BH467" s="21"/>
      <c r="BI467" s="21"/>
      <c r="BJ467" s="21"/>
      <c r="BK467" s="21"/>
      <c r="BL467" s="21"/>
      <c r="BM467" s="21"/>
      <c r="BN467" s="21"/>
      <c r="BO467" s="21"/>
      <c r="BP467" s="21"/>
      <c r="BQ467" s="21"/>
      <c r="BR467" s="21"/>
      <c r="BS467" s="21"/>
      <c r="BT467" s="21"/>
      <c r="BU467" s="21"/>
      <c r="BV467" s="21"/>
      <c r="BW467" s="21"/>
      <c r="BX467" s="21"/>
      <c r="BY467" s="21"/>
      <c r="BZ467" s="21"/>
      <c r="CA467" s="21"/>
      <c r="CB467" s="21"/>
      <c r="CC467" s="21"/>
      <c r="CD467" s="21"/>
      <c r="CE467" s="21"/>
      <c r="CF467" s="21"/>
      <c r="CG467" s="21"/>
      <c r="CH467" s="21"/>
      <c r="CI467" s="21"/>
      <c r="CJ467" s="21"/>
      <c r="CK467" s="21"/>
      <c r="CL467" s="21"/>
      <c r="CM467" s="21"/>
      <c r="CN467" s="21"/>
      <c r="CO467" s="21"/>
      <c r="CP467" s="21"/>
      <c r="CQ467" s="21"/>
      <c r="CR467" s="21"/>
      <c r="CS467" s="21"/>
      <c r="CT467" s="21"/>
      <c r="CU467" s="21"/>
      <c r="CV467" s="21"/>
      <c r="CW467" s="21"/>
      <c r="CX467" s="21"/>
      <c r="CY467" s="21"/>
      <c r="CZ467" s="21"/>
      <c r="DA467" s="21"/>
      <c r="DB467" s="21"/>
      <c r="DC467" s="21"/>
      <c r="DD467" s="21"/>
      <c r="DE467" s="21"/>
      <c r="DF467" s="21"/>
    </row>
    <row r="468" spans="1:110" s="16" customFormat="1" x14ac:dyDescent="0.3">
      <c r="A468" s="21" t="s">
        <v>32</v>
      </c>
      <c r="B468" s="21" t="s">
        <v>190</v>
      </c>
      <c r="C468" s="21" t="s">
        <v>634</v>
      </c>
      <c r="D468" s="42">
        <f>(D323*inputs!$E$78)/(inputs!$E$31)^inputs!E104</f>
        <v>0</v>
      </c>
      <c r="E468" s="21" t="str">
        <f t="shared" ca="1" si="7"/>
        <v>=(D323*inputs!$E$78)/(inputs!$E$31)^inputs!E104</v>
      </c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  <c r="AT468" s="21"/>
      <c r="AU468" s="21"/>
      <c r="AV468" s="21"/>
      <c r="AW468" s="21"/>
      <c r="AX468" s="21"/>
      <c r="AY468" s="21"/>
      <c r="AZ468" s="21"/>
      <c r="BA468" s="21"/>
      <c r="BB468" s="21"/>
      <c r="BC468" s="21"/>
      <c r="BD468" s="21"/>
      <c r="BE468" s="21"/>
      <c r="BF468" s="21"/>
      <c r="BG468" s="21"/>
      <c r="BH468" s="21"/>
      <c r="BI468" s="21"/>
      <c r="BJ468" s="21"/>
      <c r="BK468" s="21"/>
      <c r="BL468" s="21"/>
      <c r="BM468" s="21"/>
      <c r="BN468" s="21"/>
      <c r="BO468" s="21"/>
      <c r="BP468" s="21"/>
      <c r="BQ468" s="21"/>
      <c r="BR468" s="21"/>
      <c r="BS468" s="21"/>
      <c r="BT468" s="21"/>
      <c r="BU468" s="21"/>
      <c r="BV468" s="21"/>
      <c r="BW468" s="21"/>
      <c r="BX468" s="21"/>
      <c r="BY468" s="21"/>
      <c r="BZ468" s="21"/>
      <c r="CA468" s="21"/>
      <c r="CB468" s="21"/>
      <c r="CC468" s="21"/>
      <c r="CD468" s="21"/>
      <c r="CE468" s="21"/>
      <c r="CF468" s="21"/>
      <c r="CG468" s="21"/>
      <c r="CH468" s="21"/>
      <c r="CI468" s="21"/>
      <c r="CJ468" s="21"/>
      <c r="CK468" s="21"/>
      <c r="CL468" s="21"/>
      <c r="CM468" s="21"/>
      <c r="CN468" s="21"/>
      <c r="CO468" s="21"/>
      <c r="CP468" s="21"/>
      <c r="CQ468" s="21"/>
      <c r="CR468" s="21"/>
      <c r="CS468" s="21"/>
      <c r="CT468" s="21"/>
      <c r="CU468" s="21"/>
      <c r="CV468" s="21"/>
      <c r="CW468" s="21"/>
      <c r="CX468" s="21"/>
      <c r="CY468" s="21"/>
      <c r="CZ468" s="21"/>
      <c r="DA468" s="21"/>
      <c r="DB468" s="21"/>
      <c r="DC468" s="21"/>
      <c r="DD468" s="21"/>
      <c r="DE468" s="21"/>
      <c r="DF468" s="21"/>
    </row>
    <row r="469" spans="1:110" s="16" customFormat="1" x14ac:dyDescent="0.3">
      <c r="A469" s="21" t="s">
        <v>32</v>
      </c>
      <c r="B469" s="21" t="s">
        <v>190</v>
      </c>
      <c r="C469" s="21" t="s">
        <v>635</v>
      </c>
      <c r="D469" s="42">
        <f>(D324*inputs!$E$78)/(inputs!$E$31)^inputs!E105</f>
        <v>0</v>
      </c>
      <c r="E469" s="21" t="str">
        <f t="shared" ca="1" si="7"/>
        <v>=(D324*inputs!$E$78)/(inputs!$E$31)^inputs!E105</v>
      </c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  <c r="AT469" s="21"/>
      <c r="AU469" s="21"/>
      <c r="AV469" s="21"/>
      <c r="AW469" s="21"/>
      <c r="AX469" s="21"/>
      <c r="AY469" s="21"/>
      <c r="AZ469" s="21"/>
      <c r="BA469" s="21"/>
      <c r="BB469" s="21"/>
      <c r="BC469" s="21"/>
      <c r="BD469" s="21"/>
      <c r="BE469" s="21"/>
      <c r="BF469" s="21"/>
      <c r="BG469" s="21"/>
      <c r="BH469" s="21"/>
      <c r="BI469" s="21"/>
      <c r="BJ469" s="21"/>
      <c r="BK469" s="21"/>
      <c r="BL469" s="21"/>
      <c r="BM469" s="21"/>
      <c r="BN469" s="21"/>
      <c r="BO469" s="21"/>
      <c r="BP469" s="21"/>
      <c r="BQ469" s="21"/>
      <c r="BR469" s="21"/>
      <c r="BS469" s="21"/>
      <c r="BT469" s="21"/>
      <c r="BU469" s="21"/>
      <c r="BV469" s="21"/>
      <c r="BW469" s="21"/>
      <c r="BX469" s="21"/>
      <c r="BY469" s="21"/>
      <c r="BZ469" s="21"/>
      <c r="CA469" s="21"/>
      <c r="CB469" s="21"/>
      <c r="CC469" s="21"/>
      <c r="CD469" s="21"/>
      <c r="CE469" s="21"/>
      <c r="CF469" s="21"/>
      <c r="CG469" s="21"/>
      <c r="CH469" s="21"/>
      <c r="CI469" s="21"/>
      <c r="CJ469" s="21"/>
      <c r="CK469" s="21"/>
      <c r="CL469" s="21"/>
      <c r="CM469" s="21"/>
      <c r="CN469" s="21"/>
      <c r="CO469" s="21"/>
      <c r="CP469" s="21"/>
      <c r="CQ469" s="21"/>
      <c r="CR469" s="21"/>
      <c r="CS469" s="21"/>
      <c r="CT469" s="21"/>
      <c r="CU469" s="21"/>
      <c r="CV469" s="21"/>
      <c r="CW469" s="21"/>
      <c r="CX469" s="21"/>
      <c r="CY469" s="21"/>
      <c r="CZ469" s="21"/>
      <c r="DA469" s="21"/>
      <c r="DB469" s="21"/>
      <c r="DC469" s="21"/>
      <c r="DD469" s="21"/>
      <c r="DE469" s="21"/>
      <c r="DF469" s="21"/>
    </row>
    <row r="470" spans="1:110" s="16" customFormat="1" x14ac:dyDescent="0.3">
      <c r="A470" s="21" t="s">
        <v>32</v>
      </c>
      <c r="B470" s="21" t="s">
        <v>190</v>
      </c>
      <c r="C470" s="21" t="s">
        <v>636</v>
      </c>
      <c r="D470" s="42">
        <f>(D325*inputs!$E$78)/(inputs!$E$31)^inputs!E106</f>
        <v>0</v>
      </c>
      <c r="E470" s="21" t="str">
        <f t="shared" ca="1" si="7"/>
        <v>=(D325*inputs!$E$78)/(inputs!$E$31)^inputs!E106</v>
      </c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  <c r="AT470" s="21"/>
      <c r="AU470" s="21"/>
      <c r="AV470" s="21"/>
      <c r="AW470" s="21"/>
      <c r="AX470" s="21"/>
      <c r="AY470" s="21"/>
      <c r="AZ470" s="21"/>
      <c r="BA470" s="21"/>
      <c r="BB470" s="21"/>
      <c r="BC470" s="21"/>
      <c r="BD470" s="21"/>
      <c r="BE470" s="21"/>
      <c r="BF470" s="21"/>
      <c r="BG470" s="21"/>
      <c r="BH470" s="21"/>
      <c r="BI470" s="21"/>
      <c r="BJ470" s="21"/>
      <c r="BK470" s="21"/>
      <c r="BL470" s="21"/>
      <c r="BM470" s="21"/>
      <c r="BN470" s="21"/>
      <c r="BO470" s="21"/>
      <c r="BP470" s="21"/>
      <c r="BQ470" s="21"/>
      <c r="BR470" s="21"/>
      <c r="BS470" s="21"/>
      <c r="BT470" s="21"/>
      <c r="BU470" s="21"/>
      <c r="BV470" s="21"/>
      <c r="BW470" s="21"/>
      <c r="BX470" s="21"/>
      <c r="BY470" s="21"/>
      <c r="BZ470" s="21"/>
      <c r="CA470" s="21"/>
      <c r="CB470" s="21"/>
      <c r="CC470" s="21"/>
      <c r="CD470" s="21"/>
      <c r="CE470" s="21"/>
      <c r="CF470" s="21"/>
      <c r="CG470" s="21"/>
      <c r="CH470" s="21"/>
      <c r="CI470" s="21"/>
      <c r="CJ470" s="21"/>
      <c r="CK470" s="21"/>
      <c r="CL470" s="21"/>
      <c r="CM470" s="21"/>
      <c r="CN470" s="21"/>
      <c r="CO470" s="21"/>
      <c r="CP470" s="21"/>
      <c r="CQ470" s="21"/>
      <c r="CR470" s="21"/>
      <c r="CS470" s="21"/>
      <c r="CT470" s="21"/>
      <c r="CU470" s="21"/>
      <c r="CV470" s="21"/>
      <c r="CW470" s="21"/>
      <c r="CX470" s="21"/>
      <c r="CY470" s="21"/>
      <c r="CZ470" s="21"/>
      <c r="DA470" s="21"/>
      <c r="DB470" s="21"/>
      <c r="DC470" s="21"/>
      <c r="DD470" s="21"/>
      <c r="DE470" s="21"/>
      <c r="DF470" s="21"/>
    </row>
    <row r="471" spans="1:110" s="16" customFormat="1" x14ac:dyDescent="0.3">
      <c r="A471" s="21" t="s">
        <v>32</v>
      </c>
      <c r="B471" s="21" t="s">
        <v>190</v>
      </c>
      <c r="C471" s="21" t="s">
        <v>637</v>
      </c>
      <c r="D471" s="42">
        <f>(D326*inputs!$E$78)/(inputs!$E$31)^inputs!E107</f>
        <v>0</v>
      </c>
      <c r="E471" s="21" t="str">
        <f t="shared" ca="1" si="7"/>
        <v>=(D326*inputs!$E$78)/(inputs!$E$31)^inputs!E107</v>
      </c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  <c r="AT471" s="21"/>
      <c r="AU471" s="21"/>
      <c r="AV471" s="21"/>
      <c r="AW471" s="21"/>
      <c r="AX471" s="21"/>
      <c r="AY471" s="21"/>
      <c r="AZ471" s="21"/>
      <c r="BA471" s="21"/>
      <c r="BB471" s="21"/>
      <c r="BC471" s="21"/>
      <c r="BD471" s="21"/>
      <c r="BE471" s="21"/>
      <c r="BF471" s="21"/>
      <c r="BG471" s="21"/>
      <c r="BH471" s="21"/>
      <c r="BI471" s="21"/>
      <c r="BJ471" s="21"/>
      <c r="BK471" s="21"/>
      <c r="BL471" s="21"/>
      <c r="BM471" s="21"/>
      <c r="BN471" s="21"/>
      <c r="BO471" s="21"/>
      <c r="BP471" s="21"/>
      <c r="BQ471" s="21"/>
      <c r="BR471" s="21"/>
      <c r="BS471" s="21"/>
      <c r="BT471" s="21"/>
      <c r="BU471" s="21"/>
      <c r="BV471" s="21"/>
      <c r="BW471" s="21"/>
      <c r="BX471" s="21"/>
      <c r="BY471" s="21"/>
      <c r="BZ471" s="21"/>
      <c r="CA471" s="21"/>
      <c r="CB471" s="21"/>
      <c r="CC471" s="21"/>
      <c r="CD471" s="21"/>
      <c r="CE471" s="21"/>
      <c r="CF471" s="21"/>
      <c r="CG471" s="21"/>
      <c r="CH471" s="21"/>
      <c r="CI471" s="21"/>
      <c r="CJ471" s="21"/>
      <c r="CK471" s="21"/>
      <c r="CL471" s="21"/>
      <c r="CM471" s="21"/>
      <c r="CN471" s="21"/>
      <c r="CO471" s="21"/>
      <c r="CP471" s="21"/>
      <c r="CQ471" s="21"/>
      <c r="CR471" s="21"/>
      <c r="CS471" s="21"/>
      <c r="CT471" s="21"/>
      <c r="CU471" s="21"/>
      <c r="CV471" s="21"/>
      <c r="CW471" s="21"/>
      <c r="CX471" s="21"/>
      <c r="CY471" s="21"/>
      <c r="CZ471" s="21"/>
      <c r="DA471" s="21"/>
      <c r="DB471" s="21"/>
      <c r="DC471" s="21"/>
      <c r="DD471" s="21"/>
      <c r="DE471" s="21"/>
      <c r="DF471" s="21"/>
    </row>
    <row r="472" spans="1:110" s="16" customFormat="1" x14ac:dyDescent="0.3">
      <c r="A472" s="21" t="s">
        <v>32</v>
      </c>
      <c r="B472" s="21" t="s">
        <v>190</v>
      </c>
      <c r="C472" s="21" t="s">
        <v>638</v>
      </c>
      <c r="D472" s="42">
        <f>(D327*inputs!$E$78)/(inputs!$E$31)^inputs!E108</f>
        <v>0</v>
      </c>
      <c r="E472" s="21" t="str">
        <f t="shared" ref="E472:E535" ca="1" si="8">_xlfn.FORMULATEXT(D472)</f>
        <v>=(D327*inputs!$E$78)/(inputs!$E$31)^inputs!E108</v>
      </c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  <c r="AT472" s="21"/>
      <c r="AU472" s="21"/>
      <c r="AV472" s="21"/>
      <c r="AW472" s="21"/>
      <c r="AX472" s="21"/>
      <c r="AY472" s="21"/>
      <c r="AZ472" s="21"/>
      <c r="BA472" s="21"/>
      <c r="BB472" s="21"/>
      <c r="BC472" s="21"/>
      <c r="BD472" s="21"/>
      <c r="BE472" s="21"/>
      <c r="BF472" s="21"/>
      <c r="BG472" s="21"/>
      <c r="BH472" s="21"/>
      <c r="BI472" s="21"/>
      <c r="BJ472" s="21"/>
      <c r="BK472" s="21"/>
      <c r="BL472" s="21"/>
      <c r="BM472" s="21"/>
      <c r="BN472" s="21"/>
      <c r="BO472" s="21"/>
      <c r="BP472" s="21"/>
      <c r="BQ472" s="21"/>
      <c r="BR472" s="21"/>
      <c r="BS472" s="21"/>
      <c r="BT472" s="21"/>
      <c r="BU472" s="21"/>
      <c r="BV472" s="21"/>
      <c r="BW472" s="21"/>
      <c r="BX472" s="21"/>
      <c r="BY472" s="21"/>
      <c r="BZ472" s="21"/>
      <c r="CA472" s="21"/>
      <c r="CB472" s="21"/>
      <c r="CC472" s="21"/>
      <c r="CD472" s="21"/>
      <c r="CE472" s="21"/>
      <c r="CF472" s="21"/>
      <c r="CG472" s="21"/>
      <c r="CH472" s="21"/>
      <c r="CI472" s="21"/>
      <c r="CJ472" s="21"/>
      <c r="CK472" s="21"/>
      <c r="CL472" s="21"/>
      <c r="CM472" s="21"/>
      <c r="CN472" s="21"/>
      <c r="CO472" s="21"/>
      <c r="CP472" s="21"/>
      <c r="CQ472" s="21"/>
      <c r="CR472" s="21"/>
      <c r="CS472" s="21"/>
      <c r="CT472" s="21"/>
      <c r="CU472" s="21"/>
      <c r="CV472" s="21"/>
      <c r="CW472" s="21"/>
      <c r="CX472" s="21"/>
      <c r="CY472" s="21"/>
      <c r="CZ472" s="21"/>
      <c r="DA472" s="21"/>
      <c r="DB472" s="21"/>
      <c r="DC472" s="21"/>
      <c r="DD472" s="21"/>
      <c r="DE472" s="21"/>
      <c r="DF472" s="21"/>
    </row>
    <row r="473" spans="1:110" s="16" customFormat="1" x14ac:dyDescent="0.3">
      <c r="A473" s="21" t="s">
        <v>32</v>
      </c>
      <c r="B473" s="21" t="s">
        <v>190</v>
      </c>
      <c r="C473" s="21" t="s">
        <v>639</v>
      </c>
      <c r="D473" s="42">
        <f>(D328*inputs!$E$78)/(inputs!$E$31)^inputs!E109</f>
        <v>0</v>
      </c>
      <c r="E473" s="21" t="str">
        <f t="shared" ca="1" si="8"/>
        <v>=(D328*inputs!$E$78)/(inputs!$E$31)^inputs!E109</v>
      </c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  <c r="AT473" s="21"/>
      <c r="AU473" s="21"/>
      <c r="AV473" s="21"/>
      <c r="AW473" s="21"/>
      <c r="AX473" s="21"/>
      <c r="AY473" s="21"/>
      <c r="AZ473" s="21"/>
      <c r="BA473" s="21"/>
      <c r="BB473" s="21"/>
      <c r="BC473" s="21"/>
      <c r="BD473" s="21"/>
      <c r="BE473" s="21"/>
      <c r="BF473" s="21"/>
      <c r="BG473" s="21"/>
      <c r="BH473" s="21"/>
      <c r="BI473" s="21"/>
      <c r="BJ473" s="21"/>
      <c r="BK473" s="21"/>
      <c r="BL473" s="21"/>
      <c r="BM473" s="21"/>
      <c r="BN473" s="21"/>
      <c r="BO473" s="21"/>
      <c r="BP473" s="21"/>
      <c r="BQ473" s="21"/>
      <c r="BR473" s="21"/>
      <c r="BS473" s="21"/>
      <c r="BT473" s="21"/>
      <c r="BU473" s="21"/>
      <c r="BV473" s="21"/>
      <c r="BW473" s="21"/>
      <c r="BX473" s="21"/>
      <c r="BY473" s="21"/>
      <c r="BZ473" s="21"/>
      <c r="CA473" s="21"/>
      <c r="CB473" s="21"/>
      <c r="CC473" s="21"/>
      <c r="CD473" s="21"/>
      <c r="CE473" s="21"/>
      <c r="CF473" s="21"/>
      <c r="CG473" s="21"/>
      <c r="CH473" s="21"/>
      <c r="CI473" s="21"/>
      <c r="CJ473" s="21"/>
      <c r="CK473" s="21"/>
      <c r="CL473" s="21"/>
      <c r="CM473" s="21"/>
      <c r="CN473" s="21"/>
      <c r="CO473" s="21"/>
      <c r="CP473" s="21"/>
      <c r="CQ473" s="21"/>
      <c r="CR473" s="21"/>
      <c r="CS473" s="21"/>
      <c r="CT473" s="21"/>
      <c r="CU473" s="21"/>
      <c r="CV473" s="21"/>
      <c r="CW473" s="21"/>
      <c r="CX473" s="21"/>
      <c r="CY473" s="21"/>
      <c r="CZ473" s="21"/>
      <c r="DA473" s="21"/>
      <c r="DB473" s="21"/>
      <c r="DC473" s="21"/>
      <c r="DD473" s="21"/>
      <c r="DE473" s="21"/>
      <c r="DF473" s="21"/>
    </row>
    <row r="474" spans="1:110" s="16" customFormat="1" x14ac:dyDescent="0.3">
      <c r="A474" s="21" t="s">
        <v>32</v>
      </c>
      <c r="B474" s="21" t="s">
        <v>190</v>
      </c>
      <c r="C474" s="21" t="s">
        <v>640</v>
      </c>
      <c r="D474" s="42">
        <f>(D329*inputs!$E$78)/(inputs!$E$31)^inputs!E110</f>
        <v>0</v>
      </c>
      <c r="E474" s="21" t="str">
        <f t="shared" ca="1" si="8"/>
        <v>=(D329*inputs!$E$78)/(inputs!$E$31)^inputs!E110</v>
      </c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  <c r="AT474" s="21"/>
      <c r="AU474" s="21"/>
      <c r="AV474" s="21"/>
      <c r="AW474" s="21"/>
      <c r="AX474" s="21"/>
      <c r="AY474" s="21"/>
      <c r="AZ474" s="21"/>
      <c r="BA474" s="21"/>
      <c r="BB474" s="21"/>
      <c r="BC474" s="21"/>
      <c r="BD474" s="21"/>
      <c r="BE474" s="21"/>
      <c r="BF474" s="21"/>
      <c r="BG474" s="21"/>
      <c r="BH474" s="21"/>
      <c r="BI474" s="21"/>
      <c r="BJ474" s="21"/>
      <c r="BK474" s="21"/>
      <c r="BL474" s="21"/>
      <c r="BM474" s="21"/>
      <c r="BN474" s="21"/>
      <c r="BO474" s="21"/>
      <c r="BP474" s="21"/>
      <c r="BQ474" s="21"/>
      <c r="BR474" s="21"/>
      <c r="BS474" s="21"/>
      <c r="BT474" s="21"/>
      <c r="BU474" s="21"/>
      <c r="BV474" s="21"/>
      <c r="BW474" s="21"/>
      <c r="BX474" s="21"/>
      <c r="BY474" s="21"/>
      <c r="BZ474" s="21"/>
      <c r="CA474" s="21"/>
      <c r="CB474" s="21"/>
      <c r="CC474" s="21"/>
      <c r="CD474" s="21"/>
      <c r="CE474" s="21"/>
      <c r="CF474" s="21"/>
      <c r="CG474" s="21"/>
      <c r="CH474" s="21"/>
      <c r="CI474" s="21"/>
      <c r="CJ474" s="21"/>
      <c r="CK474" s="21"/>
      <c r="CL474" s="21"/>
      <c r="CM474" s="21"/>
      <c r="CN474" s="21"/>
      <c r="CO474" s="21"/>
      <c r="CP474" s="21"/>
      <c r="CQ474" s="21"/>
      <c r="CR474" s="21"/>
      <c r="CS474" s="21"/>
      <c r="CT474" s="21"/>
      <c r="CU474" s="21"/>
      <c r="CV474" s="21"/>
      <c r="CW474" s="21"/>
      <c r="CX474" s="21"/>
      <c r="CY474" s="21"/>
      <c r="CZ474" s="21"/>
      <c r="DA474" s="21"/>
      <c r="DB474" s="21"/>
      <c r="DC474" s="21"/>
      <c r="DD474" s="21"/>
      <c r="DE474" s="21"/>
      <c r="DF474" s="21"/>
    </row>
    <row r="475" spans="1:110" s="16" customFormat="1" x14ac:dyDescent="0.3">
      <c r="A475" s="21" t="s">
        <v>32</v>
      </c>
      <c r="B475" s="21" t="s">
        <v>190</v>
      </c>
      <c r="C475" s="21" t="s">
        <v>641</v>
      </c>
      <c r="D475" s="42">
        <f>(D330*inputs!$E$78)/(inputs!$E$31)^inputs!E111</f>
        <v>0</v>
      </c>
      <c r="E475" s="21" t="str">
        <f t="shared" ca="1" si="8"/>
        <v>=(D330*inputs!$E$78)/(inputs!$E$31)^inputs!E111</v>
      </c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  <c r="AT475" s="21"/>
      <c r="AU475" s="21"/>
      <c r="AV475" s="21"/>
      <c r="AW475" s="21"/>
      <c r="AX475" s="21"/>
      <c r="AY475" s="21"/>
      <c r="AZ475" s="21"/>
      <c r="BA475" s="21"/>
      <c r="BB475" s="21"/>
      <c r="BC475" s="21"/>
      <c r="BD475" s="21"/>
      <c r="BE475" s="21"/>
      <c r="BF475" s="21"/>
      <c r="BG475" s="21"/>
      <c r="BH475" s="21"/>
      <c r="BI475" s="21"/>
      <c r="BJ475" s="21"/>
      <c r="BK475" s="21"/>
      <c r="BL475" s="21"/>
      <c r="BM475" s="21"/>
      <c r="BN475" s="21"/>
      <c r="BO475" s="21"/>
      <c r="BP475" s="21"/>
      <c r="BQ475" s="21"/>
      <c r="BR475" s="21"/>
      <c r="BS475" s="21"/>
      <c r="BT475" s="21"/>
      <c r="BU475" s="21"/>
      <c r="BV475" s="21"/>
      <c r="BW475" s="21"/>
      <c r="BX475" s="21"/>
      <c r="BY475" s="21"/>
      <c r="BZ475" s="21"/>
      <c r="CA475" s="21"/>
      <c r="CB475" s="21"/>
      <c r="CC475" s="21"/>
      <c r="CD475" s="21"/>
      <c r="CE475" s="21"/>
      <c r="CF475" s="21"/>
      <c r="CG475" s="21"/>
      <c r="CH475" s="21"/>
      <c r="CI475" s="21"/>
      <c r="CJ475" s="21"/>
      <c r="CK475" s="21"/>
      <c r="CL475" s="21"/>
      <c r="CM475" s="21"/>
      <c r="CN475" s="21"/>
      <c r="CO475" s="21"/>
      <c r="CP475" s="21"/>
      <c r="CQ475" s="21"/>
      <c r="CR475" s="21"/>
      <c r="CS475" s="21"/>
      <c r="CT475" s="21"/>
      <c r="CU475" s="21"/>
      <c r="CV475" s="21"/>
      <c r="CW475" s="21"/>
      <c r="CX475" s="21"/>
      <c r="CY475" s="21"/>
      <c r="CZ475" s="21"/>
      <c r="DA475" s="21"/>
      <c r="DB475" s="21"/>
      <c r="DC475" s="21"/>
      <c r="DD475" s="21"/>
      <c r="DE475" s="21"/>
      <c r="DF475" s="21"/>
    </row>
    <row r="476" spans="1:110" s="16" customFormat="1" x14ac:dyDescent="0.3">
      <c r="A476" s="21" t="s">
        <v>32</v>
      </c>
      <c r="B476" s="21" t="s">
        <v>190</v>
      </c>
      <c r="C476" s="21" t="s">
        <v>642</v>
      </c>
      <c r="D476" s="42">
        <f>(D331*inputs!$E$78)/(inputs!$E$31)^inputs!E112</f>
        <v>0</v>
      </c>
      <c r="E476" s="21" t="str">
        <f t="shared" ca="1" si="8"/>
        <v>=(D331*inputs!$E$78)/(inputs!$E$31)^inputs!E112</v>
      </c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  <c r="AT476" s="21"/>
      <c r="AU476" s="21"/>
      <c r="AV476" s="21"/>
      <c r="AW476" s="21"/>
      <c r="AX476" s="21"/>
      <c r="AY476" s="21"/>
      <c r="AZ476" s="21"/>
      <c r="BA476" s="21"/>
      <c r="BB476" s="21"/>
      <c r="BC476" s="21"/>
      <c r="BD476" s="21"/>
      <c r="BE476" s="21"/>
      <c r="BF476" s="21"/>
      <c r="BG476" s="21"/>
      <c r="BH476" s="21"/>
      <c r="BI476" s="21"/>
      <c r="BJ476" s="21"/>
      <c r="BK476" s="21"/>
      <c r="BL476" s="21"/>
      <c r="BM476" s="21"/>
      <c r="BN476" s="21"/>
      <c r="BO476" s="21"/>
      <c r="BP476" s="21"/>
      <c r="BQ476" s="21"/>
      <c r="BR476" s="21"/>
      <c r="BS476" s="21"/>
      <c r="BT476" s="21"/>
      <c r="BU476" s="21"/>
      <c r="BV476" s="21"/>
      <c r="BW476" s="21"/>
      <c r="BX476" s="21"/>
      <c r="BY476" s="21"/>
      <c r="BZ476" s="21"/>
      <c r="CA476" s="21"/>
      <c r="CB476" s="21"/>
      <c r="CC476" s="21"/>
      <c r="CD476" s="21"/>
      <c r="CE476" s="21"/>
      <c r="CF476" s="21"/>
      <c r="CG476" s="21"/>
      <c r="CH476" s="21"/>
      <c r="CI476" s="21"/>
      <c r="CJ476" s="21"/>
      <c r="CK476" s="21"/>
      <c r="CL476" s="21"/>
      <c r="CM476" s="21"/>
      <c r="CN476" s="21"/>
      <c r="CO476" s="21"/>
      <c r="CP476" s="21"/>
      <c r="CQ476" s="21"/>
      <c r="CR476" s="21"/>
      <c r="CS476" s="21"/>
      <c r="CT476" s="21"/>
      <c r="CU476" s="21"/>
      <c r="CV476" s="21"/>
      <c r="CW476" s="21"/>
      <c r="CX476" s="21"/>
      <c r="CY476" s="21"/>
      <c r="CZ476" s="21"/>
      <c r="DA476" s="21"/>
      <c r="DB476" s="21"/>
      <c r="DC476" s="21"/>
      <c r="DD476" s="21"/>
      <c r="DE476" s="21"/>
      <c r="DF476" s="21"/>
    </row>
    <row r="477" spans="1:110" s="16" customFormat="1" x14ac:dyDescent="0.3">
      <c r="A477" s="21" t="s">
        <v>32</v>
      </c>
      <c r="B477" s="21" t="s">
        <v>190</v>
      </c>
      <c r="C477" s="21" t="s">
        <v>643</v>
      </c>
      <c r="D477" s="42">
        <f>(D332*inputs!$E$78)/(inputs!$E$31)^inputs!E113</f>
        <v>0</v>
      </c>
      <c r="E477" s="21" t="str">
        <f t="shared" ca="1" si="8"/>
        <v>=(D332*inputs!$E$78)/(inputs!$E$31)^inputs!E113</v>
      </c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  <c r="AT477" s="21"/>
      <c r="AU477" s="21"/>
      <c r="AV477" s="21"/>
      <c r="AW477" s="21"/>
      <c r="AX477" s="21"/>
      <c r="AY477" s="21"/>
      <c r="AZ477" s="21"/>
      <c r="BA477" s="21"/>
      <c r="BB477" s="21"/>
      <c r="BC477" s="21"/>
      <c r="BD477" s="21"/>
      <c r="BE477" s="21"/>
      <c r="BF477" s="21"/>
      <c r="BG477" s="21"/>
      <c r="BH477" s="21"/>
      <c r="BI477" s="21"/>
      <c r="BJ477" s="21"/>
      <c r="BK477" s="21"/>
      <c r="BL477" s="21"/>
      <c r="BM477" s="21"/>
      <c r="BN477" s="21"/>
      <c r="BO477" s="21"/>
      <c r="BP477" s="21"/>
      <c r="BQ477" s="21"/>
      <c r="BR477" s="21"/>
      <c r="BS477" s="21"/>
      <c r="BT477" s="21"/>
      <c r="BU477" s="21"/>
      <c r="BV477" s="21"/>
      <c r="BW477" s="21"/>
      <c r="BX477" s="21"/>
      <c r="BY477" s="21"/>
      <c r="BZ477" s="21"/>
      <c r="CA477" s="21"/>
      <c r="CB477" s="21"/>
      <c r="CC477" s="21"/>
      <c r="CD477" s="21"/>
      <c r="CE477" s="21"/>
      <c r="CF477" s="21"/>
      <c r="CG477" s="21"/>
      <c r="CH477" s="21"/>
      <c r="CI477" s="21"/>
      <c r="CJ477" s="21"/>
      <c r="CK477" s="21"/>
      <c r="CL477" s="21"/>
      <c r="CM477" s="21"/>
      <c r="CN477" s="21"/>
      <c r="CO477" s="21"/>
      <c r="CP477" s="21"/>
      <c r="CQ477" s="21"/>
      <c r="CR477" s="21"/>
      <c r="CS477" s="21"/>
      <c r="CT477" s="21"/>
      <c r="CU477" s="21"/>
      <c r="CV477" s="21"/>
      <c r="CW477" s="21"/>
      <c r="CX477" s="21"/>
      <c r="CY477" s="21"/>
      <c r="CZ477" s="21"/>
      <c r="DA477" s="21"/>
      <c r="DB477" s="21"/>
      <c r="DC477" s="21"/>
      <c r="DD477" s="21"/>
      <c r="DE477" s="21"/>
      <c r="DF477" s="21"/>
    </row>
    <row r="478" spans="1:110" s="16" customFormat="1" x14ac:dyDescent="0.3">
      <c r="A478" s="21" t="s">
        <v>32</v>
      </c>
      <c r="B478" s="21" t="s">
        <v>190</v>
      </c>
      <c r="C478" s="21" t="s">
        <v>644</v>
      </c>
      <c r="D478" s="42">
        <f>(D333*inputs!$E$78)/(inputs!$E$31)^inputs!E114</f>
        <v>0</v>
      </c>
      <c r="E478" s="21" t="str">
        <f t="shared" ca="1" si="8"/>
        <v>=(D333*inputs!$E$78)/(inputs!$E$31)^inputs!E114</v>
      </c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  <c r="AT478" s="21"/>
      <c r="AU478" s="21"/>
      <c r="AV478" s="21"/>
      <c r="AW478" s="21"/>
      <c r="AX478" s="21"/>
      <c r="AY478" s="21"/>
      <c r="AZ478" s="21"/>
      <c r="BA478" s="21"/>
      <c r="BB478" s="21"/>
      <c r="BC478" s="21"/>
      <c r="BD478" s="21"/>
      <c r="BE478" s="21"/>
      <c r="BF478" s="21"/>
      <c r="BG478" s="21"/>
      <c r="BH478" s="21"/>
      <c r="BI478" s="21"/>
      <c r="BJ478" s="21"/>
      <c r="BK478" s="21"/>
      <c r="BL478" s="21"/>
      <c r="BM478" s="21"/>
      <c r="BN478" s="21"/>
      <c r="BO478" s="21"/>
      <c r="BP478" s="21"/>
      <c r="BQ478" s="21"/>
      <c r="BR478" s="21"/>
      <c r="BS478" s="21"/>
      <c r="BT478" s="21"/>
      <c r="BU478" s="21"/>
      <c r="BV478" s="21"/>
      <c r="BW478" s="21"/>
      <c r="BX478" s="21"/>
      <c r="BY478" s="21"/>
      <c r="BZ478" s="21"/>
      <c r="CA478" s="21"/>
      <c r="CB478" s="21"/>
      <c r="CC478" s="21"/>
      <c r="CD478" s="21"/>
      <c r="CE478" s="21"/>
      <c r="CF478" s="21"/>
      <c r="CG478" s="21"/>
      <c r="CH478" s="21"/>
      <c r="CI478" s="21"/>
      <c r="CJ478" s="21"/>
      <c r="CK478" s="21"/>
      <c r="CL478" s="21"/>
      <c r="CM478" s="21"/>
      <c r="CN478" s="21"/>
      <c r="CO478" s="21"/>
      <c r="CP478" s="21"/>
      <c r="CQ478" s="21"/>
      <c r="CR478" s="21"/>
      <c r="CS478" s="21"/>
      <c r="CT478" s="21"/>
      <c r="CU478" s="21"/>
      <c r="CV478" s="21"/>
      <c r="CW478" s="21"/>
      <c r="CX478" s="21"/>
      <c r="CY478" s="21"/>
      <c r="CZ478" s="21"/>
      <c r="DA478" s="21"/>
      <c r="DB478" s="21"/>
      <c r="DC478" s="21"/>
      <c r="DD478" s="21"/>
      <c r="DE478" s="21"/>
      <c r="DF478" s="21"/>
    </row>
    <row r="479" spans="1:110" s="16" customFormat="1" x14ac:dyDescent="0.3">
      <c r="A479" s="21" t="s">
        <v>32</v>
      </c>
      <c r="B479" s="21" t="s">
        <v>190</v>
      </c>
      <c r="C479" s="21" t="s">
        <v>645</v>
      </c>
      <c r="D479" s="42">
        <f>(D334*inputs!$E$78)/(inputs!$E$31)^inputs!E115</f>
        <v>0</v>
      </c>
      <c r="E479" s="21" t="str">
        <f t="shared" ca="1" si="8"/>
        <v>=(D334*inputs!$E$78)/(inputs!$E$31)^inputs!E115</v>
      </c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  <c r="AT479" s="21"/>
      <c r="AU479" s="21"/>
      <c r="AV479" s="21"/>
      <c r="AW479" s="21"/>
      <c r="AX479" s="21"/>
      <c r="AY479" s="21"/>
      <c r="AZ479" s="21"/>
      <c r="BA479" s="21"/>
      <c r="BB479" s="21"/>
      <c r="BC479" s="21"/>
      <c r="BD479" s="21"/>
      <c r="BE479" s="21"/>
      <c r="BF479" s="21"/>
      <c r="BG479" s="21"/>
      <c r="BH479" s="21"/>
      <c r="BI479" s="21"/>
      <c r="BJ479" s="21"/>
      <c r="BK479" s="21"/>
      <c r="BL479" s="21"/>
      <c r="BM479" s="21"/>
      <c r="BN479" s="21"/>
      <c r="BO479" s="21"/>
      <c r="BP479" s="21"/>
      <c r="BQ479" s="21"/>
      <c r="BR479" s="21"/>
      <c r="BS479" s="21"/>
      <c r="BT479" s="21"/>
      <c r="BU479" s="21"/>
      <c r="BV479" s="21"/>
      <c r="BW479" s="21"/>
      <c r="BX479" s="21"/>
      <c r="BY479" s="21"/>
      <c r="BZ479" s="21"/>
      <c r="CA479" s="21"/>
      <c r="CB479" s="21"/>
      <c r="CC479" s="21"/>
      <c r="CD479" s="21"/>
      <c r="CE479" s="21"/>
      <c r="CF479" s="21"/>
      <c r="CG479" s="21"/>
      <c r="CH479" s="21"/>
      <c r="CI479" s="21"/>
      <c r="CJ479" s="21"/>
      <c r="CK479" s="21"/>
      <c r="CL479" s="21"/>
      <c r="CM479" s="21"/>
      <c r="CN479" s="21"/>
      <c r="CO479" s="21"/>
      <c r="CP479" s="21"/>
      <c r="CQ479" s="21"/>
      <c r="CR479" s="21"/>
      <c r="CS479" s="21"/>
      <c r="CT479" s="21"/>
      <c r="CU479" s="21"/>
      <c r="CV479" s="21"/>
      <c r="CW479" s="21"/>
      <c r="CX479" s="21"/>
      <c r="CY479" s="21"/>
      <c r="CZ479" s="21"/>
      <c r="DA479" s="21"/>
      <c r="DB479" s="21"/>
      <c r="DC479" s="21"/>
      <c r="DD479" s="21"/>
      <c r="DE479" s="21"/>
      <c r="DF479" s="21"/>
    </row>
    <row r="480" spans="1:110" s="16" customFormat="1" x14ac:dyDescent="0.3">
      <c r="A480" s="21" t="s">
        <v>32</v>
      </c>
      <c r="B480" s="21" t="s">
        <v>190</v>
      </c>
      <c r="C480" s="21" t="s">
        <v>646</v>
      </c>
      <c r="D480" s="42">
        <f>(D335*inputs!$E$78)/(inputs!$E$31)^inputs!E116</f>
        <v>0</v>
      </c>
      <c r="E480" s="21" t="str">
        <f t="shared" ca="1" si="8"/>
        <v>=(D335*inputs!$E$78)/(inputs!$E$31)^inputs!E116</v>
      </c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  <c r="AT480" s="21"/>
      <c r="AU480" s="21"/>
      <c r="AV480" s="21"/>
      <c r="AW480" s="21"/>
      <c r="AX480" s="21"/>
      <c r="AY480" s="21"/>
      <c r="AZ480" s="21"/>
      <c r="BA480" s="21"/>
      <c r="BB480" s="21"/>
      <c r="BC480" s="21"/>
      <c r="BD480" s="21"/>
      <c r="BE480" s="21"/>
      <c r="BF480" s="21"/>
      <c r="BG480" s="21"/>
      <c r="BH480" s="21"/>
      <c r="BI480" s="21"/>
      <c r="BJ480" s="21"/>
      <c r="BK480" s="21"/>
      <c r="BL480" s="21"/>
      <c r="BM480" s="21"/>
      <c r="BN480" s="21"/>
      <c r="BO480" s="21"/>
      <c r="BP480" s="21"/>
      <c r="BQ480" s="21"/>
      <c r="BR480" s="21"/>
      <c r="BS480" s="21"/>
      <c r="BT480" s="21"/>
      <c r="BU480" s="21"/>
      <c r="BV480" s="21"/>
      <c r="BW480" s="21"/>
      <c r="BX480" s="21"/>
      <c r="BY480" s="21"/>
      <c r="BZ480" s="21"/>
      <c r="CA480" s="21"/>
      <c r="CB480" s="21"/>
      <c r="CC480" s="21"/>
      <c r="CD480" s="21"/>
      <c r="CE480" s="21"/>
      <c r="CF480" s="21"/>
      <c r="CG480" s="21"/>
      <c r="CH480" s="21"/>
      <c r="CI480" s="21"/>
      <c r="CJ480" s="21"/>
      <c r="CK480" s="21"/>
      <c r="CL480" s="21"/>
      <c r="CM480" s="21"/>
      <c r="CN480" s="21"/>
      <c r="CO480" s="21"/>
      <c r="CP480" s="21"/>
      <c r="CQ480" s="21"/>
      <c r="CR480" s="21"/>
      <c r="CS480" s="21"/>
      <c r="CT480" s="21"/>
      <c r="CU480" s="21"/>
      <c r="CV480" s="21"/>
      <c r="CW480" s="21"/>
      <c r="CX480" s="21"/>
      <c r="CY480" s="21"/>
      <c r="CZ480" s="21"/>
      <c r="DA480" s="21"/>
      <c r="DB480" s="21"/>
      <c r="DC480" s="21"/>
      <c r="DD480" s="21"/>
      <c r="DE480" s="21"/>
      <c r="DF480" s="21"/>
    </row>
    <row r="481" spans="1:110" s="16" customFormat="1" x14ac:dyDescent="0.3">
      <c r="A481" s="21" t="s">
        <v>32</v>
      </c>
      <c r="B481" s="21" t="s">
        <v>190</v>
      </c>
      <c r="C481" s="21" t="s">
        <v>647</v>
      </c>
      <c r="D481" s="42">
        <f>(D336*inputs!$E$78)/(inputs!$E$31)^inputs!E117</f>
        <v>0</v>
      </c>
      <c r="E481" s="21" t="str">
        <f t="shared" ca="1" si="8"/>
        <v>=(D336*inputs!$E$78)/(inputs!$E$31)^inputs!E117</v>
      </c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  <c r="AT481" s="21"/>
      <c r="AU481" s="21"/>
      <c r="AV481" s="21"/>
      <c r="AW481" s="21"/>
      <c r="AX481" s="21"/>
      <c r="AY481" s="21"/>
      <c r="AZ481" s="21"/>
      <c r="BA481" s="21"/>
      <c r="BB481" s="21"/>
      <c r="BC481" s="21"/>
      <c r="BD481" s="21"/>
      <c r="BE481" s="21"/>
      <c r="BF481" s="21"/>
      <c r="BG481" s="21"/>
      <c r="BH481" s="21"/>
      <c r="BI481" s="21"/>
      <c r="BJ481" s="21"/>
      <c r="BK481" s="21"/>
      <c r="BL481" s="21"/>
      <c r="BM481" s="21"/>
      <c r="BN481" s="21"/>
      <c r="BO481" s="21"/>
      <c r="BP481" s="21"/>
      <c r="BQ481" s="21"/>
      <c r="BR481" s="21"/>
      <c r="BS481" s="21"/>
      <c r="BT481" s="21"/>
      <c r="BU481" s="21"/>
      <c r="BV481" s="21"/>
      <c r="BW481" s="21"/>
      <c r="BX481" s="21"/>
      <c r="BY481" s="21"/>
      <c r="BZ481" s="21"/>
      <c r="CA481" s="21"/>
      <c r="CB481" s="21"/>
      <c r="CC481" s="21"/>
      <c r="CD481" s="21"/>
      <c r="CE481" s="21"/>
      <c r="CF481" s="21"/>
      <c r="CG481" s="21"/>
      <c r="CH481" s="21"/>
      <c r="CI481" s="21"/>
      <c r="CJ481" s="21"/>
      <c r="CK481" s="21"/>
      <c r="CL481" s="21"/>
      <c r="CM481" s="21"/>
      <c r="CN481" s="21"/>
      <c r="CO481" s="21"/>
      <c r="CP481" s="21"/>
      <c r="CQ481" s="21"/>
      <c r="CR481" s="21"/>
      <c r="CS481" s="21"/>
      <c r="CT481" s="21"/>
      <c r="CU481" s="21"/>
      <c r="CV481" s="21"/>
      <c r="CW481" s="21"/>
      <c r="CX481" s="21"/>
      <c r="CY481" s="21"/>
      <c r="CZ481" s="21"/>
      <c r="DA481" s="21"/>
      <c r="DB481" s="21"/>
      <c r="DC481" s="21"/>
      <c r="DD481" s="21"/>
      <c r="DE481" s="21"/>
      <c r="DF481" s="21"/>
    </row>
    <row r="482" spans="1:110" s="16" customFormat="1" x14ac:dyDescent="0.3">
      <c r="A482" s="21" t="s">
        <v>32</v>
      </c>
      <c r="B482" s="21" t="s">
        <v>190</v>
      </c>
      <c r="C482" s="21" t="s">
        <v>648</v>
      </c>
      <c r="D482" s="42">
        <f>(D337*inputs!$E$78)/(inputs!$E$31)^inputs!E118</f>
        <v>0</v>
      </c>
      <c r="E482" s="21" t="str">
        <f t="shared" ca="1" si="8"/>
        <v>=(D337*inputs!$E$78)/(inputs!$E$31)^inputs!E118</v>
      </c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  <c r="AT482" s="21"/>
      <c r="AU482" s="21"/>
      <c r="AV482" s="21"/>
      <c r="AW482" s="21"/>
      <c r="AX482" s="21"/>
      <c r="AY482" s="21"/>
      <c r="AZ482" s="21"/>
      <c r="BA482" s="21"/>
      <c r="BB482" s="21"/>
      <c r="BC482" s="21"/>
      <c r="BD482" s="21"/>
      <c r="BE482" s="21"/>
      <c r="BF482" s="21"/>
      <c r="BG482" s="21"/>
      <c r="BH482" s="21"/>
      <c r="BI482" s="21"/>
      <c r="BJ482" s="21"/>
      <c r="BK482" s="21"/>
      <c r="BL482" s="21"/>
      <c r="BM482" s="21"/>
      <c r="BN482" s="21"/>
      <c r="BO482" s="21"/>
      <c r="BP482" s="21"/>
      <c r="BQ482" s="21"/>
      <c r="BR482" s="21"/>
      <c r="BS482" s="21"/>
      <c r="BT482" s="21"/>
      <c r="BU482" s="21"/>
      <c r="BV482" s="21"/>
      <c r="BW482" s="21"/>
      <c r="BX482" s="21"/>
      <c r="BY482" s="21"/>
      <c r="BZ482" s="21"/>
      <c r="CA482" s="21"/>
      <c r="CB482" s="21"/>
      <c r="CC482" s="21"/>
      <c r="CD482" s="21"/>
      <c r="CE482" s="21"/>
      <c r="CF482" s="21"/>
      <c r="CG482" s="21"/>
      <c r="CH482" s="21"/>
      <c r="CI482" s="21"/>
      <c r="CJ482" s="21"/>
      <c r="CK482" s="21"/>
      <c r="CL482" s="21"/>
      <c r="CM482" s="21"/>
      <c r="CN482" s="21"/>
      <c r="CO482" s="21"/>
      <c r="CP482" s="21"/>
      <c r="CQ482" s="21"/>
      <c r="CR482" s="21"/>
      <c r="CS482" s="21"/>
      <c r="CT482" s="21"/>
      <c r="CU482" s="21"/>
      <c r="CV482" s="21"/>
      <c r="CW482" s="21"/>
      <c r="CX482" s="21"/>
      <c r="CY482" s="21"/>
      <c r="CZ482" s="21"/>
      <c r="DA482" s="21"/>
      <c r="DB482" s="21"/>
      <c r="DC482" s="21"/>
      <c r="DD482" s="21"/>
      <c r="DE482" s="21"/>
      <c r="DF482" s="21"/>
    </row>
    <row r="483" spans="1:110" s="16" customFormat="1" x14ac:dyDescent="0.3">
      <c r="A483" s="21" t="s">
        <v>32</v>
      </c>
      <c r="B483" s="21" t="s">
        <v>190</v>
      </c>
      <c r="C483" s="21" t="s">
        <v>649</v>
      </c>
      <c r="D483" s="42">
        <f>(D338*inputs!$E$78)/(inputs!$E$31)^inputs!E119</f>
        <v>0</v>
      </c>
      <c r="E483" s="21" t="str">
        <f t="shared" ca="1" si="8"/>
        <v>=(D338*inputs!$E$78)/(inputs!$E$31)^inputs!E119</v>
      </c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  <c r="AT483" s="21"/>
      <c r="AU483" s="21"/>
      <c r="AV483" s="21"/>
      <c r="AW483" s="21"/>
      <c r="AX483" s="21"/>
      <c r="AY483" s="21"/>
      <c r="AZ483" s="21"/>
      <c r="BA483" s="21"/>
      <c r="BB483" s="21"/>
      <c r="BC483" s="21"/>
      <c r="BD483" s="21"/>
      <c r="BE483" s="21"/>
      <c r="BF483" s="21"/>
      <c r="BG483" s="21"/>
      <c r="BH483" s="21"/>
      <c r="BI483" s="21"/>
      <c r="BJ483" s="21"/>
      <c r="BK483" s="21"/>
      <c r="BL483" s="21"/>
      <c r="BM483" s="21"/>
      <c r="BN483" s="21"/>
      <c r="BO483" s="21"/>
      <c r="BP483" s="21"/>
      <c r="BQ483" s="21"/>
      <c r="BR483" s="21"/>
      <c r="BS483" s="21"/>
      <c r="BT483" s="21"/>
      <c r="BU483" s="21"/>
      <c r="BV483" s="21"/>
      <c r="BW483" s="21"/>
      <c r="BX483" s="21"/>
      <c r="BY483" s="21"/>
      <c r="BZ483" s="21"/>
      <c r="CA483" s="21"/>
      <c r="CB483" s="21"/>
      <c r="CC483" s="21"/>
      <c r="CD483" s="21"/>
      <c r="CE483" s="21"/>
      <c r="CF483" s="21"/>
      <c r="CG483" s="21"/>
      <c r="CH483" s="21"/>
      <c r="CI483" s="21"/>
      <c r="CJ483" s="21"/>
      <c r="CK483" s="21"/>
      <c r="CL483" s="21"/>
      <c r="CM483" s="21"/>
      <c r="CN483" s="21"/>
      <c r="CO483" s="21"/>
      <c r="CP483" s="21"/>
      <c r="CQ483" s="21"/>
      <c r="CR483" s="21"/>
      <c r="CS483" s="21"/>
      <c r="CT483" s="21"/>
      <c r="CU483" s="21"/>
      <c r="CV483" s="21"/>
      <c r="CW483" s="21"/>
      <c r="CX483" s="21"/>
      <c r="CY483" s="21"/>
      <c r="CZ483" s="21"/>
      <c r="DA483" s="21"/>
      <c r="DB483" s="21"/>
      <c r="DC483" s="21"/>
      <c r="DD483" s="21"/>
      <c r="DE483" s="21"/>
      <c r="DF483" s="21"/>
    </row>
    <row r="484" spans="1:110" s="16" customFormat="1" x14ac:dyDescent="0.3">
      <c r="A484" s="21" t="s">
        <v>32</v>
      </c>
      <c r="B484" s="21" t="s">
        <v>190</v>
      </c>
      <c r="C484" s="21" t="s">
        <v>650</v>
      </c>
      <c r="D484" s="42">
        <f>(D339*inputs!$E$78)/(inputs!$E$31)^inputs!E120</f>
        <v>0</v>
      </c>
      <c r="E484" s="21" t="str">
        <f t="shared" ca="1" si="8"/>
        <v>=(D339*inputs!$E$78)/(inputs!$E$31)^inputs!E120</v>
      </c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  <c r="AT484" s="21"/>
      <c r="AU484" s="21"/>
      <c r="AV484" s="21"/>
      <c r="AW484" s="21"/>
      <c r="AX484" s="21"/>
      <c r="AY484" s="21"/>
      <c r="AZ484" s="21"/>
      <c r="BA484" s="21"/>
      <c r="BB484" s="21"/>
      <c r="BC484" s="21"/>
      <c r="BD484" s="21"/>
      <c r="BE484" s="21"/>
      <c r="BF484" s="21"/>
      <c r="BG484" s="21"/>
      <c r="BH484" s="21"/>
      <c r="BI484" s="21"/>
      <c r="BJ484" s="21"/>
      <c r="BK484" s="21"/>
      <c r="BL484" s="21"/>
      <c r="BM484" s="21"/>
      <c r="BN484" s="21"/>
      <c r="BO484" s="21"/>
      <c r="BP484" s="21"/>
      <c r="BQ484" s="21"/>
      <c r="BR484" s="21"/>
      <c r="BS484" s="21"/>
      <c r="BT484" s="21"/>
      <c r="BU484" s="21"/>
      <c r="BV484" s="21"/>
      <c r="BW484" s="21"/>
      <c r="BX484" s="21"/>
      <c r="BY484" s="21"/>
      <c r="BZ484" s="21"/>
      <c r="CA484" s="21"/>
      <c r="CB484" s="21"/>
      <c r="CC484" s="21"/>
      <c r="CD484" s="21"/>
      <c r="CE484" s="21"/>
      <c r="CF484" s="21"/>
      <c r="CG484" s="21"/>
      <c r="CH484" s="21"/>
      <c r="CI484" s="21"/>
      <c r="CJ484" s="21"/>
      <c r="CK484" s="21"/>
      <c r="CL484" s="21"/>
      <c r="CM484" s="21"/>
      <c r="CN484" s="21"/>
      <c r="CO484" s="21"/>
      <c r="CP484" s="21"/>
      <c r="CQ484" s="21"/>
      <c r="CR484" s="21"/>
      <c r="CS484" s="21"/>
      <c r="CT484" s="21"/>
      <c r="CU484" s="21"/>
      <c r="CV484" s="21"/>
      <c r="CW484" s="21"/>
      <c r="CX484" s="21"/>
      <c r="CY484" s="21"/>
      <c r="CZ484" s="21"/>
      <c r="DA484" s="21"/>
      <c r="DB484" s="21"/>
      <c r="DC484" s="21"/>
      <c r="DD484" s="21"/>
      <c r="DE484" s="21"/>
      <c r="DF484" s="21"/>
    </row>
    <row r="485" spans="1:110" s="16" customFormat="1" x14ac:dyDescent="0.3">
      <c r="A485" s="21" t="s">
        <v>32</v>
      </c>
      <c r="B485" s="21" t="s">
        <v>190</v>
      </c>
      <c r="C485" s="21" t="s">
        <v>651</v>
      </c>
      <c r="D485" s="42">
        <f>(D340*inputs!$E$78)/(inputs!$E$31)^inputs!E121</f>
        <v>0</v>
      </c>
      <c r="E485" s="21" t="str">
        <f t="shared" ca="1" si="8"/>
        <v>=(D340*inputs!$E$78)/(inputs!$E$31)^inputs!E121</v>
      </c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  <c r="AT485" s="21"/>
      <c r="AU485" s="21"/>
      <c r="AV485" s="21"/>
      <c r="AW485" s="21"/>
      <c r="AX485" s="21"/>
      <c r="AY485" s="21"/>
      <c r="AZ485" s="21"/>
      <c r="BA485" s="21"/>
      <c r="BB485" s="21"/>
      <c r="BC485" s="21"/>
      <c r="BD485" s="21"/>
      <c r="BE485" s="21"/>
      <c r="BF485" s="21"/>
      <c r="BG485" s="21"/>
      <c r="BH485" s="21"/>
      <c r="BI485" s="21"/>
      <c r="BJ485" s="21"/>
      <c r="BK485" s="21"/>
      <c r="BL485" s="21"/>
      <c r="BM485" s="21"/>
      <c r="BN485" s="21"/>
      <c r="BO485" s="21"/>
      <c r="BP485" s="21"/>
      <c r="BQ485" s="21"/>
      <c r="BR485" s="21"/>
      <c r="BS485" s="21"/>
      <c r="BT485" s="21"/>
      <c r="BU485" s="21"/>
      <c r="BV485" s="21"/>
      <c r="BW485" s="21"/>
      <c r="BX485" s="21"/>
      <c r="BY485" s="21"/>
      <c r="BZ485" s="21"/>
      <c r="CA485" s="21"/>
      <c r="CB485" s="21"/>
      <c r="CC485" s="21"/>
      <c r="CD485" s="21"/>
      <c r="CE485" s="21"/>
      <c r="CF485" s="21"/>
      <c r="CG485" s="21"/>
      <c r="CH485" s="21"/>
      <c r="CI485" s="21"/>
      <c r="CJ485" s="21"/>
      <c r="CK485" s="21"/>
      <c r="CL485" s="21"/>
      <c r="CM485" s="21"/>
      <c r="CN485" s="21"/>
      <c r="CO485" s="21"/>
      <c r="CP485" s="21"/>
      <c r="CQ485" s="21"/>
      <c r="CR485" s="21"/>
      <c r="CS485" s="21"/>
      <c r="CT485" s="21"/>
      <c r="CU485" s="21"/>
      <c r="CV485" s="21"/>
      <c r="CW485" s="21"/>
      <c r="CX485" s="21"/>
      <c r="CY485" s="21"/>
      <c r="CZ485" s="21"/>
      <c r="DA485" s="21"/>
      <c r="DB485" s="21"/>
      <c r="DC485" s="21"/>
      <c r="DD485" s="21"/>
      <c r="DE485" s="21"/>
      <c r="DF485" s="21"/>
    </row>
    <row r="486" spans="1:110" s="16" customFormat="1" x14ac:dyDescent="0.3">
      <c r="A486" s="21" t="s">
        <v>32</v>
      </c>
      <c r="B486" s="21" t="s">
        <v>190</v>
      </c>
      <c r="C486" s="21" t="s">
        <v>652</v>
      </c>
      <c r="D486" s="42">
        <f>(D341*inputs!$E$78)/(inputs!$E$31)^inputs!E122</f>
        <v>0</v>
      </c>
      <c r="E486" s="21" t="str">
        <f t="shared" ca="1" si="8"/>
        <v>=(D341*inputs!$E$78)/(inputs!$E$31)^inputs!E122</v>
      </c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  <c r="AT486" s="21"/>
      <c r="AU486" s="21"/>
      <c r="AV486" s="21"/>
      <c r="AW486" s="21"/>
      <c r="AX486" s="21"/>
      <c r="AY486" s="21"/>
      <c r="AZ486" s="21"/>
      <c r="BA486" s="21"/>
      <c r="BB486" s="21"/>
      <c r="BC486" s="21"/>
      <c r="BD486" s="21"/>
      <c r="BE486" s="21"/>
      <c r="BF486" s="21"/>
      <c r="BG486" s="21"/>
      <c r="BH486" s="21"/>
      <c r="BI486" s="21"/>
      <c r="BJ486" s="21"/>
      <c r="BK486" s="21"/>
      <c r="BL486" s="21"/>
      <c r="BM486" s="21"/>
      <c r="BN486" s="21"/>
      <c r="BO486" s="21"/>
      <c r="BP486" s="21"/>
      <c r="BQ486" s="21"/>
      <c r="BR486" s="21"/>
      <c r="BS486" s="21"/>
      <c r="BT486" s="21"/>
      <c r="BU486" s="21"/>
      <c r="BV486" s="21"/>
      <c r="BW486" s="21"/>
      <c r="BX486" s="21"/>
      <c r="BY486" s="21"/>
      <c r="BZ486" s="21"/>
      <c r="CA486" s="21"/>
      <c r="CB486" s="21"/>
      <c r="CC486" s="21"/>
      <c r="CD486" s="21"/>
      <c r="CE486" s="21"/>
      <c r="CF486" s="21"/>
      <c r="CG486" s="21"/>
      <c r="CH486" s="21"/>
      <c r="CI486" s="21"/>
      <c r="CJ486" s="21"/>
      <c r="CK486" s="21"/>
      <c r="CL486" s="21"/>
      <c r="CM486" s="21"/>
      <c r="CN486" s="21"/>
      <c r="CO486" s="21"/>
      <c r="CP486" s="21"/>
      <c r="CQ486" s="21"/>
      <c r="CR486" s="21"/>
      <c r="CS486" s="21"/>
      <c r="CT486" s="21"/>
      <c r="CU486" s="21"/>
      <c r="CV486" s="21"/>
      <c r="CW486" s="21"/>
      <c r="CX486" s="21"/>
      <c r="CY486" s="21"/>
      <c r="CZ486" s="21"/>
      <c r="DA486" s="21"/>
      <c r="DB486" s="21"/>
      <c r="DC486" s="21"/>
      <c r="DD486" s="21"/>
      <c r="DE486" s="21"/>
      <c r="DF486" s="21"/>
    </row>
    <row r="487" spans="1:110" s="16" customFormat="1" x14ac:dyDescent="0.3">
      <c r="A487" s="21" t="s">
        <v>32</v>
      </c>
      <c r="B487" s="21" t="s">
        <v>190</v>
      </c>
      <c r="C487" s="21" t="s">
        <v>653</v>
      </c>
      <c r="D487" s="42">
        <f>(D342*inputs!$E$78)/(inputs!$E$31)^inputs!E123</f>
        <v>0</v>
      </c>
      <c r="E487" s="21" t="str">
        <f t="shared" ca="1" si="8"/>
        <v>=(D342*inputs!$E$78)/(inputs!$E$31)^inputs!E123</v>
      </c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  <c r="AT487" s="21"/>
      <c r="AU487" s="21"/>
      <c r="AV487" s="21"/>
      <c r="AW487" s="21"/>
      <c r="AX487" s="21"/>
      <c r="AY487" s="21"/>
      <c r="AZ487" s="21"/>
      <c r="BA487" s="21"/>
      <c r="BB487" s="21"/>
      <c r="BC487" s="21"/>
      <c r="BD487" s="21"/>
      <c r="BE487" s="21"/>
      <c r="BF487" s="21"/>
      <c r="BG487" s="21"/>
      <c r="BH487" s="21"/>
      <c r="BI487" s="21"/>
      <c r="BJ487" s="21"/>
      <c r="BK487" s="21"/>
      <c r="BL487" s="21"/>
      <c r="BM487" s="21"/>
      <c r="BN487" s="21"/>
      <c r="BO487" s="21"/>
      <c r="BP487" s="21"/>
      <c r="BQ487" s="21"/>
      <c r="BR487" s="21"/>
      <c r="BS487" s="21"/>
      <c r="BT487" s="21"/>
      <c r="BU487" s="21"/>
      <c r="BV487" s="21"/>
      <c r="BW487" s="21"/>
      <c r="BX487" s="21"/>
      <c r="BY487" s="21"/>
      <c r="BZ487" s="21"/>
      <c r="CA487" s="21"/>
      <c r="CB487" s="21"/>
      <c r="CC487" s="21"/>
      <c r="CD487" s="21"/>
      <c r="CE487" s="21"/>
      <c r="CF487" s="21"/>
      <c r="CG487" s="21"/>
      <c r="CH487" s="21"/>
      <c r="CI487" s="21"/>
      <c r="CJ487" s="21"/>
      <c r="CK487" s="21"/>
      <c r="CL487" s="21"/>
      <c r="CM487" s="21"/>
      <c r="CN487" s="21"/>
      <c r="CO487" s="21"/>
      <c r="CP487" s="21"/>
      <c r="CQ487" s="21"/>
      <c r="CR487" s="21"/>
      <c r="CS487" s="21"/>
      <c r="CT487" s="21"/>
      <c r="CU487" s="21"/>
      <c r="CV487" s="21"/>
      <c r="CW487" s="21"/>
      <c r="CX487" s="21"/>
      <c r="CY487" s="21"/>
      <c r="CZ487" s="21"/>
      <c r="DA487" s="21"/>
      <c r="DB487" s="21"/>
      <c r="DC487" s="21"/>
      <c r="DD487" s="21"/>
      <c r="DE487" s="21"/>
      <c r="DF487" s="21"/>
    </row>
    <row r="488" spans="1:110" s="16" customFormat="1" x14ac:dyDescent="0.3">
      <c r="A488" s="21" t="s">
        <v>32</v>
      </c>
      <c r="B488" s="21" t="s">
        <v>190</v>
      </c>
      <c r="C488" s="21" t="s">
        <v>654</v>
      </c>
      <c r="D488" s="42">
        <f>(D343*inputs!$E$78)/(inputs!$E$31)^inputs!E124</f>
        <v>0</v>
      </c>
      <c r="E488" s="21" t="str">
        <f t="shared" ca="1" si="8"/>
        <v>=(D343*inputs!$E$78)/(inputs!$E$31)^inputs!E124</v>
      </c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  <c r="AT488" s="21"/>
      <c r="AU488" s="21"/>
      <c r="AV488" s="21"/>
      <c r="AW488" s="21"/>
      <c r="AX488" s="21"/>
      <c r="AY488" s="21"/>
      <c r="AZ488" s="21"/>
      <c r="BA488" s="21"/>
      <c r="BB488" s="21"/>
      <c r="BC488" s="21"/>
      <c r="BD488" s="21"/>
      <c r="BE488" s="21"/>
      <c r="BF488" s="21"/>
      <c r="BG488" s="21"/>
      <c r="BH488" s="21"/>
      <c r="BI488" s="21"/>
      <c r="BJ488" s="21"/>
      <c r="BK488" s="21"/>
      <c r="BL488" s="21"/>
      <c r="BM488" s="21"/>
      <c r="BN488" s="21"/>
      <c r="BO488" s="21"/>
      <c r="BP488" s="21"/>
      <c r="BQ488" s="21"/>
      <c r="BR488" s="21"/>
      <c r="BS488" s="21"/>
      <c r="BT488" s="21"/>
      <c r="BU488" s="21"/>
      <c r="BV488" s="21"/>
      <c r="BW488" s="21"/>
      <c r="BX488" s="21"/>
      <c r="BY488" s="21"/>
      <c r="BZ488" s="21"/>
      <c r="CA488" s="21"/>
      <c r="CB488" s="21"/>
      <c r="CC488" s="21"/>
      <c r="CD488" s="21"/>
      <c r="CE488" s="21"/>
      <c r="CF488" s="21"/>
      <c r="CG488" s="21"/>
      <c r="CH488" s="21"/>
      <c r="CI488" s="21"/>
      <c r="CJ488" s="21"/>
      <c r="CK488" s="21"/>
      <c r="CL488" s="21"/>
      <c r="CM488" s="21"/>
      <c r="CN488" s="21"/>
      <c r="CO488" s="21"/>
      <c r="CP488" s="21"/>
      <c r="CQ488" s="21"/>
      <c r="CR488" s="21"/>
      <c r="CS488" s="21"/>
      <c r="CT488" s="21"/>
      <c r="CU488" s="21"/>
      <c r="CV488" s="21"/>
      <c r="CW488" s="21"/>
      <c r="CX488" s="21"/>
      <c r="CY488" s="21"/>
      <c r="CZ488" s="21"/>
      <c r="DA488" s="21"/>
      <c r="DB488" s="21"/>
      <c r="DC488" s="21"/>
      <c r="DD488" s="21"/>
      <c r="DE488" s="21"/>
      <c r="DF488" s="21"/>
    </row>
    <row r="489" spans="1:110" s="16" customFormat="1" x14ac:dyDescent="0.3">
      <c r="A489" s="21" t="s">
        <v>32</v>
      </c>
      <c r="B489" s="21" t="s">
        <v>190</v>
      </c>
      <c r="C489" s="21" t="s">
        <v>655</v>
      </c>
      <c r="D489" s="42">
        <f>(D344*inputs!$E$78)/(inputs!$E$31)^inputs!E125</f>
        <v>0</v>
      </c>
      <c r="E489" s="21" t="str">
        <f t="shared" ca="1" si="8"/>
        <v>=(D344*inputs!$E$78)/(inputs!$E$31)^inputs!E125</v>
      </c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  <c r="AT489" s="21"/>
      <c r="AU489" s="21"/>
      <c r="AV489" s="21"/>
      <c r="AW489" s="21"/>
      <c r="AX489" s="21"/>
      <c r="AY489" s="21"/>
      <c r="AZ489" s="21"/>
      <c r="BA489" s="21"/>
      <c r="BB489" s="21"/>
      <c r="BC489" s="21"/>
      <c r="BD489" s="21"/>
      <c r="BE489" s="21"/>
      <c r="BF489" s="21"/>
      <c r="BG489" s="21"/>
      <c r="BH489" s="21"/>
      <c r="BI489" s="21"/>
      <c r="BJ489" s="21"/>
      <c r="BK489" s="21"/>
      <c r="BL489" s="21"/>
      <c r="BM489" s="21"/>
      <c r="BN489" s="21"/>
      <c r="BO489" s="21"/>
      <c r="BP489" s="21"/>
      <c r="BQ489" s="21"/>
      <c r="BR489" s="21"/>
      <c r="BS489" s="21"/>
      <c r="BT489" s="21"/>
      <c r="BU489" s="21"/>
      <c r="BV489" s="21"/>
      <c r="BW489" s="21"/>
      <c r="BX489" s="21"/>
      <c r="BY489" s="21"/>
      <c r="BZ489" s="21"/>
      <c r="CA489" s="21"/>
      <c r="CB489" s="21"/>
      <c r="CC489" s="21"/>
      <c r="CD489" s="21"/>
      <c r="CE489" s="21"/>
      <c r="CF489" s="21"/>
      <c r="CG489" s="21"/>
      <c r="CH489" s="21"/>
      <c r="CI489" s="21"/>
      <c r="CJ489" s="21"/>
      <c r="CK489" s="21"/>
      <c r="CL489" s="21"/>
      <c r="CM489" s="21"/>
      <c r="CN489" s="21"/>
      <c r="CO489" s="21"/>
      <c r="CP489" s="21"/>
      <c r="CQ489" s="21"/>
      <c r="CR489" s="21"/>
      <c r="CS489" s="21"/>
      <c r="CT489" s="21"/>
      <c r="CU489" s="21"/>
      <c r="CV489" s="21"/>
      <c r="CW489" s="21"/>
      <c r="CX489" s="21"/>
      <c r="CY489" s="21"/>
      <c r="CZ489" s="21"/>
      <c r="DA489" s="21"/>
      <c r="DB489" s="21"/>
      <c r="DC489" s="21"/>
      <c r="DD489" s="21"/>
      <c r="DE489" s="21"/>
      <c r="DF489" s="21"/>
    </row>
    <row r="490" spans="1:110" s="16" customFormat="1" x14ac:dyDescent="0.3">
      <c r="A490" s="21" t="s">
        <v>32</v>
      </c>
      <c r="B490" s="21" t="s">
        <v>190</v>
      </c>
      <c r="C490" s="21" t="s">
        <v>656</v>
      </c>
      <c r="D490" s="42">
        <f>(D345*inputs!$E$78)/(inputs!$E$31)^inputs!E126</f>
        <v>0</v>
      </c>
      <c r="E490" s="21" t="str">
        <f t="shared" ca="1" si="8"/>
        <v>=(D345*inputs!$E$78)/(inputs!$E$31)^inputs!E126</v>
      </c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  <c r="AT490" s="21"/>
      <c r="AU490" s="21"/>
      <c r="AV490" s="21"/>
      <c r="AW490" s="21"/>
      <c r="AX490" s="21"/>
      <c r="AY490" s="21"/>
      <c r="AZ490" s="21"/>
      <c r="BA490" s="21"/>
      <c r="BB490" s="21"/>
      <c r="BC490" s="21"/>
      <c r="BD490" s="21"/>
      <c r="BE490" s="21"/>
      <c r="BF490" s="21"/>
      <c r="BG490" s="21"/>
      <c r="BH490" s="21"/>
      <c r="BI490" s="21"/>
      <c r="BJ490" s="21"/>
      <c r="BK490" s="21"/>
      <c r="BL490" s="21"/>
      <c r="BM490" s="21"/>
      <c r="BN490" s="21"/>
      <c r="BO490" s="21"/>
      <c r="BP490" s="21"/>
      <c r="BQ490" s="21"/>
      <c r="BR490" s="21"/>
      <c r="BS490" s="21"/>
      <c r="BT490" s="21"/>
      <c r="BU490" s="21"/>
      <c r="BV490" s="21"/>
      <c r="BW490" s="21"/>
      <c r="BX490" s="21"/>
      <c r="BY490" s="21"/>
      <c r="BZ490" s="21"/>
      <c r="CA490" s="21"/>
      <c r="CB490" s="21"/>
      <c r="CC490" s="21"/>
      <c r="CD490" s="21"/>
      <c r="CE490" s="21"/>
      <c r="CF490" s="21"/>
      <c r="CG490" s="21"/>
      <c r="CH490" s="21"/>
      <c r="CI490" s="21"/>
      <c r="CJ490" s="21"/>
      <c r="CK490" s="21"/>
      <c r="CL490" s="21"/>
      <c r="CM490" s="21"/>
      <c r="CN490" s="21"/>
      <c r="CO490" s="21"/>
      <c r="CP490" s="21"/>
      <c r="CQ490" s="21"/>
      <c r="CR490" s="21"/>
      <c r="CS490" s="21"/>
      <c r="CT490" s="21"/>
      <c r="CU490" s="21"/>
      <c r="CV490" s="21"/>
      <c r="CW490" s="21"/>
      <c r="CX490" s="21"/>
      <c r="CY490" s="21"/>
      <c r="CZ490" s="21"/>
      <c r="DA490" s="21"/>
      <c r="DB490" s="21"/>
      <c r="DC490" s="21"/>
      <c r="DD490" s="21"/>
      <c r="DE490" s="21"/>
      <c r="DF490" s="21"/>
    </row>
    <row r="491" spans="1:110" s="16" customFormat="1" x14ac:dyDescent="0.3">
      <c r="A491" s="21" t="s">
        <v>32</v>
      </c>
      <c r="B491" s="21" t="s">
        <v>190</v>
      </c>
      <c r="C491" s="21" t="s">
        <v>657</v>
      </c>
      <c r="D491" s="42">
        <f>(D346*inputs!$E$78)/(inputs!$E$31)^inputs!E127</f>
        <v>0</v>
      </c>
      <c r="E491" s="21" t="str">
        <f t="shared" ca="1" si="8"/>
        <v>=(D346*inputs!$E$78)/(inputs!$E$31)^inputs!E127</v>
      </c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  <c r="AT491" s="21"/>
      <c r="AU491" s="21"/>
      <c r="AV491" s="21"/>
      <c r="AW491" s="21"/>
      <c r="AX491" s="21"/>
      <c r="AY491" s="21"/>
      <c r="AZ491" s="21"/>
      <c r="BA491" s="21"/>
      <c r="BB491" s="21"/>
      <c r="BC491" s="21"/>
      <c r="BD491" s="21"/>
      <c r="BE491" s="21"/>
      <c r="BF491" s="21"/>
      <c r="BG491" s="21"/>
      <c r="BH491" s="21"/>
      <c r="BI491" s="21"/>
      <c r="BJ491" s="21"/>
      <c r="BK491" s="21"/>
      <c r="BL491" s="21"/>
      <c r="BM491" s="21"/>
      <c r="BN491" s="21"/>
      <c r="BO491" s="21"/>
      <c r="BP491" s="21"/>
      <c r="BQ491" s="21"/>
      <c r="BR491" s="21"/>
      <c r="BS491" s="21"/>
      <c r="BT491" s="21"/>
      <c r="BU491" s="21"/>
      <c r="BV491" s="21"/>
      <c r="BW491" s="21"/>
      <c r="BX491" s="21"/>
      <c r="BY491" s="21"/>
      <c r="BZ491" s="21"/>
      <c r="CA491" s="21"/>
      <c r="CB491" s="21"/>
      <c r="CC491" s="21"/>
      <c r="CD491" s="21"/>
      <c r="CE491" s="21"/>
      <c r="CF491" s="21"/>
      <c r="CG491" s="21"/>
      <c r="CH491" s="21"/>
      <c r="CI491" s="21"/>
      <c r="CJ491" s="21"/>
      <c r="CK491" s="21"/>
      <c r="CL491" s="21"/>
      <c r="CM491" s="21"/>
      <c r="CN491" s="21"/>
      <c r="CO491" s="21"/>
      <c r="CP491" s="21"/>
      <c r="CQ491" s="21"/>
      <c r="CR491" s="21"/>
      <c r="CS491" s="21"/>
      <c r="CT491" s="21"/>
      <c r="CU491" s="21"/>
      <c r="CV491" s="21"/>
      <c r="CW491" s="21"/>
      <c r="CX491" s="21"/>
      <c r="CY491" s="21"/>
      <c r="CZ491" s="21"/>
      <c r="DA491" s="21"/>
      <c r="DB491" s="21"/>
      <c r="DC491" s="21"/>
      <c r="DD491" s="21"/>
      <c r="DE491" s="21"/>
      <c r="DF491" s="21"/>
    </row>
    <row r="492" spans="1:110" s="16" customFormat="1" x14ac:dyDescent="0.3">
      <c r="A492" s="21" t="s">
        <v>32</v>
      </c>
      <c r="B492" s="21" t="s">
        <v>190</v>
      </c>
      <c r="C492" s="21" t="s">
        <v>658</v>
      </c>
      <c r="D492" s="42">
        <f>(D347*inputs!$E$78)/(inputs!$E$31)^inputs!E128</f>
        <v>0</v>
      </c>
      <c r="E492" s="21" t="str">
        <f t="shared" ca="1" si="8"/>
        <v>=(D347*inputs!$E$78)/(inputs!$E$31)^inputs!E128</v>
      </c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  <c r="AT492" s="21"/>
      <c r="AU492" s="21"/>
      <c r="AV492" s="21"/>
      <c r="AW492" s="21"/>
      <c r="AX492" s="21"/>
      <c r="AY492" s="21"/>
      <c r="AZ492" s="21"/>
      <c r="BA492" s="21"/>
      <c r="BB492" s="21"/>
      <c r="BC492" s="21"/>
      <c r="BD492" s="21"/>
      <c r="BE492" s="21"/>
      <c r="BF492" s="21"/>
      <c r="BG492" s="21"/>
      <c r="BH492" s="21"/>
      <c r="BI492" s="21"/>
      <c r="BJ492" s="21"/>
      <c r="BK492" s="21"/>
      <c r="BL492" s="21"/>
      <c r="BM492" s="21"/>
      <c r="BN492" s="21"/>
      <c r="BO492" s="21"/>
      <c r="BP492" s="21"/>
      <c r="BQ492" s="21"/>
      <c r="BR492" s="21"/>
      <c r="BS492" s="21"/>
      <c r="BT492" s="21"/>
      <c r="BU492" s="21"/>
      <c r="BV492" s="21"/>
      <c r="BW492" s="21"/>
      <c r="BX492" s="21"/>
      <c r="BY492" s="21"/>
      <c r="BZ492" s="21"/>
      <c r="CA492" s="21"/>
      <c r="CB492" s="21"/>
      <c r="CC492" s="21"/>
      <c r="CD492" s="21"/>
      <c r="CE492" s="21"/>
      <c r="CF492" s="21"/>
      <c r="CG492" s="21"/>
      <c r="CH492" s="21"/>
      <c r="CI492" s="21"/>
      <c r="CJ492" s="21"/>
      <c r="CK492" s="21"/>
      <c r="CL492" s="21"/>
      <c r="CM492" s="21"/>
      <c r="CN492" s="21"/>
      <c r="CO492" s="21"/>
      <c r="CP492" s="21"/>
      <c r="CQ492" s="21"/>
      <c r="CR492" s="21"/>
      <c r="CS492" s="21"/>
      <c r="CT492" s="21"/>
      <c r="CU492" s="21"/>
      <c r="CV492" s="21"/>
      <c r="CW492" s="21"/>
      <c r="CX492" s="21"/>
      <c r="CY492" s="21"/>
      <c r="CZ492" s="21"/>
      <c r="DA492" s="21"/>
      <c r="DB492" s="21"/>
      <c r="DC492" s="21"/>
      <c r="DD492" s="21"/>
      <c r="DE492" s="21"/>
      <c r="DF492" s="21"/>
    </row>
    <row r="493" spans="1:110" s="16" customFormat="1" x14ac:dyDescent="0.3">
      <c r="A493" s="21" t="s">
        <v>32</v>
      </c>
      <c r="B493" s="21" t="s">
        <v>190</v>
      </c>
      <c r="C493" s="21" t="s">
        <v>659</v>
      </c>
      <c r="D493" s="42">
        <f>(D348*inputs!$E$78)/(inputs!$E$31)^inputs!E129</f>
        <v>0</v>
      </c>
      <c r="E493" s="21" t="str">
        <f t="shared" ca="1" si="8"/>
        <v>=(D348*inputs!$E$78)/(inputs!$E$31)^inputs!E129</v>
      </c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  <c r="AT493" s="21"/>
      <c r="AU493" s="21"/>
      <c r="AV493" s="21"/>
      <c r="AW493" s="21"/>
      <c r="AX493" s="21"/>
      <c r="AY493" s="21"/>
      <c r="AZ493" s="21"/>
      <c r="BA493" s="21"/>
      <c r="BB493" s="21"/>
      <c r="BC493" s="21"/>
      <c r="BD493" s="21"/>
      <c r="BE493" s="21"/>
      <c r="BF493" s="21"/>
      <c r="BG493" s="21"/>
      <c r="BH493" s="21"/>
      <c r="BI493" s="21"/>
      <c r="BJ493" s="21"/>
      <c r="BK493" s="21"/>
      <c r="BL493" s="21"/>
      <c r="BM493" s="21"/>
      <c r="BN493" s="21"/>
      <c r="BO493" s="21"/>
      <c r="BP493" s="21"/>
      <c r="BQ493" s="21"/>
      <c r="BR493" s="21"/>
      <c r="BS493" s="21"/>
      <c r="BT493" s="21"/>
      <c r="BU493" s="21"/>
      <c r="BV493" s="21"/>
      <c r="BW493" s="21"/>
      <c r="BX493" s="21"/>
      <c r="BY493" s="21"/>
      <c r="BZ493" s="21"/>
      <c r="CA493" s="21"/>
      <c r="CB493" s="21"/>
      <c r="CC493" s="21"/>
      <c r="CD493" s="21"/>
      <c r="CE493" s="21"/>
      <c r="CF493" s="21"/>
      <c r="CG493" s="21"/>
      <c r="CH493" s="21"/>
      <c r="CI493" s="21"/>
      <c r="CJ493" s="21"/>
      <c r="CK493" s="21"/>
      <c r="CL493" s="21"/>
      <c r="CM493" s="21"/>
      <c r="CN493" s="21"/>
      <c r="CO493" s="21"/>
      <c r="CP493" s="21"/>
      <c r="CQ493" s="21"/>
      <c r="CR493" s="21"/>
      <c r="CS493" s="21"/>
      <c r="CT493" s="21"/>
      <c r="CU493" s="21"/>
      <c r="CV493" s="21"/>
      <c r="CW493" s="21"/>
      <c r="CX493" s="21"/>
      <c r="CY493" s="21"/>
      <c r="CZ493" s="21"/>
      <c r="DA493" s="21"/>
      <c r="DB493" s="21"/>
      <c r="DC493" s="21"/>
      <c r="DD493" s="21"/>
      <c r="DE493" s="21"/>
      <c r="DF493" s="21"/>
    </row>
    <row r="494" spans="1:110" s="16" customFormat="1" x14ac:dyDescent="0.3">
      <c r="A494" s="21" t="s">
        <v>32</v>
      </c>
      <c r="B494" s="21" t="s">
        <v>190</v>
      </c>
      <c r="C494" s="21" t="s">
        <v>660</v>
      </c>
      <c r="D494" s="42">
        <f>(D349*inputs!$E$78)/(inputs!$E$31)^inputs!E130</f>
        <v>0</v>
      </c>
      <c r="E494" s="21" t="str">
        <f t="shared" ca="1" si="8"/>
        <v>=(D349*inputs!$E$78)/(inputs!$E$31)^inputs!E130</v>
      </c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  <c r="AT494" s="21"/>
      <c r="AU494" s="21"/>
      <c r="AV494" s="21"/>
      <c r="AW494" s="21"/>
      <c r="AX494" s="21"/>
      <c r="AY494" s="21"/>
      <c r="AZ494" s="21"/>
      <c r="BA494" s="21"/>
      <c r="BB494" s="21"/>
      <c r="BC494" s="21"/>
      <c r="BD494" s="21"/>
      <c r="BE494" s="21"/>
      <c r="BF494" s="21"/>
      <c r="BG494" s="21"/>
      <c r="BH494" s="21"/>
      <c r="BI494" s="21"/>
      <c r="BJ494" s="21"/>
      <c r="BK494" s="21"/>
      <c r="BL494" s="21"/>
      <c r="BM494" s="21"/>
      <c r="BN494" s="21"/>
      <c r="BO494" s="21"/>
      <c r="BP494" s="21"/>
      <c r="BQ494" s="21"/>
      <c r="BR494" s="21"/>
      <c r="BS494" s="21"/>
      <c r="BT494" s="21"/>
      <c r="BU494" s="21"/>
      <c r="BV494" s="21"/>
      <c r="BW494" s="21"/>
      <c r="BX494" s="21"/>
      <c r="BY494" s="21"/>
      <c r="BZ494" s="21"/>
      <c r="CA494" s="21"/>
      <c r="CB494" s="21"/>
      <c r="CC494" s="21"/>
      <c r="CD494" s="21"/>
      <c r="CE494" s="21"/>
      <c r="CF494" s="21"/>
      <c r="CG494" s="21"/>
      <c r="CH494" s="21"/>
      <c r="CI494" s="21"/>
      <c r="CJ494" s="21"/>
      <c r="CK494" s="21"/>
      <c r="CL494" s="21"/>
      <c r="CM494" s="21"/>
      <c r="CN494" s="21"/>
      <c r="CO494" s="21"/>
      <c r="CP494" s="21"/>
      <c r="CQ494" s="21"/>
      <c r="CR494" s="21"/>
      <c r="CS494" s="21"/>
      <c r="CT494" s="21"/>
      <c r="CU494" s="21"/>
      <c r="CV494" s="21"/>
      <c r="CW494" s="21"/>
      <c r="CX494" s="21"/>
      <c r="CY494" s="21"/>
      <c r="CZ494" s="21"/>
      <c r="DA494" s="21"/>
      <c r="DB494" s="21"/>
      <c r="DC494" s="21"/>
      <c r="DD494" s="21"/>
      <c r="DE494" s="21"/>
      <c r="DF494" s="21"/>
    </row>
    <row r="495" spans="1:110" s="16" customFormat="1" x14ac:dyDescent="0.3">
      <c r="A495" s="21" t="s">
        <v>32</v>
      </c>
      <c r="B495" s="21" t="s">
        <v>190</v>
      </c>
      <c r="C495" s="21" t="s">
        <v>661</v>
      </c>
      <c r="D495" s="42">
        <f>(D350*inputs!$E$78)/(inputs!$E$31)^inputs!E131</f>
        <v>0</v>
      </c>
      <c r="E495" s="21" t="str">
        <f t="shared" ca="1" si="8"/>
        <v>=(D350*inputs!$E$78)/(inputs!$E$31)^inputs!E131</v>
      </c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  <c r="AT495" s="21"/>
      <c r="AU495" s="21"/>
      <c r="AV495" s="21"/>
      <c r="AW495" s="21"/>
      <c r="AX495" s="21"/>
      <c r="AY495" s="21"/>
      <c r="AZ495" s="21"/>
      <c r="BA495" s="21"/>
      <c r="BB495" s="21"/>
      <c r="BC495" s="21"/>
      <c r="BD495" s="21"/>
      <c r="BE495" s="21"/>
      <c r="BF495" s="21"/>
      <c r="BG495" s="21"/>
      <c r="BH495" s="21"/>
      <c r="BI495" s="21"/>
      <c r="BJ495" s="21"/>
      <c r="BK495" s="21"/>
      <c r="BL495" s="21"/>
      <c r="BM495" s="21"/>
      <c r="BN495" s="21"/>
      <c r="BO495" s="21"/>
      <c r="BP495" s="21"/>
      <c r="BQ495" s="21"/>
      <c r="BR495" s="21"/>
      <c r="BS495" s="21"/>
      <c r="BT495" s="21"/>
      <c r="BU495" s="21"/>
      <c r="BV495" s="21"/>
      <c r="BW495" s="21"/>
      <c r="BX495" s="21"/>
      <c r="BY495" s="21"/>
      <c r="BZ495" s="21"/>
      <c r="CA495" s="21"/>
      <c r="CB495" s="21"/>
      <c r="CC495" s="21"/>
      <c r="CD495" s="21"/>
      <c r="CE495" s="21"/>
      <c r="CF495" s="21"/>
      <c r="CG495" s="21"/>
      <c r="CH495" s="21"/>
      <c r="CI495" s="21"/>
      <c r="CJ495" s="21"/>
      <c r="CK495" s="21"/>
      <c r="CL495" s="21"/>
      <c r="CM495" s="21"/>
      <c r="CN495" s="21"/>
      <c r="CO495" s="21"/>
      <c r="CP495" s="21"/>
      <c r="CQ495" s="21"/>
      <c r="CR495" s="21"/>
      <c r="CS495" s="21"/>
      <c r="CT495" s="21"/>
      <c r="CU495" s="21"/>
      <c r="CV495" s="21"/>
      <c r="CW495" s="21"/>
      <c r="CX495" s="21"/>
      <c r="CY495" s="21"/>
      <c r="CZ495" s="21"/>
      <c r="DA495" s="21"/>
      <c r="DB495" s="21"/>
      <c r="DC495" s="21"/>
      <c r="DD495" s="21"/>
      <c r="DE495" s="21"/>
      <c r="DF495" s="21"/>
    </row>
    <row r="496" spans="1:110" s="16" customFormat="1" x14ac:dyDescent="0.3">
      <c r="A496" s="21" t="s">
        <v>32</v>
      </c>
      <c r="B496" s="21" t="s">
        <v>190</v>
      </c>
      <c r="C496" s="21" t="s">
        <v>662</v>
      </c>
      <c r="D496" s="42">
        <f>(D351*inputs!$E$78)/(inputs!$E$31)^inputs!E132</f>
        <v>0</v>
      </c>
      <c r="E496" s="21" t="str">
        <f t="shared" ca="1" si="8"/>
        <v>=(D351*inputs!$E$78)/(inputs!$E$31)^inputs!E132</v>
      </c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  <c r="AT496" s="21"/>
      <c r="AU496" s="21"/>
      <c r="AV496" s="21"/>
      <c r="AW496" s="21"/>
      <c r="AX496" s="21"/>
      <c r="AY496" s="21"/>
      <c r="AZ496" s="21"/>
      <c r="BA496" s="21"/>
      <c r="BB496" s="21"/>
      <c r="BC496" s="21"/>
      <c r="BD496" s="21"/>
      <c r="BE496" s="21"/>
      <c r="BF496" s="21"/>
      <c r="BG496" s="21"/>
      <c r="BH496" s="21"/>
      <c r="BI496" s="21"/>
      <c r="BJ496" s="21"/>
      <c r="BK496" s="21"/>
      <c r="BL496" s="21"/>
      <c r="BM496" s="21"/>
      <c r="BN496" s="21"/>
      <c r="BO496" s="21"/>
      <c r="BP496" s="21"/>
      <c r="BQ496" s="21"/>
      <c r="BR496" s="21"/>
      <c r="BS496" s="21"/>
      <c r="BT496" s="21"/>
      <c r="BU496" s="21"/>
      <c r="BV496" s="21"/>
      <c r="BW496" s="21"/>
      <c r="BX496" s="21"/>
      <c r="BY496" s="21"/>
      <c r="BZ496" s="21"/>
      <c r="CA496" s="21"/>
      <c r="CB496" s="21"/>
      <c r="CC496" s="21"/>
      <c r="CD496" s="21"/>
      <c r="CE496" s="21"/>
      <c r="CF496" s="21"/>
      <c r="CG496" s="21"/>
      <c r="CH496" s="21"/>
      <c r="CI496" s="21"/>
      <c r="CJ496" s="21"/>
      <c r="CK496" s="21"/>
      <c r="CL496" s="21"/>
      <c r="CM496" s="21"/>
      <c r="CN496" s="21"/>
      <c r="CO496" s="21"/>
      <c r="CP496" s="21"/>
      <c r="CQ496" s="21"/>
      <c r="CR496" s="21"/>
      <c r="CS496" s="21"/>
      <c r="CT496" s="21"/>
      <c r="CU496" s="21"/>
      <c r="CV496" s="21"/>
      <c r="CW496" s="21"/>
      <c r="CX496" s="21"/>
      <c r="CY496" s="21"/>
      <c r="CZ496" s="21"/>
      <c r="DA496" s="21"/>
      <c r="DB496" s="21"/>
      <c r="DC496" s="21"/>
      <c r="DD496" s="21"/>
      <c r="DE496" s="21"/>
      <c r="DF496" s="21"/>
    </row>
    <row r="497" spans="1:110" s="16" customFormat="1" x14ac:dyDescent="0.3">
      <c r="A497" s="21" t="s">
        <v>32</v>
      </c>
      <c r="B497" s="21" t="s">
        <v>190</v>
      </c>
      <c r="C497" s="21" t="s">
        <v>663</v>
      </c>
      <c r="D497" s="42">
        <f>(D352*inputs!$E$78)/(inputs!$E$31)^inputs!E133</f>
        <v>0</v>
      </c>
      <c r="E497" s="21" t="str">
        <f t="shared" ca="1" si="8"/>
        <v>=(D352*inputs!$E$78)/(inputs!$E$31)^inputs!E133</v>
      </c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  <c r="AT497" s="21"/>
      <c r="AU497" s="21"/>
      <c r="AV497" s="21"/>
      <c r="AW497" s="21"/>
      <c r="AX497" s="21"/>
      <c r="AY497" s="21"/>
      <c r="AZ497" s="21"/>
      <c r="BA497" s="21"/>
      <c r="BB497" s="21"/>
      <c r="BC497" s="21"/>
      <c r="BD497" s="21"/>
      <c r="BE497" s="21"/>
      <c r="BF497" s="21"/>
      <c r="BG497" s="21"/>
      <c r="BH497" s="21"/>
      <c r="BI497" s="21"/>
      <c r="BJ497" s="21"/>
      <c r="BK497" s="21"/>
      <c r="BL497" s="21"/>
      <c r="BM497" s="21"/>
      <c r="BN497" s="21"/>
      <c r="BO497" s="21"/>
      <c r="BP497" s="21"/>
      <c r="BQ497" s="21"/>
      <c r="BR497" s="21"/>
      <c r="BS497" s="21"/>
      <c r="BT497" s="21"/>
      <c r="BU497" s="21"/>
      <c r="BV497" s="21"/>
      <c r="BW497" s="21"/>
      <c r="BX497" s="21"/>
      <c r="BY497" s="21"/>
      <c r="BZ497" s="21"/>
      <c r="CA497" s="21"/>
      <c r="CB497" s="21"/>
      <c r="CC497" s="21"/>
      <c r="CD497" s="21"/>
      <c r="CE497" s="21"/>
      <c r="CF497" s="21"/>
      <c r="CG497" s="21"/>
      <c r="CH497" s="21"/>
      <c r="CI497" s="21"/>
      <c r="CJ497" s="21"/>
      <c r="CK497" s="21"/>
      <c r="CL497" s="21"/>
      <c r="CM497" s="21"/>
      <c r="CN497" s="21"/>
      <c r="CO497" s="21"/>
      <c r="CP497" s="21"/>
      <c r="CQ497" s="21"/>
      <c r="CR497" s="21"/>
      <c r="CS497" s="21"/>
      <c r="CT497" s="21"/>
      <c r="CU497" s="21"/>
      <c r="CV497" s="21"/>
      <c r="CW497" s="21"/>
      <c r="CX497" s="21"/>
      <c r="CY497" s="21"/>
      <c r="CZ497" s="21"/>
      <c r="DA497" s="21"/>
      <c r="DB497" s="21"/>
      <c r="DC497" s="21"/>
      <c r="DD497" s="21"/>
      <c r="DE497" s="21"/>
      <c r="DF497" s="21"/>
    </row>
    <row r="498" spans="1:110" s="16" customFormat="1" x14ac:dyDescent="0.3">
      <c r="A498" s="21" t="s">
        <v>32</v>
      </c>
      <c r="B498" s="21" t="s">
        <v>190</v>
      </c>
      <c r="C498" s="21" t="s">
        <v>664</v>
      </c>
      <c r="D498" s="42">
        <f>(D353*inputs!$E$78)/(inputs!$E$31)^inputs!E134</f>
        <v>0</v>
      </c>
      <c r="E498" s="21" t="str">
        <f t="shared" ca="1" si="8"/>
        <v>=(D353*inputs!$E$78)/(inputs!$E$31)^inputs!E134</v>
      </c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  <c r="AT498" s="21"/>
      <c r="AU498" s="21"/>
      <c r="AV498" s="21"/>
      <c r="AW498" s="21"/>
      <c r="AX498" s="21"/>
      <c r="AY498" s="21"/>
      <c r="AZ498" s="21"/>
      <c r="BA498" s="21"/>
      <c r="BB498" s="21"/>
      <c r="BC498" s="21"/>
      <c r="BD498" s="21"/>
      <c r="BE498" s="21"/>
      <c r="BF498" s="21"/>
      <c r="BG498" s="21"/>
      <c r="BH498" s="21"/>
      <c r="BI498" s="21"/>
      <c r="BJ498" s="21"/>
      <c r="BK498" s="21"/>
      <c r="BL498" s="21"/>
      <c r="BM498" s="21"/>
      <c r="BN498" s="21"/>
      <c r="BO498" s="21"/>
      <c r="BP498" s="21"/>
      <c r="BQ498" s="21"/>
      <c r="BR498" s="21"/>
      <c r="BS498" s="21"/>
      <c r="BT498" s="21"/>
      <c r="BU498" s="21"/>
      <c r="BV498" s="21"/>
      <c r="BW498" s="21"/>
      <c r="BX498" s="21"/>
      <c r="BY498" s="21"/>
      <c r="BZ498" s="21"/>
      <c r="CA498" s="21"/>
      <c r="CB498" s="21"/>
      <c r="CC498" s="21"/>
      <c r="CD498" s="21"/>
      <c r="CE498" s="21"/>
      <c r="CF498" s="21"/>
      <c r="CG498" s="21"/>
      <c r="CH498" s="21"/>
      <c r="CI498" s="21"/>
      <c r="CJ498" s="21"/>
      <c r="CK498" s="21"/>
      <c r="CL498" s="21"/>
      <c r="CM498" s="21"/>
      <c r="CN498" s="21"/>
      <c r="CO498" s="21"/>
      <c r="CP498" s="21"/>
      <c r="CQ498" s="21"/>
      <c r="CR498" s="21"/>
      <c r="CS498" s="21"/>
      <c r="CT498" s="21"/>
      <c r="CU498" s="21"/>
      <c r="CV498" s="21"/>
      <c r="CW498" s="21"/>
      <c r="CX498" s="21"/>
      <c r="CY498" s="21"/>
      <c r="CZ498" s="21"/>
      <c r="DA498" s="21"/>
      <c r="DB498" s="21"/>
      <c r="DC498" s="21"/>
      <c r="DD498" s="21"/>
      <c r="DE498" s="21"/>
      <c r="DF498" s="21"/>
    </row>
    <row r="499" spans="1:110" s="16" customFormat="1" x14ac:dyDescent="0.3">
      <c r="A499" s="21" t="s">
        <v>32</v>
      </c>
      <c r="B499" s="21" t="s">
        <v>190</v>
      </c>
      <c r="C499" s="21" t="s">
        <v>629</v>
      </c>
      <c r="D499" s="42">
        <f>(D354*inputs!$E$78)/(inputs!$E$31)^inputs!E135</f>
        <v>0</v>
      </c>
      <c r="E499" s="21" t="str">
        <f t="shared" ca="1" si="8"/>
        <v>=(D354*inputs!$E$78)/(inputs!$E$31)^inputs!E135</v>
      </c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  <c r="AT499" s="21"/>
      <c r="AU499" s="21"/>
      <c r="AV499" s="21"/>
      <c r="AW499" s="21"/>
      <c r="AX499" s="21"/>
      <c r="AY499" s="21"/>
      <c r="AZ499" s="21"/>
      <c r="BA499" s="21"/>
      <c r="BB499" s="21"/>
      <c r="BC499" s="21"/>
      <c r="BD499" s="21"/>
      <c r="BE499" s="21"/>
      <c r="BF499" s="21"/>
      <c r="BG499" s="21"/>
      <c r="BH499" s="21"/>
      <c r="BI499" s="21"/>
      <c r="BJ499" s="21"/>
      <c r="BK499" s="21"/>
      <c r="BL499" s="21"/>
      <c r="BM499" s="21"/>
      <c r="BN499" s="21"/>
      <c r="BO499" s="21"/>
      <c r="BP499" s="21"/>
      <c r="BQ499" s="21"/>
      <c r="BR499" s="21"/>
      <c r="BS499" s="21"/>
      <c r="BT499" s="21"/>
      <c r="BU499" s="21"/>
      <c r="BV499" s="21"/>
      <c r="BW499" s="21"/>
      <c r="BX499" s="21"/>
      <c r="BY499" s="21"/>
      <c r="BZ499" s="21"/>
      <c r="CA499" s="21"/>
      <c r="CB499" s="21"/>
      <c r="CC499" s="21"/>
      <c r="CD499" s="21"/>
      <c r="CE499" s="21"/>
      <c r="CF499" s="21"/>
      <c r="CG499" s="21"/>
      <c r="CH499" s="21"/>
      <c r="CI499" s="21"/>
      <c r="CJ499" s="21"/>
      <c r="CK499" s="21"/>
      <c r="CL499" s="21"/>
      <c r="CM499" s="21"/>
      <c r="CN499" s="21"/>
      <c r="CO499" s="21"/>
      <c r="CP499" s="21"/>
      <c r="CQ499" s="21"/>
      <c r="CR499" s="21"/>
      <c r="CS499" s="21"/>
      <c r="CT499" s="21"/>
      <c r="CU499" s="21"/>
      <c r="CV499" s="21"/>
      <c r="CW499" s="21"/>
      <c r="CX499" s="21"/>
      <c r="CY499" s="21"/>
      <c r="CZ499" s="21"/>
      <c r="DA499" s="21"/>
      <c r="DB499" s="21"/>
      <c r="DC499" s="21"/>
      <c r="DD499" s="21"/>
      <c r="DE499" s="21"/>
      <c r="DF499" s="21"/>
    </row>
    <row r="500" spans="1:110" s="14" customFormat="1" x14ac:dyDescent="0.3">
      <c r="A500" s="21" t="s">
        <v>32</v>
      </c>
      <c r="B500" s="21" t="s">
        <v>84</v>
      </c>
      <c r="C500" s="21" t="s">
        <v>769</v>
      </c>
      <c r="D500" s="42">
        <f>D355*(inputs!$E$26*inputs!E27)</f>
        <v>520771349.68815088</v>
      </c>
      <c r="E500" s="21" t="str">
        <f t="shared" ca="1" si="8"/>
        <v>=D355*(inputs!$E$26*inputs!E27)</v>
      </c>
      <c r="F500" s="21" t="s">
        <v>821</v>
      </c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  <c r="AT500" s="21"/>
      <c r="AU500" s="21"/>
      <c r="AV500" s="21"/>
      <c r="AW500" s="21"/>
      <c r="AX500" s="21"/>
      <c r="AY500" s="21"/>
      <c r="AZ500" s="21"/>
      <c r="BA500" s="21"/>
      <c r="BB500" s="21"/>
      <c r="BC500" s="21"/>
      <c r="BD500" s="21"/>
      <c r="BE500" s="21"/>
      <c r="BF500" s="21"/>
      <c r="BG500" s="21"/>
      <c r="BH500" s="21"/>
      <c r="BI500" s="21"/>
      <c r="BJ500" s="21"/>
      <c r="BK500" s="21"/>
      <c r="BL500" s="21"/>
      <c r="BM500" s="21"/>
      <c r="BN500" s="21"/>
      <c r="BO500" s="21"/>
      <c r="BP500" s="21"/>
      <c r="BQ500" s="21"/>
      <c r="BR500" s="21"/>
      <c r="BS500" s="21"/>
      <c r="BT500" s="21"/>
      <c r="BU500" s="21"/>
      <c r="BV500" s="21"/>
      <c r="BW500" s="21"/>
      <c r="BX500" s="21"/>
      <c r="BY500" s="21"/>
      <c r="BZ500" s="21"/>
      <c r="CA500" s="21"/>
      <c r="CB500" s="21"/>
      <c r="CC500" s="21"/>
      <c r="CD500" s="21"/>
      <c r="CE500" s="21"/>
      <c r="CF500" s="21"/>
      <c r="CG500" s="21"/>
      <c r="CH500" s="21"/>
      <c r="CI500" s="21"/>
      <c r="CJ500" s="21"/>
      <c r="CK500" s="21"/>
      <c r="CL500" s="21"/>
      <c r="CM500" s="21"/>
      <c r="CN500" s="21"/>
      <c r="CO500" s="21"/>
      <c r="CP500" s="21"/>
      <c r="CQ500" s="21"/>
      <c r="CR500" s="21"/>
      <c r="CS500" s="21"/>
      <c r="CT500" s="21"/>
      <c r="CU500" s="21"/>
      <c r="CV500" s="21"/>
      <c r="CW500" s="21"/>
      <c r="CX500" s="21"/>
      <c r="CY500" s="21"/>
      <c r="CZ500" s="21"/>
      <c r="DA500" s="21"/>
      <c r="DB500" s="21"/>
      <c r="DC500" s="21"/>
      <c r="DD500" s="21"/>
      <c r="DE500" s="21"/>
      <c r="DF500" s="21"/>
    </row>
    <row r="501" spans="1:110" x14ac:dyDescent="0.3">
      <c r="A501" s="21" t="s">
        <v>32</v>
      </c>
      <c r="B501" s="21" t="s">
        <v>84</v>
      </c>
      <c r="C501" s="21" t="s">
        <v>840</v>
      </c>
      <c r="D501" s="42">
        <f>D356*(inputs!$E$26*inputs!$E$27)</f>
        <v>6426822.6883737277</v>
      </c>
      <c r="E501" s="21" t="str">
        <f t="shared" ca="1" si="8"/>
        <v>=D356*(inputs!$E$26*inputs!$E$27)</v>
      </c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  <c r="AT501" s="21"/>
      <c r="AU501" s="21"/>
      <c r="AV501" s="21"/>
      <c r="AW501" s="21"/>
      <c r="AX501" s="21"/>
      <c r="AY501" s="21"/>
      <c r="AZ501" s="21"/>
      <c r="BA501" s="21"/>
      <c r="BB501" s="21"/>
      <c r="BC501" s="21"/>
      <c r="BD501" s="21"/>
      <c r="BE501" s="21"/>
      <c r="BF501" s="21"/>
      <c r="BG501" s="21"/>
      <c r="BH501" s="21"/>
      <c r="BI501" s="21"/>
      <c r="BJ501" s="21"/>
      <c r="BK501" s="21"/>
      <c r="BL501" s="21"/>
      <c r="BM501" s="21"/>
      <c r="BN501" s="21"/>
      <c r="BO501" s="21"/>
      <c r="BP501" s="21"/>
      <c r="BQ501" s="21"/>
      <c r="BR501" s="21"/>
      <c r="BS501" s="21"/>
      <c r="BT501" s="21"/>
      <c r="BU501" s="21"/>
      <c r="BV501" s="21"/>
      <c r="BW501" s="21"/>
      <c r="BX501" s="21"/>
      <c r="BY501" s="21"/>
      <c r="BZ501" s="21"/>
      <c r="CA501" s="21"/>
      <c r="CB501" s="21"/>
      <c r="CC501" s="21"/>
      <c r="CD501" s="21"/>
      <c r="CE501" s="21"/>
      <c r="CF501" s="21"/>
      <c r="CG501" s="21"/>
      <c r="CH501" s="21"/>
      <c r="CI501" s="21"/>
      <c r="CJ501" s="21"/>
      <c r="CK501" s="21"/>
      <c r="CL501" s="21"/>
      <c r="CM501" s="21"/>
      <c r="CN501" s="21"/>
      <c r="CO501" s="21"/>
      <c r="CP501" s="21"/>
      <c r="CQ501" s="21"/>
      <c r="CR501" s="21"/>
      <c r="CS501" s="21"/>
      <c r="CT501" s="21"/>
      <c r="CU501" s="21"/>
      <c r="CV501" s="21"/>
      <c r="CW501" s="21"/>
      <c r="CX501" s="21"/>
      <c r="CY501" s="21"/>
      <c r="CZ501" s="21"/>
      <c r="DA501" s="21"/>
      <c r="DB501" s="21"/>
      <c r="DC501" s="21"/>
      <c r="DD501" s="21"/>
      <c r="DE501" s="21"/>
      <c r="DF501" s="21"/>
    </row>
    <row r="502" spans="1:110" x14ac:dyDescent="0.3">
      <c r="A502" s="21" t="s">
        <v>32</v>
      </c>
      <c r="B502" s="21" t="s">
        <v>84</v>
      </c>
      <c r="C502" s="21" t="s">
        <v>841</v>
      </c>
      <c r="D502" s="42">
        <f>D357*(inputs!$E$26*inputs!$E$27)</f>
        <v>6237761.7879293365</v>
      </c>
      <c r="E502" s="21" t="str">
        <f t="shared" ca="1" si="8"/>
        <v>=D357*(inputs!$E$26*inputs!$E$27)</v>
      </c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  <c r="AT502" s="21"/>
      <c r="AU502" s="21"/>
      <c r="AV502" s="21"/>
      <c r="AW502" s="21"/>
      <c r="AX502" s="21"/>
      <c r="AY502" s="21"/>
      <c r="AZ502" s="21"/>
      <c r="BA502" s="21"/>
      <c r="BB502" s="21"/>
      <c r="BC502" s="21"/>
      <c r="BD502" s="21"/>
      <c r="BE502" s="21"/>
      <c r="BF502" s="21"/>
      <c r="BG502" s="21"/>
      <c r="BH502" s="21"/>
      <c r="BI502" s="21"/>
      <c r="BJ502" s="21"/>
      <c r="BK502" s="21"/>
      <c r="BL502" s="21"/>
      <c r="BM502" s="21"/>
      <c r="BN502" s="21"/>
      <c r="BO502" s="21"/>
      <c r="BP502" s="21"/>
      <c r="BQ502" s="21"/>
      <c r="BR502" s="21"/>
      <c r="BS502" s="21"/>
      <c r="BT502" s="21"/>
      <c r="BU502" s="21"/>
      <c r="BV502" s="21"/>
      <c r="BW502" s="21"/>
      <c r="BX502" s="21"/>
      <c r="BY502" s="21"/>
      <c r="BZ502" s="21"/>
      <c r="CA502" s="21"/>
      <c r="CB502" s="21"/>
      <c r="CC502" s="21"/>
      <c r="CD502" s="21"/>
      <c r="CE502" s="21"/>
      <c r="CF502" s="21"/>
      <c r="CG502" s="21"/>
      <c r="CH502" s="21"/>
      <c r="CI502" s="21"/>
      <c r="CJ502" s="21"/>
      <c r="CK502" s="21"/>
      <c r="CL502" s="21"/>
      <c r="CM502" s="21"/>
      <c r="CN502" s="21"/>
      <c r="CO502" s="21"/>
      <c r="CP502" s="21"/>
      <c r="CQ502" s="21"/>
      <c r="CR502" s="21"/>
      <c r="CS502" s="21"/>
      <c r="CT502" s="21"/>
      <c r="CU502" s="21"/>
      <c r="CV502" s="21"/>
      <c r="CW502" s="21"/>
      <c r="CX502" s="21"/>
      <c r="CY502" s="21"/>
      <c r="CZ502" s="21"/>
      <c r="DA502" s="21"/>
      <c r="DB502" s="21"/>
      <c r="DC502" s="21"/>
      <c r="DD502" s="21"/>
      <c r="DE502" s="21"/>
      <c r="DF502" s="21"/>
    </row>
    <row r="503" spans="1:110" x14ac:dyDescent="0.3">
      <c r="A503" s="21" t="s">
        <v>32</v>
      </c>
      <c r="B503" s="21" t="s">
        <v>84</v>
      </c>
      <c r="C503" s="21" t="s">
        <v>842</v>
      </c>
      <c r="D503" s="42">
        <f>D358*(inputs!$E$26*inputs!$E$27)</f>
        <v>6054262.5819349112</v>
      </c>
      <c r="E503" s="21" t="str">
        <f t="shared" ca="1" si="8"/>
        <v>=D358*(inputs!$E$26*inputs!$E$27)</v>
      </c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  <c r="AT503" s="21"/>
      <c r="AU503" s="21"/>
      <c r="AV503" s="21"/>
      <c r="AW503" s="21"/>
      <c r="AX503" s="21"/>
      <c r="AY503" s="21"/>
      <c r="AZ503" s="21"/>
      <c r="BA503" s="21"/>
      <c r="BB503" s="21"/>
      <c r="BC503" s="21"/>
      <c r="BD503" s="21"/>
      <c r="BE503" s="21"/>
      <c r="BF503" s="21"/>
      <c r="BG503" s="21"/>
      <c r="BH503" s="21"/>
      <c r="BI503" s="21"/>
      <c r="BJ503" s="21"/>
      <c r="BK503" s="21"/>
      <c r="BL503" s="21"/>
      <c r="BM503" s="21"/>
      <c r="BN503" s="21"/>
      <c r="BO503" s="21"/>
      <c r="BP503" s="21"/>
      <c r="BQ503" s="21"/>
      <c r="BR503" s="21"/>
      <c r="BS503" s="21"/>
      <c r="BT503" s="21"/>
      <c r="BU503" s="21"/>
      <c r="BV503" s="21"/>
      <c r="BW503" s="21"/>
      <c r="BX503" s="21"/>
      <c r="BY503" s="21"/>
      <c r="BZ503" s="21"/>
      <c r="CA503" s="21"/>
      <c r="CB503" s="21"/>
      <c r="CC503" s="21"/>
      <c r="CD503" s="21"/>
      <c r="CE503" s="21"/>
      <c r="CF503" s="21"/>
      <c r="CG503" s="21"/>
      <c r="CH503" s="21"/>
      <c r="CI503" s="21"/>
      <c r="CJ503" s="21"/>
      <c r="CK503" s="21"/>
      <c r="CL503" s="21"/>
      <c r="CM503" s="21"/>
      <c r="CN503" s="21"/>
      <c r="CO503" s="21"/>
      <c r="CP503" s="21"/>
      <c r="CQ503" s="21"/>
      <c r="CR503" s="21"/>
      <c r="CS503" s="21"/>
      <c r="CT503" s="21"/>
      <c r="CU503" s="21"/>
      <c r="CV503" s="21"/>
      <c r="CW503" s="21"/>
      <c r="CX503" s="21"/>
      <c r="CY503" s="21"/>
      <c r="CZ503" s="21"/>
      <c r="DA503" s="21"/>
      <c r="DB503" s="21"/>
      <c r="DC503" s="21"/>
      <c r="DD503" s="21"/>
      <c r="DE503" s="21"/>
      <c r="DF503" s="21"/>
    </row>
    <row r="504" spans="1:110" x14ac:dyDescent="0.3">
      <c r="A504" s="21" t="s">
        <v>32</v>
      </c>
      <c r="B504" s="21" t="s">
        <v>84</v>
      </c>
      <c r="C504" s="21" t="s">
        <v>843</v>
      </c>
      <c r="D504" s="42">
        <f>D359*(inputs!$E$26*inputs!$E$27)</f>
        <v>5876161.4593789615</v>
      </c>
      <c r="E504" s="21" t="str">
        <f t="shared" ca="1" si="8"/>
        <v>=D359*(inputs!$E$26*inputs!$E$27)</v>
      </c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  <c r="AT504" s="21"/>
      <c r="AU504" s="21"/>
      <c r="AV504" s="21"/>
      <c r="AW504" s="21"/>
      <c r="AX504" s="21"/>
      <c r="AY504" s="21"/>
      <c r="AZ504" s="21"/>
      <c r="BA504" s="21"/>
      <c r="BB504" s="21"/>
      <c r="BC504" s="21"/>
      <c r="BD504" s="21"/>
      <c r="BE504" s="21"/>
      <c r="BF504" s="21"/>
      <c r="BG504" s="21"/>
      <c r="BH504" s="21"/>
      <c r="BI504" s="21"/>
      <c r="BJ504" s="21"/>
      <c r="BK504" s="21"/>
      <c r="BL504" s="21"/>
      <c r="BM504" s="21"/>
      <c r="BN504" s="21"/>
      <c r="BO504" s="21"/>
      <c r="BP504" s="21"/>
      <c r="BQ504" s="21"/>
      <c r="BR504" s="21"/>
      <c r="BS504" s="21"/>
      <c r="BT504" s="21"/>
      <c r="BU504" s="21"/>
      <c r="BV504" s="21"/>
      <c r="BW504" s="21"/>
      <c r="BX504" s="21"/>
      <c r="BY504" s="21"/>
      <c r="BZ504" s="21"/>
      <c r="CA504" s="21"/>
      <c r="CB504" s="21"/>
      <c r="CC504" s="21"/>
      <c r="CD504" s="21"/>
      <c r="CE504" s="21"/>
      <c r="CF504" s="21"/>
      <c r="CG504" s="21"/>
      <c r="CH504" s="21"/>
      <c r="CI504" s="21"/>
      <c r="CJ504" s="21"/>
      <c r="CK504" s="21"/>
      <c r="CL504" s="21"/>
      <c r="CM504" s="21"/>
      <c r="CN504" s="21"/>
      <c r="CO504" s="21"/>
      <c r="CP504" s="21"/>
      <c r="CQ504" s="21"/>
      <c r="CR504" s="21"/>
      <c r="CS504" s="21"/>
      <c r="CT504" s="21"/>
      <c r="CU504" s="21"/>
      <c r="CV504" s="21"/>
      <c r="CW504" s="21"/>
      <c r="CX504" s="21"/>
      <c r="CY504" s="21"/>
      <c r="CZ504" s="21"/>
      <c r="DA504" s="21"/>
      <c r="DB504" s="21"/>
      <c r="DC504" s="21"/>
      <c r="DD504" s="21"/>
      <c r="DE504" s="21"/>
      <c r="DF504" s="21"/>
    </row>
    <row r="505" spans="1:110" x14ac:dyDescent="0.3">
      <c r="A505" s="21" t="s">
        <v>32</v>
      </c>
      <c r="B505" s="21" t="s">
        <v>84</v>
      </c>
      <c r="C505" s="21" t="s">
        <v>844</v>
      </c>
      <c r="D505" s="42">
        <f>D360*(inputs!$E$26*inputs!$E$27)</f>
        <v>5703299.6222729599</v>
      </c>
      <c r="E505" s="21" t="str">
        <f t="shared" ca="1" si="8"/>
        <v>=D360*(inputs!$E$26*inputs!$E$27)</v>
      </c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  <c r="AT505" s="21"/>
      <c r="AU505" s="21"/>
      <c r="AV505" s="21"/>
      <c r="AW505" s="21"/>
      <c r="AX505" s="21"/>
      <c r="AY505" s="21"/>
      <c r="AZ505" s="21"/>
      <c r="BA505" s="21"/>
      <c r="BB505" s="21"/>
      <c r="BC505" s="21"/>
      <c r="BD505" s="21"/>
      <c r="BE505" s="21"/>
      <c r="BF505" s="21"/>
      <c r="BG505" s="21"/>
      <c r="BH505" s="21"/>
      <c r="BI505" s="21"/>
      <c r="BJ505" s="21"/>
      <c r="BK505" s="21"/>
      <c r="BL505" s="21"/>
      <c r="BM505" s="21"/>
      <c r="BN505" s="21"/>
      <c r="BO505" s="21"/>
      <c r="BP505" s="21"/>
      <c r="BQ505" s="21"/>
      <c r="BR505" s="21"/>
      <c r="BS505" s="21"/>
      <c r="BT505" s="21"/>
      <c r="BU505" s="21"/>
      <c r="BV505" s="21"/>
      <c r="BW505" s="21"/>
      <c r="BX505" s="21"/>
      <c r="BY505" s="21"/>
      <c r="BZ505" s="21"/>
      <c r="CA505" s="21"/>
      <c r="CB505" s="21"/>
      <c r="CC505" s="21"/>
      <c r="CD505" s="21"/>
      <c r="CE505" s="21"/>
      <c r="CF505" s="21"/>
      <c r="CG505" s="21"/>
      <c r="CH505" s="21"/>
      <c r="CI505" s="21"/>
      <c r="CJ505" s="21"/>
      <c r="CK505" s="21"/>
      <c r="CL505" s="21"/>
      <c r="CM505" s="21"/>
      <c r="CN505" s="21"/>
      <c r="CO505" s="21"/>
      <c r="CP505" s="21"/>
      <c r="CQ505" s="21"/>
      <c r="CR505" s="21"/>
      <c r="CS505" s="21"/>
      <c r="CT505" s="21"/>
      <c r="CU505" s="21"/>
      <c r="CV505" s="21"/>
      <c r="CW505" s="21"/>
      <c r="CX505" s="21"/>
      <c r="CY505" s="21"/>
      <c r="CZ505" s="21"/>
      <c r="DA505" s="21"/>
      <c r="DB505" s="21"/>
      <c r="DC505" s="21"/>
      <c r="DD505" s="21"/>
      <c r="DE505" s="21"/>
      <c r="DF505" s="21"/>
    </row>
    <row r="506" spans="1:110" x14ac:dyDescent="0.3">
      <c r="A506" s="21" t="s">
        <v>32</v>
      </c>
      <c r="B506" s="21" t="s">
        <v>84</v>
      </c>
      <c r="C506" s="21" t="s">
        <v>845</v>
      </c>
      <c r="D506" s="42">
        <f>D361*(inputs!$E$26*inputs!$E$27)</f>
        <v>5535522.944064348</v>
      </c>
      <c r="E506" s="21" t="str">
        <f t="shared" ca="1" si="8"/>
        <v>=D361*(inputs!$E$26*inputs!$E$27)</v>
      </c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  <c r="AT506" s="21"/>
      <c r="AU506" s="21"/>
      <c r="AV506" s="21"/>
      <c r="AW506" s="21"/>
      <c r="AX506" s="21"/>
      <c r="AY506" s="21"/>
      <c r="AZ506" s="21"/>
      <c r="BA506" s="21"/>
      <c r="BB506" s="21"/>
      <c r="BC506" s="21"/>
      <c r="BD506" s="21"/>
      <c r="BE506" s="21"/>
      <c r="BF506" s="21"/>
      <c r="BG506" s="21"/>
      <c r="BH506" s="21"/>
      <c r="BI506" s="21"/>
      <c r="BJ506" s="21"/>
      <c r="BK506" s="21"/>
      <c r="BL506" s="21"/>
      <c r="BM506" s="21"/>
      <c r="BN506" s="21"/>
      <c r="BO506" s="21"/>
      <c r="BP506" s="21"/>
      <c r="BQ506" s="21"/>
      <c r="BR506" s="21"/>
      <c r="BS506" s="21"/>
      <c r="BT506" s="21"/>
      <c r="BU506" s="21"/>
      <c r="BV506" s="21"/>
      <c r="BW506" s="21"/>
      <c r="BX506" s="21"/>
      <c r="BY506" s="21"/>
      <c r="BZ506" s="21"/>
      <c r="CA506" s="21"/>
      <c r="CB506" s="21"/>
      <c r="CC506" s="21"/>
      <c r="CD506" s="21"/>
      <c r="CE506" s="21"/>
      <c r="CF506" s="21"/>
      <c r="CG506" s="21"/>
      <c r="CH506" s="21"/>
      <c r="CI506" s="21"/>
      <c r="CJ506" s="21"/>
      <c r="CK506" s="21"/>
      <c r="CL506" s="21"/>
      <c r="CM506" s="21"/>
      <c r="CN506" s="21"/>
      <c r="CO506" s="21"/>
      <c r="CP506" s="21"/>
      <c r="CQ506" s="21"/>
      <c r="CR506" s="21"/>
      <c r="CS506" s="21"/>
      <c r="CT506" s="21"/>
      <c r="CU506" s="21"/>
      <c r="CV506" s="21"/>
      <c r="CW506" s="21"/>
      <c r="CX506" s="21"/>
      <c r="CY506" s="21"/>
      <c r="CZ506" s="21"/>
      <c r="DA506" s="21"/>
      <c r="DB506" s="21"/>
      <c r="DC506" s="21"/>
      <c r="DD506" s="21"/>
      <c r="DE506" s="21"/>
      <c r="DF506" s="21"/>
    </row>
    <row r="507" spans="1:110" x14ac:dyDescent="0.3">
      <c r="A507" s="21" t="s">
        <v>32</v>
      </c>
      <c r="B507" s="21" t="s">
        <v>84</v>
      </c>
      <c r="C507" s="21" t="s">
        <v>846</v>
      </c>
      <c r="D507" s="42">
        <f>D362*(inputs!$E$26*inputs!$E$27)</f>
        <v>5372681.832214688</v>
      </c>
      <c r="E507" s="21" t="str">
        <f t="shared" ca="1" si="8"/>
        <v>=D362*(inputs!$E$26*inputs!$E$27)</v>
      </c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  <c r="AT507" s="21"/>
      <c r="AU507" s="21"/>
      <c r="AV507" s="21"/>
      <c r="AW507" s="21"/>
      <c r="AX507" s="21"/>
      <c r="AY507" s="21"/>
      <c r="AZ507" s="21"/>
      <c r="BA507" s="21"/>
      <c r="BB507" s="21"/>
      <c r="BC507" s="21"/>
      <c r="BD507" s="21"/>
      <c r="BE507" s="21"/>
      <c r="BF507" s="21"/>
      <c r="BG507" s="21"/>
      <c r="BH507" s="21"/>
      <c r="BI507" s="21"/>
      <c r="BJ507" s="21"/>
      <c r="BK507" s="21"/>
      <c r="BL507" s="21"/>
      <c r="BM507" s="21"/>
      <c r="BN507" s="21"/>
      <c r="BO507" s="21"/>
      <c r="BP507" s="21"/>
      <c r="BQ507" s="21"/>
      <c r="BR507" s="21"/>
      <c r="BS507" s="21"/>
      <c r="BT507" s="21"/>
      <c r="BU507" s="21"/>
      <c r="BV507" s="21"/>
      <c r="BW507" s="21"/>
      <c r="BX507" s="21"/>
      <c r="BY507" s="21"/>
      <c r="BZ507" s="21"/>
      <c r="CA507" s="21"/>
      <c r="CB507" s="21"/>
      <c r="CC507" s="21"/>
      <c r="CD507" s="21"/>
      <c r="CE507" s="21"/>
      <c r="CF507" s="21"/>
      <c r="CG507" s="21"/>
      <c r="CH507" s="21"/>
      <c r="CI507" s="21"/>
      <c r="CJ507" s="21"/>
      <c r="CK507" s="21"/>
      <c r="CL507" s="21"/>
      <c r="CM507" s="21"/>
      <c r="CN507" s="21"/>
      <c r="CO507" s="21"/>
      <c r="CP507" s="21"/>
      <c r="CQ507" s="21"/>
      <c r="CR507" s="21"/>
      <c r="CS507" s="21"/>
      <c r="CT507" s="21"/>
      <c r="CU507" s="21"/>
      <c r="CV507" s="21"/>
      <c r="CW507" s="21"/>
      <c r="CX507" s="21"/>
      <c r="CY507" s="21"/>
      <c r="CZ507" s="21"/>
      <c r="DA507" s="21"/>
      <c r="DB507" s="21"/>
      <c r="DC507" s="21"/>
      <c r="DD507" s="21"/>
      <c r="DE507" s="21"/>
      <c r="DF507" s="21"/>
    </row>
    <row r="508" spans="1:110" x14ac:dyDescent="0.3">
      <c r="A508" s="21" t="s">
        <v>32</v>
      </c>
      <c r="B508" s="21" t="s">
        <v>84</v>
      </c>
      <c r="C508" s="21" t="s">
        <v>847</v>
      </c>
      <c r="D508" s="42">
        <f>D363*(inputs!$E$26*inputs!$E$27)</f>
        <v>5214631.0948204119</v>
      </c>
      <c r="E508" s="21" t="str">
        <f t="shared" ca="1" si="8"/>
        <v>=D363*(inputs!$E$26*inputs!$E$27)</v>
      </c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  <c r="AT508" s="21"/>
      <c r="AU508" s="21"/>
      <c r="AV508" s="21"/>
      <c r="AW508" s="21"/>
      <c r="AX508" s="21"/>
      <c r="AY508" s="21"/>
      <c r="AZ508" s="21"/>
      <c r="BA508" s="21"/>
      <c r="BB508" s="21"/>
      <c r="BC508" s="21"/>
      <c r="BD508" s="21"/>
      <c r="BE508" s="21"/>
      <c r="BF508" s="21"/>
      <c r="BG508" s="21"/>
      <c r="BH508" s="21"/>
      <c r="BI508" s="21"/>
      <c r="BJ508" s="21"/>
      <c r="BK508" s="21"/>
      <c r="BL508" s="21"/>
      <c r="BM508" s="21"/>
      <c r="BN508" s="21"/>
      <c r="BO508" s="21"/>
      <c r="BP508" s="21"/>
      <c r="BQ508" s="21"/>
      <c r="BR508" s="21"/>
      <c r="BS508" s="21"/>
      <c r="BT508" s="21"/>
      <c r="BU508" s="21"/>
      <c r="BV508" s="21"/>
      <c r="BW508" s="21"/>
      <c r="BX508" s="21"/>
      <c r="BY508" s="21"/>
      <c r="BZ508" s="21"/>
      <c r="CA508" s="21"/>
      <c r="CB508" s="21"/>
      <c r="CC508" s="21"/>
      <c r="CD508" s="21"/>
      <c r="CE508" s="21"/>
      <c r="CF508" s="21"/>
      <c r="CG508" s="21"/>
      <c r="CH508" s="21"/>
      <c r="CI508" s="21"/>
      <c r="CJ508" s="21"/>
      <c r="CK508" s="21"/>
      <c r="CL508" s="21"/>
      <c r="CM508" s="21"/>
      <c r="CN508" s="21"/>
      <c r="CO508" s="21"/>
      <c r="CP508" s="21"/>
      <c r="CQ508" s="21"/>
      <c r="CR508" s="21"/>
      <c r="CS508" s="21"/>
      <c r="CT508" s="21"/>
      <c r="CU508" s="21"/>
      <c r="CV508" s="21"/>
      <c r="CW508" s="21"/>
      <c r="CX508" s="21"/>
      <c r="CY508" s="21"/>
      <c r="CZ508" s="21"/>
      <c r="DA508" s="21"/>
      <c r="DB508" s="21"/>
      <c r="DC508" s="21"/>
      <c r="DD508" s="21"/>
      <c r="DE508" s="21"/>
      <c r="DF508" s="21"/>
    </row>
    <row r="509" spans="1:110" x14ac:dyDescent="0.3">
      <c r="A509" s="21" t="s">
        <v>32</v>
      </c>
      <c r="B509" s="21" t="s">
        <v>84</v>
      </c>
      <c r="C509" s="21" t="s">
        <v>848</v>
      </c>
      <c r="D509" s="42">
        <f>D364*(inputs!$E$26*inputs!$E$27)</f>
        <v>5061229.8111572489</v>
      </c>
      <c r="E509" s="21" t="str">
        <f t="shared" ca="1" si="8"/>
        <v>=D364*(inputs!$E$26*inputs!$E$27)</v>
      </c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  <c r="AT509" s="21"/>
      <c r="AU509" s="21"/>
      <c r="AV509" s="21"/>
      <c r="AW509" s="21"/>
      <c r="AX509" s="21"/>
      <c r="AY509" s="21"/>
      <c r="AZ509" s="21"/>
      <c r="BA509" s="21"/>
      <c r="BB509" s="21"/>
      <c r="BC509" s="21"/>
      <c r="BD509" s="21"/>
      <c r="BE509" s="21"/>
      <c r="BF509" s="21"/>
      <c r="BG509" s="21"/>
      <c r="BH509" s="21"/>
      <c r="BI509" s="21"/>
      <c r="BJ509" s="21"/>
      <c r="BK509" s="21"/>
      <c r="BL509" s="21"/>
      <c r="BM509" s="21"/>
      <c r="BN509" s="21"/>
      <c r="BO509" s="21"/>
      <c r="BP509" s="21"/>
      <c r="BQ509" s="21"/>
      <c r="BR509" s="21"/>
      <c r="BS509" s="21"/>
      <c r="BT509" s="21"/>
      <c r="BU509" s="21"/>
      <c r="BV509" s="21"/>
      <c r="BW509" s="21"/>
      <c r="BX509" s="21"/>
      <c r="BY509" s="21"/>
      <c r="BZ509" s="21"/>
      <c r="CA509" s="21"/>
      <c r="CB509" s="21"/>
      <c r="CC509" s="21"/>
      <c r="CD509" s="21"/>
      <c r="CE509" s="21"/>
      <c r="CF509" s="21"/>
      <c r="CG509" s="21"/>
      <c r="CH509" s="21"/>
      <c r="CI509" s="21"/>
      <c r="CJ509" s="21"/>
      <c r="CK509" s="21"/>
      <c r="CL509" s="21"/>
      <c r="CM509" s="21"/>
      <c r="CN509" s="21"/>
      <c r="CO509" s="21"/>
      <c r="CP509" s="21"/>
      <c r="CQ509" s="21"/>
      <c r="CR509" s="21"/>
      <c r="CS509" s="21"/>
      <c r="CT509" s="21"/>
      <c r="CU509" s="21"/>
      <c r="CV509" s="21"/>
      <c r="CW509" s="21"/>
      <c r="CX509" s="21"/>
      <c r="CY509" s="21"/>
      <c r="CZ509" s="21"/>
      <c r="DA509" s="21"/>
      <c r="DB509" s="21"/>
      <c r="DC509" s="21"/>
      <c r="DD509" s="21"/>
      <c r="DE509" s="21"/>
      <c r="DF509" s="21"/>
    </row>
    <row r="510" spans="1:110" x14ac:dyDescent="0.3">
      <c r="A510" s="21" t="s">
        <v>32</v>
      </c>
      <c r="B510" s="21" t="s">
        <v>84</v>
      </c>
      <c r="C510" s="21" t="s">
        <v>849</v>
      </c>
      <c r="D510" s="42">
        <f>D365*(inputs!$E$26*inputs!$E$27)</f>
        <v>4912341.2060329132</v>
      </c>
      <c r="E510" s="21" t="str">
        <f t="shared" ca="1" si="8"/>
        <v>=D365*(inputs!$E$26*inputs!$E$27)</v>
      </c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  <c r="AT510" s="21"/>
      <c r="AU510" s="21"/>
      <c r="AV510" s="21"/>
      <c r="AW510" s="21"/>
      <c r="AX510" s="21"/>
      <c r="AY510" s="21"/>
      <c r="AZ510" s="21"/>
      <c r="BA510" s="21"/>
      <c r="BB510" s="21"/>
      <c r="BC510" s="21"/>
      <c r="BD510" s="21"/>
      <c r="BE510" s="21"/>
      <c r="BF510" s="21"/>
      <c r="BG510" s="21"/>
      <c r="BH510" s="21"/>
      <c r="BI510" s="21"/>
      <c r="BJ510" s="21"/>
      <c r="BK510" s="21"/>
      <c r="BL510" s="21"/>
      <c r="BM510" s="21"/>
      <c r="BN510" s="21"/>
      <c r="BO510" s="21"/>
      <c r="BP510" s="21"/>
      <c r="BQ510" s="21"/>
      <c r="BR510" s="21"/>
      <c r="BS510" s="21"/>
      <c r="BT510" s="21"/>
      <c r="BU510" s="21"/>
      <c r="BV510" s="21"/>
      <c r="BW510" s="21"/>
      <c r="BX510" s="21"/>
      <c r="BY510" s="21"/>
      <c r="BZ510" s="21"/>
      <c r="CA510" s="21"/>
      <c r="CB510" s="21"/>
      <c r="CC510" s="21"/>
      <c r="CD510" s="21"/>
      <c r="CE510" s="21"/>
      <c r="CF510" s="21"/>
      <c r="CG510" s="21"/>
      <c r="CH510" s="21"/>
      <c r="CI510" s="21"/>
      <c r="CJ510" s="21"/>
      <c r="CK510" s="21"/>
      <c r="CL510" s="21"/>
      <c r="CM510" s="21"/>
      <c r="CN510" s="21"/>
      <c r="CO510" s="21"/>
      <c r="CP510" s="21"/>
      <c r="CQ510" s="21"/>
      <c r="CR510" s="21"/>
      <c r="CS510" s="21"/>
      <c r="CT510" s="21"/>
      <c r="CU510" s="21"/>
      <c r="CV510" s="21"/>
      <c r="CW510" s="21"/>
      <c r="CX510" s="21"/>
      <c r="CY510" s="21"/>
      <c r="CZ510" s="21"/>
      <c r="DA510" s="21"/>
      <c r="DB510" s="21"/>
      <c r="DC510" s="21"/>
      <c r="DD510" s="21"/>
      <c r="DE510" s="21"/>
      <c r="DF510" s="21"/>
    </row>
    <row r="511" spans="1:110" x14ac:dyDescent="0.3">
      <c r="A511" s="21" t="s">
        <v>32</v>
      </c>
      <c r="B511" s="21" t="s">
        <v>84</v>
      </c>
      <c r="C511" s="21" t="s">
        <v>850</v>
      </c>
      <c r="D511" s="42">
        <f>D366*(inputs!$E$26*inputs!$E$27)</f>
        <v>4767832.5278360229</v>
      </c>
      <c r="E511" s="21" t="str">
        <f t="shared" ca="1" si="8"/>
        <v>=D366*(inputs!$E$26*inputs!$E$27)</v>
      </c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  <c r="AT511" s="21"/>
      <c r="AU511" s="21"/>
      <c r="AV511" s="21"/>
      <c r="AW511" s="21"/>
      <c r="AX511" s="21"/>
      <c r="AY511" s="21"/>
      <c r="AZ511" s="21"/>
      <c r="BA511" s="21"/>
      <c r="BB511" s="21"/>
      <c r="BC511" s="21"/>
      <c r="BD511" s="21"/>
      <c r="BE511" s="21"/>
      <c r="BF511" s="21"/>
      <c r="BG511" s="21"/>
      <c r="BH511" s="21"/>
      <c r="BI511" s="21"/>
      <c r="BJ511" s="21"/>
      <c r="BK511" s="21"/>
      <c r="BL511" s="21"/>
      <c r="BM511" s="21"/>
      <c r="BN511" s="21"/>
      <c r="BO511" s="21"/>
      <c r="BP511" s="21"/>
      <c r="BQ511" s="21"/>
      <c r="BR511" s="21"/>
      <c r="BS511" s="21"/>
      <c r="BT511" s="21"/>
      <c r="BU511" s="21"/>
      <c r="BV511" s="21"/>
      <c r="BW511" s="21"/>
      <c r="BX511" s="21"/>
      <c r="BY511" s="21"/>
      <c r="BZ511" s="21"/>
      <c r="CA511" s="21"/>
      <c r="CB511" s="21"/>
      <c r="CC511" s="21"/>
      <c r="CD511" s="21"/>
      <c r="CE511" s="21"/>
      <c r="CF511" s="21"/>
      <c r="CG511" s="21"/>
      <c r="CH511" s="21"/>
      <c r="CI511" s="21"/>
      <c r="CJ511" s="21"/>
      <c r="CK511" s="21"/>
      <c r="CL511" s="21"/>
      <c r="CM511" s="21"/>
      <c r="CN511" s="21"/>
      <c r="CO511" s="21"/>
      <c r="CP511" s="21"/>
      <c r="CQ511" s="21"/>
      <c r="CR511" s="21"/>
      <c r="CS511" s="21"/>
      <c r="CT511" s="21"/>
      <c r="CU511" s="21"/>
      <c r="CV511" s="21"/>
      <c r="CW511" s="21"/>
      <c r="CX511" s="21"/>
      <c r="CY511" s="21"/>
      <c r="CZ511" s="21"/>
      <c r="DA511" s="21"/>
      <c r="DB511" s="21"/>
      <c r="DC511" s="21"/>
      <c r="DD511" s="21"/>
      <c r="DE511" s="21"/>
      <c r="DF511" s="21"/>
    </row>
    <row r="512" spans="1:110" x14ac:dyDescent="0.3">
      <c r="A512" s="21" t="s">
        <v>32</v>
      </c>
      <c r="B512" s="21" t="s">
        <v>84</v>
      </c>
      <c r="C512" s="21" t="s">
        <v>851</v>
      </c>
      <c r="D512" s="42">
        <f>D367*(inputs!$E$26*inputs!$E$27)</f>
        <v>4627574.9301724993</v>
      </c>
      <c r="E512" s="21" t="str">
        <f t="shared" ca="1" si="8"/>
        <v>=D367*(inputs!$E$26*inputs!$E$27)</v>
      </c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  <c r="AT512" s="21"/>
      <c r="AU512" s="21"/>
      <c r="AV512" s="21"/>
      <c r="AW512" s="21"/>
      <c r="AX512" s="21"/>
      <c r="AY512" s="21"/>
      <c r="AZ512" s="21"/>
      <c r="BA512" s="21"/>
      <c r="BB512" s="21"/>
      <c r="BC512" s="21"/>
      <c r="BD512" s="21"/>
      <c r="BE512" s="21"/>
      <c r="BF512" s="21"/>
      <c r="BG512" s="21"/>
      <c r="BH512" s="21"/>
      <c r="BI512" s="21"/>
      <c r="BJ512" s="21"/>
      <c r="BK512" s="21"/>
      <c r="BL512" s="21"/>
      <c r="BM512" s="21"/>
      <c r="BN512" s="21"/>
      <c r="BO512" s="21"/>
      <c r="BP512" s="21"/>
      <c r="BQ512" s="21"/>
      <c r="BR512" s="21"/>
      <c r="BS512" s="21"/>
      <c r="BT512" s="21"/>
      <c r="BU512" s="21"/>
      <c r="BV512" s="21"/>
      <c r="BW512" s="21"/>
      <c r="BX512" s="21"/>
      <c r="BY512" s="21"/>
      <c r="BZ512" s="21"/>
      <c r="CA512" s="21"/>
      <c r="CB512" s="21"/>
      <c r="CC512" s="21"/>
      <c r="CD512" s="21"/>
      <c r="CE512" s="21"/>
      <c r="CF512" s="21"/>
      <c r="CG512" s="21"/>
      <c r="CH512" s="21"/>
      <c r="CI512" s="21"/>
      <c r="CJ512" s="21"/>
      <c r="CK512" s="21"/>
      <c r="CL512" s="21"/>
      <c r="CM512" s="21"/>
      <c r="CN512" s="21"/>
      <c r="CO512" s="21"/>
      <c r="CP512" s="21"/>
      <c r="CQ512" s="21"/>
      <c r="CR512" s="21"/>
      <c r="CS512" s="21"/>
      <c r="CT512" s="21"/>
      <c r="CU512" s="21"/>
      <c r="CV512" s="21"/>
      <c r="CW512" s="21"/>
      <c r="CX512" s="21"/>
      <c r="CY512" s="21"/>
      <c r="CZ512" s="21"/>
      <c r="DA512" s="21"/>
      <c r="DB512" s="21"/>
      <c r="DC512" s="21"/>
      <c r="DD512" s="21"/>
      <c r="DE512" s="21"/>
      <c r="DF512" s="21"/>
    </row>
    <row r="513" spans="1:110" x14ac:dyDescent="0.3">
      <c r="A513" s="21" t="s">
        <v>32</v>
      </c>
      <c r="B513" s="21" t="s">
        <v>84</v>
      </c>
      <c r="C513" s="21" t="s">
        <v>852</v>
      </c>
      <c r="D513" s="42">
        <f>D368*(inputs!$E$26*inputs!$E$27)</f>
        <v>4491443.3569839289</v>
      </c>
      <c r="E513" s="21" t="str">
        <f t="shared" ca="1" si="8"/>
        <v>=D368*(inputs!$E$26*inputs!$E$27)</v>
      </c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  <c r="AT513" s="21"/>
      <c r="AU513" s="21"/>
      <c r="AV513" s="21"/>
      <c r="AW513" s="21"/>
      <c r="AX513" s="21"/>
      <c r="AY513" s="21"/>
      <c r="AZ513" s="21"/>
      <c r="BA513" s="21"/>
      <c r="BB513" s="21"/>
      <c r="BC513" s="21"/>
      <c r="BD513" s="21"/>
      <c r="BE513" s="21"/>
      <c r="BF513" s="21"/>
      <c r="BG513" s="21"/>
      <c r="BH513" s="21"/>
      <c r="BI513" s="21"/>
      <c r="BJ513" s="21"/>
      <c r="BK513" s="21"/>
      <c r="BL513" s="21"/>
      <c r="BM513" s="21"/>
      <c r="BN513" s="21"/>
      <c r="BO513" s="21"/>
      <c r="BP513" s="21"/>
      <c r="BQ513" s="21"/>
      <c r="BR513" s="21"/>
      <c r="BS513" s="21"/>
      <c r="BT513" s="21"/>
      <c r="BU513" s="21"/>
      <c r="BV513" s="21"/>
      <c r="BW513" s="21"/>
      <c r="BX513" s="21"/>
      <c r="BY513" s="21"/>
      <c r="BZ513" s="21"/>
      <c r="CA513" s="21"/>
      <c r="CB513" s="21"/>
      <c r="CC513" s="21"/>
      <c r="CD513" s="21"/>
      <c r="CE513" s="21"/>
      <c r="CF513" s="21"/>
      <c r="CG513" s="21"/>
      <c r="CH513" s="21"/>
      <c r="CI513" s="21"/>
      <c r="CJ513" s="21"/>
      <c r="CK513" s="21"/>
      <c r="CL513" s="21"/>
      <c r="CM513" s="21"/>
      <c r="CN513" s="21"/>
      <c r="CO513" s="21"/>
      <c r="CP513" s="21"/>
      <c r="CQ513" s="21"/>
      <c r="CR513" s="21"/>
      <c r="CS513" s="21"/>
      <c r="CT513" s="21"/>
      <c r="CU513" s="21"/>
      <c r="CV513" s="21"/>
      <c r="CW513" s="21"/>
      <c r="CX513" s="21"/>
      <c r="CY513" s="21"/>
      <c r="CZ513" s="21"/>
      <c r="DA513" s="21"/>
      <c r="DB513" s="21"/>
      <c r="DC513" s="21"/>
      <c r="DD513" s="21"/>
      <c r="DE513" s="21"/>
      <c r="DF513" s="21"/>
    </row>
    <row r="514" spans="1:110" x14ac:dyDescent="0.3">
      <c r="A514" s="21" t="s">
        <v>32</v>
      </c>
      <c r="B514" s="21" t="s">
        <v>84</v>
      </c>
      <c r="C514" s="21" t="s">
        <v>853</v>
      </c>
      <c r="D514" s="42">
        <f>D369*(inputs!$E$26*inputs!$E$27)</f>
        <v>4359316.4310454689</v>
      </c>
      <c r="E514" s="21" t="str">
        <f t="shared" ca="1" si="8"/>
        <v>=D369*(inputs!$E$26*inputs!$E$27)</v>
      </c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  <c r="AT514" s="21"/>
      <c r="AU514" s="21"/>
      <c r="AV514" s="21"/>
      <c r="AW514" s="21"/>
      <c r="AX514" s="21"/>
      <c r="AY514" s="21"/>
      <c r="AZ514" s="21"/>
      <c r="BA514" s="21"/>
      <c r="BB514" s="21"/>
      <c r="BC514" s="21"/>
      <c r="BD514" s="21"/>
      <c r="BE514" s="21"/>
      <c r="BF514" s="21"/>
      <c r="BG514" s="21"/>
      <c r="BH514" s="21"/>
      <c r="BI514" s="21"/>
      <c r="BJ514" s="21"/>
      <c r="BK514" s="21"/>
      <c r="BL514" s="21"/>
      <c r="BM514" s="21"/>
      <c r="BN514" s="21"/>
      <c r="BO514" s="21"/>
      <c r="BP514" s="21"/>
      <c r="BQ514" s="21"/>
      <c r="BR514" s="21"/>
      <c r="BS514" s="21"/>
      <c r="BT514" s="21"/>
      <c r="BU514" s="21"/>
      <c r="BV514" s="21"/>
      <c r="BW514" s="21"/>
      <c r="BX514" s="21"/>
      <c r="BY514" s="21"/>
      <c r="BZ514" s="21"/>
      <c r="CA514" s="21"/>
      <c r="CB514" s="21"/>
      <c r="CC514" s="21"/>
      <c r="CD514" s="21"/>
      <c r="CE514" s="21"/>
      <c r="CF514" s="21"/>
      <c r="CG514" s="21"/>
      <c r="CH514" s="21"/>
      <c r="CI514" s="21"/>
      <c r="CJ514" s="21"/>
      <c r="CK514" s="21"/>
      <c r="CL514" s="21"/>
      <c r="CM514" s="21"/>
      <c r="CN514" s="21"/>
      <c r="CO514" s="21"/>
      <c r="CP514" s="21"/>
      <c r="CQ514" s="21"/>
      <c r="CR514" s="21"/>
      <c r="CS514" s="21"/>
      <c r="CT514" s="21"/>
      <c r="CU514" s="21"/>
      <c r="CV514" s="21"/>
      <c r="CW514" s="21"/>
      <c r="CX514" s="21"/>
      <c r="CY514" s="21"/>
      <c r="CZ514" s="21"/>
      <c r="DA514" s="21"/>
      <c r="DB514" s="21"/>
      <c r="DC514" s="21"/>
      <c r="DD514" s="21"/>
      <c r="DE514" s="21"/>
      <c r="DF514" s="21"/>
    </row>
    <row r="515" spans="1:110" x14ac:dyDescent="0.3">
      <c r="A515" s="7" t="s">
        <v>32</v>
      </c>
      <c r="B515" s="7" t="s">
        <v>84</v>
      </c>
      <c r="C515" s="7" t="s">
        <v>854</v>
      </c>
      <c r="D515" s="8">
        <f>D370*(inputs!$E$26*inputs!$E$27)</f>
        <v>4231076.3457438406</v>
      </c>
      <c r="E515" s="7" t="str">
        <f t="shared" ca="1" si="8"/>
        <v>=D370*(inputs!$E$26*inputs!$E$27)</v>
      </c>
    </row>
    <row r="516" spans="1:110" x14ac:dyDescent="0.3">
      <c r="A516" s="7" t="s">
        <v>32</v>
      </c>
      <c r="B516" s="7" t="s">
        <v>84</v>
      </c>
      <c r="C516" s="7" t="s">
        <v>855</v>
      </c>
      <c r="D516" s="8">
        <f>D371*(inputs!$E$26*inputs!$E$27)</f>
        <v>4106608.7600389495</v>
      </c>
      <c r="E516" s="7" t="str">
        <f t="shared" ca="1" si="8"/>
        <v>=D371*(inputs!$E$26*inputs!$E$27)</v>
      </c>
    </row>
    <row r="517" spans="1:110" x14ac:dyDescent="0.3">
      <c r="A517" s="7" t="s">
        <v>32</v>
      </c>
      <c r="B517" s="7" t="s">
        <v>84</v>
      </c>
      <c r="C517" s="7" t="s">
        <v>856</v>
      </c>
      <c r="D517" s="8">
        <f>D372*(inputs!$E$26*inputs!$E$27)</f>
        <v>3983011.7973581664</v>
      </c>
      <c r="E517" s="7" t="str">
        <f t="shared" ca="1" si="8"/>
        <v>=D372*(inputs!$E$26*inputs!$E$27)</v>
      </c>
    </row>
    <row r="518" spans="1:110" x14ac:dyDescent="0.3">
      <c r="A518" s="7" t="s">
        <v>32</v>
      </c>
      <c r="B518" s="7" t="s">
        <v>84</v>
      </c>
      <c r="C518" s="7" t="s">
        <v>857</v>
      </c>
      <c r="D518" s="8">
        <f>D373*(inputs!$E$26*inputs!$E$27)</f>
        <v>3863134.7432629196</v>
      </c>
      <c r="E518" s="7" t="str">
        <f t="shared" ca="1" si="8"/>
        <v>=D373*(inputs!$E$26*inputs!$E$27)</v>
      </c>
    </row>
    <row r="519" spans="1:110" x14ac:dyDescent="0.3">
      <c r="A519" s="7" t="s">
        <v>32</v>
      </c>
      <c r="B519" s="7" t="s">
        <v>84</v>
      </c>
      <c r="C519" s="7" t="s">
        <v>858</v>
      </c>
      <c r="D519" s="8">
        <f>D374*(inputs!$E$26*inputs!$E$27)</f>
        <v>3746865.6393394722</v>
      </c>
      <c r="E519" s="7" t="str">
        <f t="shared" ca="1" si="8"/>
        <v>=D374*(inputs!$E$26*inputs!$E$27)</v>
      </c>
    </row>
    <row r="520" spans="1:110" x14ac:dyDescent="0.3">
      <c r="A520" s="7" t="s">
        <v>32</v>
      </c>
      <c r="B520" s="7" t="s">
        <v>84</v>
      </c>
      <c r="C520" s="7" t="s">
        <v>859</v>
      </c>
      <c r="D520" s="8">
        <f>D375*(inputs!$E$26*inputs!$E$27)</f>
        <v>3634095.8967962461</v>
      </c>
      <c r="E520" s="7" t="str">
        <f t="shared" ca="1" si="8"/>
        <v>=D375*(inputs!$E$26*inputs!$E$27)</v>
      </c>
    </row>
    <row r="521" spans="1:110" x14ac:dyDescent="0.3">
      <c r="A521" s="7" t="s">
        <v>32</v>
      </c>
      <c r="B521" s="7" t="s">
        <v>84</v>
      </c>
      <c r="C521" s="7" t="s">
        <v>860</v>
      </c>
      <c r="D521" s="8">
        <f>D376*(inputs!$E$26*inputs!$E$27)</f>
        <v>3524720.19504801</v>
      </c>
      <c r="E521" s="7" t="str">
        <f t="shared" ca="1" si="8"/>
        <v>=D376*(inputs!$E$26*inputs!$E$27)</v>
      </c>
    </row>
    <row r="522" spans="1:110" x14ac:dyDescent="0.3">
      <c r="A522" s="7" t="s">
        <v>32</v>
      </c>
      <c r="B522" s="7" t="s">
        <v>84</v>
      </c>
      <c r="C522" s="7" t="s">
        <v>861</v>
      </c>
      <c r="D522" s="8">
        <f>D377*(inputs!$E$26*inputs!$E$27)</f>
        <v>3415214.3249105955</v>
      </c>
      <c r="E522" s="7" t="str">
        <f t="shared" ca="1" si="8"/>
        <v>=D377*(inputs!$E$26*inputs!$E$27)</v>
      </c>
    </row>
    <row r="523" spans="1:110" x14ac:dyDescent="0.3">
      <c r="A523" s="7" t="s">
        <v>32</v>
      </c>
      <c r="B523" s="7" t="s">
        <v>84</v>
      </c>
      <c r="C523" s="7" t="s">
        <v>862</v>
      </c>
      <c r="D523" s="8">
        <f>D378*(inputs!$E$26*inputs!$E$27)</f>
        <v>3309110.5788939563</v>
      </c>
      <c r="E523" s="7" t="str">
        <f t="shared" ca="1" si="8"/>
        <v>=D378*(inputs!$E$26*inputs!$E$27)</v>
      </c>
    </row>
    <row r="524" spans="1:110" x14ac:dyDescent="0.3">
      <c r="A524" s="7" t="s">
        <v>32</v>
      </c>
      <c r="B524" s="7" t="s">
        <v>84</v>
      </c>
      <c r="C524" s="7" t="s">
        <v>863</v>
      </c>
      <c r="D524" s="8">
        <f>D379*(inputs!$E$26*inputs!$E$27)</f>
        <v>3206303.2599380272</v>
      </c>
      <c r="E524" s="7" t="str">
        <f t="shared" ca="1" si="8"/>
        <v>=D379*(inputs!$E$26*inputs!$E$27)</v>
      </c>
    </row>
    <row r="525" spans="1:110" x14ac:dyDescent="0.3">
      <c r="A525" s="7" t="s">
        <v>32</v>
      </c>
      <c r="B525" s="7" t="s">
        <v>84</v>
      </c>
      <c r="C525" s="7" t="s">
        <v>864</v>
      </c>
      <c r="D525" s="8">
        <f>D380*(inputs!$E$26*inputs!$E$27)</f>
        <v>3106689.9547749041</v>
      </c>
      <c r="E525" s="7" t="str">
        <f t="shared" ca="1" si="8"/>
        <v>=D380*(inputs!$E$26*inputs!$E$27)</v>
      </c>
    </row>
    <row r="526" spans="1:110" x14ac:dyDescent="0.3">
      <c r="A526" s="7" t="s">
        <v>32</v>
      </c>
      <c r="B526" s="7" t="s">
        <v>84</v>
      </c>
      <c r="C526" s="7" t="s">
        <v>865</v>
      </c>
      <c r="D526" s="8">
        <f>D381*(inputs!$E$26*inputs!$E$27)</f>
        <v>3010171.4319081111</v>
      </c>
      <c r="E526" s="7" t="str">
        <f t="shared" ca="1" si="8"/>
        <v>=D381*(inputs!$E$26*inputs!$E$27)</v>
      </c>
    </row>
    <row r="527" spans="1:110" x14ac:dyDescent="0.3">
      <c r="A527" s="7" t="s">
        <v>32</v>
      </c>
      <c r="B527" s="7" t="s">
        <v>84</v>
      </c>
      <c r="C527" s="7" t="s">
        <v>866</v>
      </c>
      <c r="D527" s="8">
        <f>D382*(inputs!$E$26*inputs!$E$27)</f>
        <v>2916651.5427614516</v>
      </c>
      <c r="E527" s="7" t="str">
        <f t="shared" ca="1" si="8"/>
        <v>=D382*(inputs!$E$26*inputs!$E$27)</v>
      </c>
    </row>
    <row r="528" spans="1:110" x14ac:dyDescent="0.3">
      <c r="A528" s="7" t="s">
        <v>32</v>
      </c>
      <c r="B528" s="7" t="s">
        <v>84</v>
      </c>
      <c r="C528" s="7" t="s">
        <v>867</v>
      </c>
      <c r="D528" s="8">
        <f>D383*(inputs!$E$26*inputs!$E$27)</f>
        <v>2826037.12589896</v>
      </c>
      <c r="E528" s="7" t="str">
        <f t="shared" ca="1" si="8"/>
        <v>=D383*(inputs!$E$26*inputs!$E$27)</v>
      </c>
    </row>
    <row r="529" spans="1:6" x14ac:dyDescent="0.3">
      <c r="A529" s="7" t="s">
        <v>32</v>
      </c>
      <c r="B529" s="7" t="s">
        <v>84</v>
      </c>
      <c r="C529" s="7" t="s">
        <v>868</v>
      </c>
      <c r="D529" s="8">
        <f>D384*(inputs!$E$26*inputs!$E$27)</f>
        <v>2738237.9142205454</v>
      </c>
      <c r="E529" s="7" t="str">
        <f t="shared" ca="1" si="8"/>
        <v>=D384*(inputs!$E$26*inputs!$E$27)</v>
      </c>
    </row>
    <row r="530" spans="1:6" x14ac:dyDescent="0.3">
      <c r="A530" s="7" t="s">
        <v>32</v>
      </c>
      <c r="B530" s="7" t="s">
        <v>84</v>
      </c>
      <c r="C530" s="7" t="s">
        <v>869</v>
      </c>
      <c r="D530" s="8">
        <f>D385*(inputs!$E$26*inputs!$E$27)</f>
        <v>2653166.4450408788</v>
      </c>
      <c r="E530" s="7" t="str">
        <f t="shared" ca="1" si="8"/>
        <v>=D385*(inputs!$E$26*inputs!$E$27)</v>
      </c>
    </row>
    <row r="531" spans="1:6" x14ac:dyDescent="0.3">
      <c r="A531" s="7" t="s">
        <v>32</v>
      </c>
      <c r="B531" s="7" t="s">
        <v>84</v>
      </c>
      <c r="C531" s="7" t="s">
        <v>870</v>
      </c>
      <c r="D531" s="8">
        <f>D386*(inputs!$E$26*inputs!$E$27)</f>
        <v>2570737.972961938</v>
      </c>
      <c r="E531" s="7" t="str">
        <f t="shared" ca="1" si="8"/>
        <v>=D386*(inputs!$E$26*inputs!$E$27)</v>
      </c>
    </row>
    <row r="532" spans="1:6" x14ac:dyDescent="0.3">
      <c r="A532" s="7" t="s">
        <v>32</v>
      </c>
      <c r="B532" s="7" t="s">
        <v>84</v>
      </c>
      <c r="C532" s="7" t="s">
        <v>871</v>
      </c>
      <c r="D532" s="8">
        <f>D387*(inputs!$E$26*inputs!$E$27)</f>
        <v>2490870.3854524414</v>
      </c>
      <c r="E532" s="7" t="str">
        <f t="shared" ca="1" si="8"/>
        <v>=D387*(inputs!$E$26*inputs!$E$27)</v>
      </c>
    </row>
    <row r="533" spans="1:6" x14ac:dyDescent="0.3">
      <c r="A533" s="7" t="s">
        <v>32</v>
      </c>
      <c r="B533" s="7" t="s">
        <v>84</v>
      </c>
      <c r="C533" s="7" t="s">
        <v>872</v>
      </c>
      <c r="D533" s="8">
        <f>D388*(inputs!$E$26*inputs!$E$27)</f>
        <v>2413484.1210500356</v>
      </c>
      <c r="E533" s="7" t="str">
        <f t="shared" ca="1" si="8"/>
        <v>=D388*(inputs!$E$26*inputs!$E$27)</v>
      </c>
    </row>
    <row r="534" spans="1:6" x14ac:dyDescent="0.3">
      <c r="A534" s="7" t="s">
        <v>32</v>
      </c>
      <c r="B534" s="7" t="s">
        <v>84</v>
      </c>
      <c r="C534" s="7" t="s">
        <v>873</v>
      </c>
      <c r="D534" s="8">
        <f>D389*(inputs!$E$26*inputs!$E$27)</f>
        <v>2338502.0901047913</v>
      </c>
      <c r="E534" s="7" t="str">
        <f t="shared" ca="1" si="8"/>
        <v>=D389*(inputs!$E$26*inputs!$E$27)</v>
      </c>
    </row>
    <row r="535" spans="1:6" x14ac:dyDescent="0.3">
      <c r="A535" s="7" t="s">
        <v>32</v>
      </c>
      <c r="B535" s="7" t="s">
        <v>84</v>
      </c>
      <c r="C535" s="7" t="s">
        <v>874</v>
      </c>
      <c r="D535" s="8">
        <f>D390*(inputs!$E$26*inputs!$E$27)</f>
        <v>2265849.5979850311</v>
      </c>
      <c r="E535" s="7" t="str">
        <f t="shared" ca="1" si="8"/>
        <v>=D390*(inputs!$E$26*inputs!$E$27)</v>
      </c>
    </row>
    <row r="536" spans="1:6" x14ac:dyDescent="0.3">
      <c r="A536" s="7" t="s">
        <v>32</v>
      </c>
      <c r="B536" s="7" t="s">
        <v>84</v>
      </c>
      <c r="C536" s="7" t="s">
        <v>875</v>
      </c>
      <c r="D536" s="8">
        <f>D391*(inputs!$E$26*inputs!$E$27)</f>
        <v>2195454.2706689914</v>
      </c>
      <c r="E536" s="7" t="str">
        <f t="shared" ref="E536:E599" ca="1" si="9">_xlfn.FORMULATEXT(D536)</f>
        <v>=D391*(inputs!$E$26*inputs!$E$27)</v>
      </c>
    </row>
    <row r="537" spans="1:6" s="14" customFormat="1" x14ac:dyDescent="0.3">
      <c r="A537" s="14" t="s">
        <v>32</v>
      </c>
      <c r="B537" s="14" t="s">
        <v>84</v>
      </c>
      <c r="C537" s="14" t="s">
        <v>876</v>
      </c>
      <c r="D537" s="15">
        <f>D392*(inputs!$E$26*inputs!$E$27)</f>
        <v>0</v>
      </c>
      <c r="E537" s="14" t="str">
        <f t="shared" ca="1" si="9"/>
        <v>=D392*(inputs!$E$26*inputs!$E$27)</v>
      </c>
      <c r="F537"/>
    </row>
    <row r="538" spans="1:6" s="14" customFormat="1" x14ac:dyDescent="0.3">
      <c r="A538" s="14" t="s">
        <v>32</v>
      </c>
      <c r="B538" s="14" t="s">
        <v>84</v>
      </c>
      <c r="C538" s="14" t="s">
        <v>877</v>
      </c>
      <c r="D538" s="15">
        <f>D393*(inputs!$E$26*inputs!$E$27)</f>
        <v>0</v>
      </c>
      <c r="E538" s="14" t="str">
        <f t="shared" ca="1" si="9"/>
        <v>=D393*(inputs!$E$26*inputs!$E$27)</v>
      </c>
      <c r="F538"/>
    </row>
    <row r="539" spans="1:6" s="14" customFormat="1" x14ac:dyDescent="0.3">
      <c r="A539" s="14" t="s">
        <v>32</v>
      </c>
      <c r="B539" s="14" t="s">
        <v>84</v>
      </c>
      <c r="C539" s="14" t="s">
        <v>878</v>
      </c>
      <c r="D539" s="15">
        <f>D394*(inputs!$E$26*inputs!$E$27)</f>
        <v>0</v>
      </c>
      <c r="E539" s="14" t="str">
        <f t="shared" ca="1" si="9"/>
        <v>=D394*(inputs!$E$26*inputs!$E$27)</v>
      </c>
      <c r="F539"/>
    </row>
    <row r="540" spans="1:6" s="14" customFormat="1" x14ac:dyDescent="0.3">
      <c r="A540" s="14" t="s">
        <v>32</v>
      </c>
      <c r="B540" s="14" t="s">
        <v>84</v>
      </c>
      <c r="C540" s="14" t="s">
        <v>879</v>
      </c>
      <c r="D540" s="15">
        <f>D395*(inputs!$E$26*inputs!$E$27)</f>
        <v>0</v>
      </c>
      <c r="E540" s="14" t="str">
        <f t="shared" ca="1" si="9"/>
        <v>=D395*(inputs!$E$26*inputs!$E$27)</v>
      </c>
      <c r="F540"/>
    </row>
    <row r="541" spans="1:6" s="14" customFormat="1" x14ac:dyDescent="0.3">
      <c r="A541" s="14" t="s">
        <v>32</v>
      </c>
      <c r="B541" s="14" t="s">
        <v>84</v>
      </c>
      <c r="C541" s="14" t="s">
        <v>880</v>
      </c>
      <c r="D541" s="15">
        <f>D396*(inputs!$E$26*inputs!$E$27)</f>
        <v>0</v>
      </c>
      <c r="E541" s="14" t="str">
        <f t="shared" ca="1" si="9"/>
        <v>=D396*(inputs!$E$26*inputs!$E$27)</v>
      </c>
      <c r="F541"/>
    </row>
    <row r="542" spans="1:6" s="14" customFormat="1" x14ac:dyDescent="0.3">
      <c r="A542" s="14" t="s">
        <v>32</v>
      </c>
      <c r="B542" s="14" t="s">
        <v>84</v>
      </c>
      <c r="C542" s="14" t="s">
        <v>881</v>
      </c>
      <c r="D542" s="15">
        <f>D397*(inputs!$E$26*inputs!$E$27)</f>
        <v>0</v>
      </c>
      <c r="E542" s="14" t="str">
        <f t="shared" ca="1" si="9"/>
        <v>=D397*(inputs!$E$26*inputs!$E$27)</v>
      </c>
      <c r="F542"/>
    </row>
    <row r="543" spans="1:6" s="14" customFormat="1" x14ac:dyDescent="0.3">
      <c r="A543" s="14" t="s">
        <v>32</v>
      </c>
      <c r="B543" s="14" t="s">
        <v>84</v>
      </c>
      <c r="C543" s="14" t="s">
        <v>882</v>
      </c>
      <c r="D543" s="15">
        <f>D398*(inputs!$E$26*inputs!$E$27)</f>
        <v>0</v>
      </c>
      <c r="E543" s="14" t="str">
        <f t="shared" ca="1" si="9"/>
        <v>=D398*(inputs!$E$26*inputs!$E$27)</v>
      </c>
      <c r="F543"/>
    </row>
    <row r="544" spans="1:6" s="14" customFormat="1" x14ac:dyDescent="0.3">
      <c r="A544" s="14" t="s">
        <v>32</v>
      </c>
      <c r="B544" s="14" t="s">
        <v>84</v>
      </c>
      <c r="C544" s="14" t="s">
        <v>883</v>
      </c>
      <c r="D544" s="15">
        <f>D399*(inputs!$E$26*inputs!$E$27)</f>
        <v>0</v>
      </c>
      <c r="E544" s="14" t="str">
        <f t="shared" ca="1" si="9"/>
        <v>=D399*(inputs!$E$26*inputs!$E$27)</v>
      </c>
      <c r="F544"/>
    </row>
    <row r="545" spans="1:6" s="14" customFormat="1" x14ac:dyDescent="0.3">
      <c r="A545" s="14" t="s">
        <v>32</v>
      </c>
      <c r="B545" s="14" t="s">
        <v>84</v>
      </c>
      <c r="C545" s="14" t="s">
        <v>884</v>
      </c>
      <c r="D545" s="15">
        <f>D400*(inputs!$E$26*inputs!$E$27)</f>
        <v>0</v>
      </c>
      <c r="E545" s="14" t="str">
        <f t="shared" ca="1" si="9"/>
        <v>=D400*(inputs!$E$26*inputs!$E$27)</v>
      </c>
      <c r="F545"/>
    </row>
    <row r="546" spans="1:6" s="14" customFormat="1" x14ac:dyDescent="0.3">
      <c r="A546" s="14" t="s">
        <v>32</v>
      </c>
      <c r="B546" s="14" t="s">
        <v>84</v>
      </c>
      <c r="C546" s="14" t="s">
        <v>885</v>
      </c>
      <c r="D546" s="15">
        <f>D401*(inputs!$E$26*inputs!$E$27)</f>
        <v>0</v>
      </c>
      <c r="E546" s="14" t="str">
        <f t="shared" ca="1" si="9"/>
        <v>=D401*(inputs!$E$26*inputs!$E$27)</v>
      </c>
      <c r="F546"/>
    </row>
    <row r="547" spans="1:6" s="14" customFormat="1" x14ac:dyDescent="0.3">
      <c r="A547" s="14" t="s">
        <v>32</v>
      </c>
      <c r="B547" s="14" t="s">
        <v>84</v>
      </c>
      <c r="C547" s="14" t="s">
        <v>886</v>
      </c>
      <c r="D547" s="15">
        <f>D402*(inputs!$E$26*inputs!$E$27)</f>
        <v>0</v>
      </c>
      <c r="E547" s="14" t="str">
        <f t="shared" ca="1" si="9"/>
        <v>=D402*(inputs!$E$26*inputs!$E$27)</v>
      </c>
      <c r="F547"/>
    </row>
    <row r="548" spans="1:6" s="14" customFormat="1" x14ac:dyDescent="0.3">
      <c r="A548" s="14" t="s">
        <v>32</v>
      </c>
      <c r="B548" s="14" t="s">
        <v>84</v>
      </c>
      <c r="C548" s="14" t="s">
        <v>887</v>
      </c>
      <c r="D548" s="15">
        <f>D403*(inputs!$E$26*inputs!$E$27)</f>
        <v>0</v>
      </c>
      <c r="E548" s="14" t="str">
        <f t="shared" ca="1" si="9"/>
        <v>=D403*(inputs!$E$26*inputs!$E$27)</v>
      </c>
      <c r="F548"/>
    </row>
    <row r="549" spans="1:6" s="14" customFormat="1" x14ac:dyDescent="0.3">
      <c r="A549" s="14" t="s">
        <v>32</v>
      </c>
      <c r="B549" s="14" t="s">
        <v>84</v>
      </c>
      <c r="C549" s="14" t="s">
        <v>888</v>
      </c>
      <c r="D549" s="15">
        <f>D404*(inputs!$E$26*inputs!$E$27)</f>
        <v>0</v>
      </c>
      <c r="E549" s="14" t="str">
        <f t="shared" ca="1" si="9"/>
        <v>=D404*(inputs!$E$26*inputs!$E$27)</v>
      </c>
      <c r="F549"/>
    </row>
    <row r="550" spans="1:6" s="14" customFormat="1" x14ac:dyDescent="0.3">
      <c r="A550" s="14" t="s">
        <v>32</v>
      </c>
      <c r="B550" s="14" t="s">
        <v>84</v>
      </c>
      <c r="C550" s="14" t="s">
        <v>889</v>
      </c>
      <c r="D550" s="15">
        <f>D405*(inputs!$E$26*inputs!$E$27)</f>
        <v>0</v>
      </c>
      <c r="E550" s="14" t="str">
        <f t="shared" ca="1" si="9"/>
        <v>=D405*(inputs!$E$26*inputs!$E$27)</v>
      </c>
      <c r="F550"/>
    </row>
    <row r="551" spans="1:6" s="14" customFormat="1" x14ac:dyDescent="0.3">
      <c r="A551" s="14" t="s">
        <v>32</v>
      </c>
      <c r="B551" s="14" t="s">
        <v>84</v>
      </c>
      <c r="C551" s="14" t="s">
        <v>890</v>
      </c>
      <c r="D551" s="15">
        <f>D406*(inputs!$E$26*inputs!$E$27)</f>
        <v>0</v>
      </c>
      <c r="E551" s="14" t="str">
        <f t="shared" ca="1" si="9"/>
        <v>=D406*(inputs!$E$26*inputs!$E$27)</v>
      </c>
      <c r="F551"/>
    </row>
    <row r="552" spans="1:6" s="14" customFormat="1" x14ac:dyDescent="0.3">
      <c r="A552" s="14" t="s">
        <v>32</v>
      </c>
      <c r="B552" s="14" t="s">
        <v>84</v>
      </c>
      <c r="C552" s="14" t="s">
        <v>891</v>
      </c>
      <c r="D552" s="15">
        <f>D407*(inputs!$E$26*inputs!$E$27)</f>
        <v>0</v>
      </c>
      <c r="E552" s="14" t="str">
        <f t="shared" ca="1" si="9"/>
        <v>=D407*(inputs!$E$26*inputs!$E$27)</v>
      </c>
      <c r="F552"/>
    </row>
    <row r="553" spans="1:6" s="14" customFormat="1" x14ac:dyDescent="0.3">
      <c r="A553" s="14" t="s">
        <v>32</v>
      </c>
      <c r="B553" s="14" t="s">
        <v>84</v>
      </c>
      <c r="C553" s="14" t="s">
        <v>892</v>
      </c>
      <c r="D553" s="15">
        <f>D408*(inputs!$E$26*inputs!$E$27)</f>
        <v>0</v>
      </c>
      <c r="E553" s="14" t="str">
        <f t="shared" ca="1" si="9"/>
        <v>=D408*(inputs!$E$26*inputs!$E$27)</v>
      </c>
      <c r="F553"/>
    </row>
    <row r="554" spans="1:6" s="14" customFormat="1" x14ac:dyDescent="0.3">
      <c r="A554" s="14" t="s">
        <v>32</v>
      </c>
      <c r="B554" s="14" t="s">
        <v>84</v>
      </c>
      <c r="C554" s="14" t="s">
        <v>893</v>
      </c>
      <c r="D554" s="15">
        <f>D409*(inputs!$E$26*inputs!$E$27)</f>
        <v>0</v>
      </c>
      <c r="E554" s="14" t="str">
        <f t="shared" ca="1" si="9"/>
        <v>=D409*(inputs!$E$26*inputs!$E$27)</v>
      </c>
      <c r="F554"/>
    </row>
    <row r="555" spans="1:6" s="14" customFormat="1" x14ac:dyDescent="0.3">
      <c r="A555" s="14" t="s">
        <v>32</v>
      </c>
      <c r="B555" s="14" t="s">
        <v>84</v>
      </c>
      <c r="C555" s="14" t="s">
        <v>894</v>
      </c>
      <c r="D555" s="15">
        <f>D410*(inputs!$E$26*inputs!$E$27)</f>
        <v>0</v>
      </c>
      <c r="E555" s="14" t="str">
        <f t="shared" ca="1" si="9"/>
        <v>=D410*(inputs!$E$26*inputs!$E$27)</v>
      </c>
      <c r="F555"/>
    </row>
    <row r="556" spans="1:6" s="14" customFormat="1" x14ac:dyDescent="0.3">
      <c r="A556" s="14" t="s">
        <v>32</v>
      </c>
      <c r="B556" s="14" t="s">
        <v>84</v>
      </c>
      <c r="C556" s="14" t="s">
        <v>895</v>
      </c>
      <c r="D556" s="15">
        <f>D411*(inputs!$E$26*inputs!$E$27)</f>
        <v>0</v>
      </c>
      <c r="E556" s="14" t="str">
        <f t="shared" ca="1" si="9"/>
        <v>=D411*(inputs!$E$26*inputs!$E$27)</v>
      </c>
      <c r="F556"/>
    </row>
    <row r="557" spans="1:6" s="14" customFormat="1" x14ac:dyDescent="0.3">
      <c r="A557" s="14" t="s">
        <v>32</v>
      </c>
      <c r="B557" s="14" t="s">
        <v>84</v>
      </c>
      <c r="C557" s="14" t="s">
        <v>896</v>
      </c>
      <c r="D557" s="15">
        <f>D412*(inputs!$E$26*inputs!$E$27)</f>
        <v>0</v>
      </c>
      <c r="E557" s="14" t="str">
        <f t="shared" ca="1" si="9"/>
        <v>=D412*(inputs!$E$26*inputs!$E$27)</v>
      </c>
      <c r="F557"/>
    </row>
    <row r="558" spans="1:6" s="14" customFormat="1" x14ac:dyDescent="0.3">
      <c r="A558" s="14" t="s">
        <v>32</v>
      </c>
      <c r="B558" s="14" t="s">
        <v>84</v>
      </c>
      <c r="C558" s="14" t="s">
        <v>897</v>
      </c>
      <c r="D558" s="15">
        <f>D413*(inputs!$E$26*inputs!$E$27)</f>
        <v>0</v>
      </c>
      <c r="E558" s="14" t="str">
        <f t="shared" ca="1" si="9"/>
        <v>=D413*(inputs!$E$26*inputs!$E$27)</v>
      </c>
      <c r="F558"/>
    </row>
    <row r="559" spans="1:6" s="14" customFormat="1" x14ac:dyDescent="0.3">
      <c r="A559" s="14" t="s">
        <v>32</v>
      </c>
      <c r="B559" s="14" t="s">
        <v>84</v>
      </c>
      <c r="C559" s="14" t="s">
        <v>898</v>
      </c>
      <c r="D559" s="15">
        <f>D414*(inputs!$E$26*inputs!$E$27)</f>
        <v>0</v>
      </c>
      <c r="E559" s="14" t="str">
        <f t="shared" ca="1" si="9"/>
        <v>=D414*(inputs!$E$26*inputs!$E$27)</v>
      </c>
      <c r="F559"/>
    </row>
    <row r="560" spans="1:6" s="14" customFormat="1" x14ac:dyDescent="0.3">
      <c r="A560" s="14" t="s">
        <v>32</v>
      </c>
      <c r="B560" s="14" t="s">
        <v>84</v>
      </c>
      <c r="C560" s="14" t="s">
        <v>899</v>
      </c>
      <c r="D560" s="15">
        <f>D415*(inputs!$E$26*inputs!$E$27)</f>
        <v>0</v>
      </c>
      <c r="E560" s="14" t="str">
        <f t="shared" ca="1" si="9"/>
        <v>=D415*(inputs!$E$26*inputs!$E$27)</v>
      </c>
      <c r="F560"/>
    </row>
    <row r="561" spans="1:6" s="14" customFormat="1" x14ac:dyDescent="0.3">
      <c r="A561" s="14" t="s">
        <v>32</v>
      </c>
      <c r="B561" s="14" t="s">
        <v>84</v>
      </c>
      <c r="C561" s="14" t="s">
        <v>900</v>
      </c>
      <c r="D561" s="15">
        <f>D416*(inputs!$E$26*inputs!$E$27)</f>
        <v>0</v>
      </c>
      <c r="E561" s="14" t="str">
        <f t="shared" ca="1" si="9"/>
        <v>=D416*(inputs!$E$26*inputs!$E$27)</v>
      </c>
      <c r="F561"/>
    </row>
    <row r="562" spans="1:6" s="14" customFormat="1" x14ac:dyDescent="0.3">
      <c r="A562" s="14" t="s">
        <v>32</v>
      </c>
      <c r="B562" s="14" t="s">
        <v>84</v>
      </c>
      <c r="C562" s="14" t="s">
        <v>901</v>
      </c>
      <c r="D562" s="15">
        <f>D417*(inputs!$E$26*inputs!$E$27)</f>
        <v>0</v>
      </c>
      <c r="E562" s="14" t="str">
        <f t="shared" ca="1" si="9"/>
        <v>=D417*(inputs!$E$26*inputs!$E$27)</v>
      </c>
      <c r="F562"/>
    </row>
    <row r="563" spans="1:6" s="14" customFormat="1" x14ac:dyDescent="0.3">
      <c r="A563" s="14" t="s">
        <v>32</v>
      </c>
      <c r="B563" s="14" t="s">
        <v>84</v>
      </c>
      <c r="C563" s="14" t="s">
        <v>902</v>
      </c>
      <c r="D563" s="15">
        <f>D418*(inputs!$E$26*inputs!$E$27)</f>
        <v>0</v>
      </c>
      <c r="E563" s="14" t="str">
        <f t="shared" ca="1" si="9"/>
        <v>=D418*(inputs!$E$26*inputs!$E$27)</v>
      </c>
      <c r="F563"/>
    </row>
    <row r="564" spans="1:6" s="14" customFormat="1" x14ac:dyDescent="0.3">
      <c r="A564" s="14" t="s">
        <v>32</v>
      </c>
      <c r="B564" s="14" t="s">
        <v>84</v>
      </c>
      <c r="C564" s="14" t="s">
        <v>903</v>
      </c>
      <c r="D564" s="15">
        <f>D419*(inputs!$E$26*inputs!$E$27)</f>
        <v>0</v>
      </c>
      <c r="E564" s="14" t="str">
        <f t="shared" ca="1" si="9"/>
        <v>=D419*(inputs!$E$26*inputs!$E$27)</v>
      </c>
      <c r="F564"/>
    </row>
    <row r="565" spans="1:6" s="14" customFormat="1" x14ac:dyDescent="0.3">
      <c r="A565" s="14" t="s">
        <v>32</v>
      </c>
      <c r="B565" s="14" t="s">
        <v>84</v>
      </c>
      <c r="C565" s="14" t="s">
        <v>904</v>
      </c>
      <c r="D565" s="15">
        <f>D420*(inputs!$E$26*inputs!$E$27)</f>
        <v>0</v>
      </c>
      <c r="E565" s="14" t="str">
        <f t="shared" ca="1" si="9"/>
        <v>=D420*(inputs!$E$26*inputs!$E$27)</v>
      </c>
      <c r="F565"/>
    </row>
    <row r="566" spans="1:6" s="14" customFormat="1" x14ac:dyDescent="0.3">
      <c r="A566" s="14" t="s">
        <v>32</v>
      </c>
      <c r="B566" s="14" t="s">
        <v>84</v>
      </c>
      <c r="C566" s="14" t="s">
        <v>905</v>
      </c>
      <c r="D566" s="15">
        <f>D421*(inputs!$E$26*inputs!$E$27)</f>
        <v>0</v>
      </c>
      <c r="E566" s="14" t="str">
        <f t="shared" ca="1" si="9"/>
        <v>=D421*(inputs!$E$26*inputs!$E$27)</v>
      </c>
      <c r="F566"/>
    </row>
    <row r="567" spans="1:6" s="14" customFormat="1" x14ac:dyDescent="0.3">
      <c r="A567" s="14" t="s">
        <v>32</v>
      </c>
      <c r="B567" s="14" t="s">
        <v>84</v>
      </c>
      <c r="C567" s="14" t="s">
        <v>906</v>
      </c>
      <c r="D567" s="15">
        <f>D422*(inputs!$E$26*inputs!$E$27)</f>
        <v>0</v>
      </c>
      <c r="E567" s="14" t="str">
        <f t="shared" ca="1" si="9"/>
        <v>=D422*(inputs!$E$26*inputs!$E$27)</v>
      </c>
      <c r="F567"/>
    </row>
    <row r="568" spans="1:6" s="14" customFormat="1" x14ac:dyDescent="0.3">
      <c r="A568" s="14" t="s">
        <v>32</v>
      </c>
      <c r="B568" s="14" t="s">
        <v>84</v>
      </c>
      <c r="C568" s="14" t="s">
        <v>907</v>
      </c>
      <c r="D568" s="15">
        <f>D423*(inputs!$E$26*inputs!$E$27)</f>
        <v>0</v>
      </c>
      <c r="E568" s="14" t="str">
        <f t="shared" ca="1" si="9"/>
        <v>=D423*(inputs!$E$26*inputs!$E$27)</v>
      </c>
      <c r="F568"/>
    </row>
    <row r="569" spans="1:6" s="14" customFormat="1" x14ac:dyDescent="0.3">
      <c r="A569" s="14" t="s">
        <v>32</v>
      </c>
      <c r="B569" s="14" t="s">
        <v>84</v>
      </c>
      <c r="C569" s="14" t="s">
        <v>908</v>
      </c>
      <c r="D569" s="15">
        <f>D424*(inputs!$E$26*inputs!$E$27)</f>
        <v>0</v>
      </c>
      <c r="E569" s="14" t="str">
        <f t="shared" ca="1" si="9"/>
        <v>=D424*(inputs!$E$26*inputs!$E$27)</v>
      </c>
      <c r="F569"/>
    </row>
    <row r="570" spans="1:6" s="14" customFormat="1" x14ac:dyDescent="0.3">
      <c r="A570" s="14" t="s">
        <v>32</v>
      </c>
      <c r="B570" s="14" t="s">
        <v>84</v>
      </c>
      <c r="C570" s="14" t="s">
        <v>909</v>
      </c>
      <c r="D570" s="15">
        <f>D425*(inputs!$E$26*inputs!$E$27)</f>
        <v>0</v>
      </c>
      <c r="E570" s="14" t="str">
        <f t="shared" ca="1" si="9"/>
        <v>=D425*(inputs!$E$26*inputs!$E$27)</v>
      </c>
      <c r="F570"/>
    </row>
    <row r="571" spans="1:6" s="14" customFormat="1" x14ac:dyDescent="0.3">
      <c r="A571" s="14" t="s">
        <v>32</v>
      </c>
      <c r="B571" s="14" t="s">
        <v>84</v>
      </c>
      <c r="C571" s="14" t="s">
        <v>910</v>
      </c>
      <c r="D571" s="15">
        <f>D426*(inputs!$E$26*inputs!$E$27)</f>
        <v>0</v>
      </c>
      <c r="E571" s="14" t="str">
        <f t="shared" ca="1" si="9"/>
        <v>=D426*(inputs!$E$26*inputs!$E$27)</v>
      </c>
      <c r="F571"/>
    </row>
    <row r="572" spans="1:6" s="14" customFormat="1" x14ac:dyDescent="0.3">
      <c r="A572" s="14" t="s">
        <v>32</v>
      </c>
      <c r="B572" s="14" t="s">
        <v>84</v>
      </c>
      <c r="C572" s="14" t="s">
        <v>911</v>
      </c>
      <c r="D572" s="15">
        <f>D427*(inputs!$E$26*inputs!$E$27)</f>
        <v>0</v>
      </c>
      <c r="E572" s="14" t="str">
        <f t="shared" ca="1" si="9"/>
        <v>=D427*(inputs!$E$26*inputs!$E$27)</v>
      </c>
      <c r="F572"/>
    </row>
    <row r="573" spans="1:6" s="14" customFormat="1" x14ac:dyDescent="0.3">
      <c r="A573" s="14" t="s">
        <v>32</v>
      </c>
      <c r="B573" s="14" t="s">
        <v>84</v>
      </c>
      <c r="C573" s="14" t="s">
        <v>912</v>
      </c>
      <c r="D573" s="15">
        <f>D428*(inputs!$E$26*inputs!$E$27)</f>
        <v>0</v>
      </c>
      <c r="E573" s="14" t="str">
        <f t="shared" ca="1" si="9"/>
        <v>=D428*(inputs!$E$26*inputs!$E$27)</v>
      </c>
      <c r="F573"/>
    </row>
    <row r="574" spans="1:6" s="14" customFormat="1" x14ac:dyDescent="0.3">
      <c r="A574" s="14" t="s">
        <v>32</v>
      </c>
      <c r="B574" s="14" t="s">
        <v>84</v>
      </c>
      <c r="C574" s="14" t="s">
        <v>913</v>
      </c>
      <c r="D574" s="15">
        <f>D429*(inputs!$E$26*inputs!$E$27)</f>
        <v>0</v>
      </c>
      <c r="E574" s="14" t="str">
        <f t="shared" ca="1" si="9"/>
        <v>=D429*(inputs!$E$26*inputs!$E$27)</v>
      </c>
      <c r="F574"/>
    </row>
    <row r="575" spans="1:6" s="14" customFormat="1" x14ac:dyDescent="0.3">
      <c r="A575" s="14" t="s">
        <v>32</v>
      </c>
      <c r="B575" s="14" t="s">
        <v>84</v>
      </c>
      <c r="C575" s="14" t="s">
        <v>914</v>
      </c>
      <c r="D575" s="15">
        <f>D430*(inputs!$E$26*inputs!$E$27)</f>
        <v>0</v>
      </c>
      <c r="E575" s="14" t="str">
        <f t="shared" ca="1" si="9"/>
        <v>=D430*(inputs!$E$26*inputs!$E$27)</v>
      </c>
      <c r="F575"/>
    </row>
    <row r="576" spans="1:6" s="14" customFormat="1" x14ac:dyDescent="0.3">
      <c r="A576" s="14" t="s">
        <v>32</v>
      </c>
      <c r="B576" s="14" t="s">
        <v>84</v>
      </c>
      <c r="C576" s="14" t="s">
        <v>915</v>
      </c>
      <c r="D576" s="15">
        <f>D431*(inputs!$E$26*inputs!$E$27)</f>
        <v>0</v>
      </c>
      <c r="E576" s="14" t="str">
        <f t="shared" ca="1" si="9"/>
        <v>=D431*(inputs!$E$26*inputs!$E$27)</v>
      </c>
      <c r="F576"/>
    </row>
    <row r="577" spans="1:6" s="14" customFormat="1" x14ac:dyDescent="0.3">
      <c r="A577" s="14" t="s">
        <v>32</v>
      </c>
      <c r="B577" s="14" t="s">
        <v>84</v>
      </c>
      <c r="C577" s="14" t="s">
        <v>916</v>
      </c>
      <c r="D577" s="15">
        <f>D432*(inputs!$E$26*inputs!$E$27)</f>
        <v>0</v>
      </c>
      <c r="E577" s="14" t="str">
        <f t="shared" ca="1" si="9"/>
        <v>=D432*(inputs!$E$26*inputs!$E$27)</v>
      </c>
      <c r="F577"/>
    </row>
    <row r="578" spans="1:6" s="14" customFormat="1" x14ac:dyDescent="0.3">
      <c r="A578" s="14" t="s">
        <v>32</v>
      </c>
      <c r="B578" s="14" t="s">
        <v>84</v>
      </c>
      <c r="C578" s="14" t="s">
        <v>917</v>
      </c>
      <c r="D578" s="15">
        <f>D433*(inputs!$E$26*inputs!$E$27)</f>
        <v>0</v>
      </c>
      <c r="E578" s="14" t="str">
        <f t="shared" ca="1" si="9"/>
        <v>=D433*(inputs!$E$26*inputs!$E$27)</v>
      </c>
      <c r="F578"/>
    </row>
    <row r="579" spans="1:6" s="14" customFormat="1" x14ac:dyDescent="0.3">
      <c r="A579" s="14" t="s">
        <v>32</v>
      </c>
      <c r="B579" s="14" t="s">
        <v>84</v>
      </c>
      <c r="C579" s="14" t="s">
        <v>918</v>
      </c>
      <c r="D579" s="15">
        <f>D434*(inputs!$E$26*inputs!$E$27)</f>
        <v>0</v>
      </c>
      <c r="E579" s="14" t="str">
        <f t="shared" ca="1" si="9"/>
        <v>=D434*(inputs!$E$26*inputs!$E$27)</v>
      </c>
      <c r="F579"/>
    </row>
    <row r="580" spans="1:6" s="14" customFormat="1" x14ac:dyDescent="0.3">
      <c r="A580" s="14" t="s">
        <v>32</v>
      </c>
      <c r="B580" s="14" t="s">
        <v>84</v>
      </c>
      <c r="C580" s="14" t="s">
        <v>919</v>
      </c>
      <c r="D580" s="15">
        <f>D435*(inputs!$E$26*inputs!$E$27)</f>
        <v>0</v>
      </c>
      <c r="E580" s="14" t="str">
        <f t="shared" ca="1" si="9"/>
        <v>=D435*(inputs!$E$26*inputs!$E$27)</v>
      </c>
      <c r="F580"/>
    </row>
    <row r="581" spans="1:6" s="14" customFormat="1" x14ac:dyDescent="0.3">
      <c r="A581" s="14" t="s">
        <v>32</v>
      </c>
      <c r="B581" s="14" t="s">
        <v>84</v>
      </c>
      <c r="C581" s="14" t="s">
        <v>920</v>
      </c>
      <c r="D581" s="15">
        <f>D436*(inputs!$E$26*inputs!$E$27)</f>
        <v>0</v>
      </c>
      <c r="E581" s="14" t="str">
        <f t="shared" ca="1" si="9"/>
        <v>=D436*(inputs!$E$26*inputs!$E$27)</v>
      </c>
      <c r="F581"/>
    </row>
    <row r="582" spans="1:6" s="14" customFormat="1" x14ac:dyDescent="0.3">
      <c r="A582" s="14" t="s">
        <v>32</v>
      </c>
      <c r="B582" s="14" t="s">
        <v>84</v>
      </c>
      <c r="C582" s="14" t="s">
        <v>921</v>
      </c>
      <c r="D582" s="15">
        <f>D437*(inputs!$E$26*inputs!$E$27)</f>
        <v>0</v>
      </c>
      <c r="E582" s="14" t="str">
        <f t="shared" ca="1" si="9"/>
        <v>=D437*(inputs!$E$26*inputs!$E$27)</v>
      </c>
      <c r="F582"/>
    </row>
    <row r="583" spans="1:6" s="14" customFormat="1" x14ac:dyDescent="0.3">
      <c r="A583" s="14" t="s">
        <v>32</v>
      </c>
      <c r="B583" s="14" t="s">
        <v>84</v>
      </c>
      <c r="C583" s="14" t="s">
        <v>922</v>
      </c>
      <c r="D583" s="15">
        <f>D438*(inputs!$E$26*inputs!$E$27)</f>
        <v>0</v>
      </c>
      <c r="E583" s="14" t="str">
        <f t="shared" ca="1" si="9"/>
        <v>=D438*(inputs!$E$26*inputs!$E$27)</v>
      </c>
      <c r="F583"/>
    </row>
    <row r="584" spans="1:6" s="14" customFormat="1" x14ac:dyDescent="0.3">
      <c r="A584" s="14" t="s">
        <v>32</v>
      </c>
      <c r="B584" s="14" t="s">
        <v>84</v>
      </c>
      <c r="C584" s="14" t="s">
        <v>923</v>
      </c>
      <c r="D584" s="15">
        <f>D439*(inputs!$E$26*inputs!$E$27)</f>
        <v>0</v>
      </c>
      <c r="E584" s="14" t="str">
        <f t="shared" ca="1" si="9"/>
        <v>=D439*(inputs!$E$26*inputs!$E$27)</v>
      </c>
      <c r="F584"/>
    </row>
    <row r="585" spans="1:6" s="14" customFormat="1" x14ac:dyDescent="0.3">
      <c r="A585" s="14" t="s">
        <v>32</v>
      </c>
      <c r="B585" s="14" t="s">
        <v>84</v>
      </c>
      <c r="C585" s="14" t="s">
        <v>924</v>
      </c>
      <c r="D585" s="15">
        <f>D440*(inputs!$E$26*inputs!$E$27)</f>
        <v>0</v>
      </c>
      <c r="E585" s="14" t="str">
        <f t="shared" ca="1" si="9"/>
        <v>=D440*(inputs!$E$26*inputs!$E$27)</v>
      </c>
      <c r="F585"/>
    </row>
    <row r="586" spans="1:6" s="14" customFormat="1" x14ac:dyDescent="0.3">
      <c r="A586" s="14" t="s">
        <v>32</v>
      </c>
      <c r="B586" s="14" t="s">
        <v>84</v>
      </c>
      <c r="C586" s="14" t="s">
        <v>925</v>
      </c>
      <c r="D586" s="15">
        <f>D441*(inputs!$E$26*inputs!$E$27)</f>
        <v>0</v>
      </c>
      <c r="E586" s="14" t="str">
        <f t="shared" ca="1" si="9"/>
        <v>=D441*(inputs!$E$26*inputs!$E$27)</v>
      </c>
      <c r="F586"/>
    </row>
    <row r="587" spans="1:6" s="14" customFormat="1" x14ac:dyDescent="0.3">
      <c r="A587" s="14" t="s">
        <v>32</v>
      </c>
      <c r="B587" s="14" t="s">
        <v>84</v>
      </c>
      <c r="C587" s="14" t="s">
        <v>926</v>
      </c>
      <c r="D587" s="15">
        <f>D442*(inputs!$E$26*inputs!$E$27)</f>
        <v>0</v>
      </c>
      <c r="E587" s="14" t="str">
        <f t="shared" ca="1" si="9"/>
        <v>=D442*(inputs!$E$26*inputs!$E$27)</v>
      </c>
      <c r="F587"/>
    </row>
    <row r="588" spans="1:6" s="14" customFormat="1" x14ac:dyDescent="0.3">
      <c r="A588" s="14" t="s">
        <v>32</v>
      </c>
      <c r="B588" s="14" t="s">
        <v>84</v>
      </c>
      <c r="C588" s="14" t="s">
        <v>927</v>
      </c>
      <c r="D588" s="15">
        <f>D443*(inputs!$E$26*inputs!$E$27)</f>
        <v>0</v>
      </c>
      <c r="E588" s="14" t="str">
        <f t="shared" ca="1" si="9"/>
        <v>=D443*(inputs!$E$26*inputs!$E$27)</v>
      </c>
      <c r="F588"/>
    </row>
    <row r="589" spans="1:6" s="14" customFormat="1" x14ac:dyDescent="0.3">
      <c r="A589" s="14" t="s">
        <v>32</v>
      </c>
      <c r="B589" s="14" t="s">
        <v>84</v>
      </c>
      <c r="C589" s="14" t="s">
        <v>928</v>
      </c>
      <c r="D589" s="15">
        <f>D444*(inputs!$E$26*inputs!$E$27)</f>
        <v>0</v>
      </c>
      <c r="E589" s="14" t="str">
        <f t="shared" ca="1" si="9"/>
        <v>=D444*(inputs!$E$26*inputs!$E$27)</v>
      </c>
      <c r="F589"/>
    </row>
    <row r="590" spans="1:6" s="14" customFormat="1" x14ac:dyDescent="0.3">
      <c r="A590" s="14" t="s">
        <v>32</v>
      </c>
      <c r="B590" s="14" t="s">
        <v>84</v>
      </c>
      <c r="C590" s="14" t="s">
        <v>929</v>
      </c>
      <c r="D590" s="15">
        <f>D445*(inputs!$E$26*inputs!$E$27)</f>
        <v>0</v>
      </c>
      <c r="E590" s="14" t="str">
        <f t="shared" ca="1" si="9"/>
        <v>=D445*(inputs!$E$26*inputs!$E$27)</v>
      </c>
      <c r="F590"/>
    </row>
    <row r="591" spans="1:6" s="14" customFormat="1" x14ac:dyDescent="0.3">
      <c r="A591" s="14" t="s">
        <v>32</v>
      </c>
      <c r="B591" s="14" t="s">
        <v>84</v>
      </c>
      <c r="C591" s="14" t="s">
        <v>930</v>
      </c>
      <c r="D591" s="15">
        <f>D446*(inputs!$E$26*inputs!$E$27)</f>
        <v>0</v>
      </c>
      <c r="E591" s="14" t="str">
        <f t="shared" ca="1" si="9"/>
        <v>=D446*(inputs!$E$26*inputs!$E$27)</v>
      </c>
      <c r="F591"/>
    </row>
    <row r="592" spans="1:6" s="14" customFormat="1" x14ac:dyDescent="0.3">
      <c r="A592" s="14" t="s">
        <v>32</v>
      </c>
      <c r="B592" s="14" t="s">
        <v>84</v>
      </c>
      <c r="C592" s="14" t="s">
        <v>931</v>
      </c>
      <c r="D592" s="15">
        <f>D447*(inputs!$E$26*inputs!$E$27)</f>
        <v>0</v>
      </c>
      <c r="E592" s="14" t="str">
        <f t="shared" ca="1" si="9"/>
        <v>=D447*(inputs!$E$26*inputs!$E$27)</v>
      </c>
      <c r="F592"/>
    </row>
    <row r="593" spans="1:6" s="14" customFormat="1" x14ac:dyDescent="0.3">
      <c r="A593" s="14" t="s">
        <v>32</v>
      </c>
      <c r="B593" s="14" t="s">
        <v>84</v>
      </c>
      <c r="C593" s="14" t="s">
        <v>932</v>
      </c>
      <c r="D593" s="15">
        <f>D448*(inputs!$E$26*inputs!$E$27)</f>
        <v>0</v>
      </c>
      <c r="E593" s="14" t="str">
        <f t="shared" ca="1" si="9"/>
        <v>=D448*(inputs!$E$26*inputs!$E$27)</v>
      </c>
      <c r="F593"/>
    </row>
    <row r="594" spans="1:6" s="14" customFormat="1" x14ac:dyDescent="0.3">
      <c r="A594" s="14" t="s">
        <v>32</v>
      </c>
      <c r="B594" s="14" t="s">
        <v>84</v>
      </c>
      <c r="C594" s="14" t="s">
        <v>933</v>
      </c>
      <c r="D594" s="15">
        <f>D449*(inputs!$E$26*inputs!$E$27)</f>
        <v>0</v>
      </c>
      <c r="E594" s="14" t="str">
        <f t="shared" ca="1" si="9"/>
        <v>=D449*(inputs!$E$26*inputs!$E$27)</v>
      </c>
      <c r="F594"/>
    </row>
    <row r="595" spans="1:6" s="14" customFormat="1" x14ac:dyDescent="0.3">
      <c r="A595" s="14" t="s">
        <v>32</v>
      </c>
      <c r="B595" s="14" t="s">
        <v>84</v>
      </c>
      <c r="C595" s="14" t="s">
        <v>934</v>
      </c>
      <c r="D595" s="15">
        <f>D450*(inputs!$E$26*inputs!$E$27)</f>
        <v>0</v>
      </c>
      <c r="E595" s="14" t="str">
        <f t="shared" ca="1" si="9"/>
        <v>=D450*(inputs!$E$26*inputs!$E$27)</v>
      </c>
      <c r="F595"/>
    </row>
    <row r="596" spans="1:6" s="14" customFormat="1" x14ac:dyDescent="0.3">
      <c r="A596" s="14" t="s">
        <v>32</v>
      </c>
      <c r="B596" s="14" t="s">
        <v>84</v>
      </c>
      <c r="C596" s="14" t="s">
        <v>935</v>
      </c>
      <c r="D596" s="15">
        <f>D451*(inputs!$E$26*inputs!$E$27)</f>
        <v>0</v>
      </c>
      <c r="E596" s="14" t="str">
        <f t="shared" ca="1" si="9"/>
        <v>=D451*(inputs!$E$26*inputs!$E$27)</v>
      </c>
      <c r="F596"/>
    </row>
    <row r="597" spans="1:6" s="14" customFormat="1" x14ac:dyDescent="0.3">
      <c r="A597" s="14" t="s">
        <v>32</v>
      </c>
      <c r="B597" s="14" t="s">
        <v>84</v>
      </c>
      <c r="C597" s="14" t="s">
        <v>936</v>
      </c>
      <c r="D597" s="15">
        <f>D452*(inputs!$E$26*inputs!$E$27)</f>
        <v>0</v>
      </c>
      <c r="E597" s="14" t="str">
        <f t="shared" ca="1" si="9"/>
        <v>=D452*(inputs!$E$26*inputs!$E$27)</v>
      </c>
      <c r="F597"/>
    </row>
    <row r="598" spans="1:6" s="14" customFormat="1" x14ac:dyDescent="0.3">
      <c r="A598" s="14" t="s">
        <v>32</v>
      </c>
      <c r="B598" s="14" t="s">
        <v>84</v>
      </c>
      <c r="C598" s="14" t="s">
        <v>937</v>
      </c>
      <c r="D598" s="15">
        <f>D453*(inputs!$E$26*inputs!$E$27)</f>
        <v>0</v>
      </c>
      <c r="E598" s="14" t="str">
        <f t="shared" ca="1" si="9"/>
        <v>=D453*(inputs!$E$26*inputs!$E$27)</v>
      </c>
      <c r="F598"/>
    </row>
    <row r="599" spans="1:6" s="14" customFormat="1" x14ac:dyDescent="0.3">
      <c r="A599" s="14" t="s">
        <v>32</v>
      </c>
      <c r="B599" s="14" t="s">
        <v>84</v>
      </c>
      <c r="C599" s="14" t="s">
        <v>938</v>
      </c>
      <c r="D599" s="15">
        <f>D454*(inputs!$E$26*inputs!$E$27)</f>
        <v>0</v>
      </c>
      <c r="E599" s="14" t="str">
        <f t="shared" ca="1" si="9"/>
        <v>=D454*(inputs!$E$26*inputs!$E$27)</v>
      </c>
      <c r="F599"/>
    </row>
    <row r="600" spans="1:6" s="14" customFormat="1" x14ac:dyDescent="0.3">
      <c r="A600" s="14" t="s">
        <v>32</v>
      </c>
      <c r="B600" s="14" t="s">
        <v>84</v>
      </c>
      <c r="C600" s="14" t="s">
        <v>939</v>
      </c>
      <c r="D600" s="15">
        <f>D455*(inputs!$E$26*inputs!$E$27)</f>
        <v>0</v>
      </c>
      <c r="E600" s="14" t="str">
        <f t="shared" ref="E600:E644" ca="1" si="10">_xlfn.FORMULATEXT(D600)</f>
        <v>=D455*(inputs!$E$26*inputs!$E$27)</v>
      </c>
      <c r="F600"/>
    </row>
    <row r="601" spans="1:6" s="14" customFormat="1" x14ac:dyDescent="0.3">
      <c r="A601" s="14" t="s">
        <v>32</v>
      </c>
      <c r="B601" s="14" t="s">
        <v>84</v>
      </c>
      <c r="C601" s="14" t="s">
        <v>940</v>
      </c>
      <c r="D601" s="15">
        <f>D456*(inputs!$E$26*inputs!$E$27)</f>
        <v>0</v>
      </c>
      <c r="E601" s="14" t="str">
        <f t="shared" ca="1" si="10"/>
        <v>=D456*(inputs!$E$26*inputs!$E$27)</v>
      </c>
      <c r="F601"/>
    </row>
    <row r="602" spans="1:6" s="14" customFormat="1" x14ac:dyDescent="0.3">
      <c r="A602" s="14" t="s">
        <v>32</v>
      </c>
      <c r="B602" s="14" t="s">
        <v>84</v>
      </c>
      <c r="C602" s="14" t="s">
        <v>941</v>
      </c>
      <c r="D602" s="15">
        <f>D457*(inputs!$E$26*inputs!$E$27)</f>
        <v>0</v>
      </c>
      <c r="E602" s="14" t="str">
        <f t="shared" ca="1" si="10"/>
        <v>=D457*(inputs!$E$26*inputs!$E$27)</v>
      </c>
      <c r="F602"/>
    </row>
    <row r="603" spans="1:6" s="14" customFormat="1" x14ac:dyDescent="0.3">
      <c r="A603" s="14" t="s">
        <v>32</v>
      </c>
      <c r="B603" s="14" t="s">
        <v>84</v>
      </c>
      <c r="C603" s="14" t="s">
        <v>942</v>
      </c>
      <c r="D603" s="15">
        <f>D458*(inputs!$E$26*inputs!$E$27)</f>
        <v>0</v>
      </c>
      <c r="E603" s="14" t="str">
        <f t="shared" ca="1" si="10"/>
        <v>=D458*(inputs!$E$26*inputs!$E$27)</v>
      </c>
      <c r="F603"/>
    </row>
    <row r="604" spans="1:6" s="14" customFormat="1" x14ac:dyDescent="0.3">
      <c r="A604" s="14" t="s">
        <v>32</v>
      </c>
      <c r="B604" s="14" t="s">
        <v>84</v>
      </c>
      <c r="C604" s="14" t="s">
        <v>943</v>
      </c>
      <c r="D604" s="15">
        <f>D459*(inputs!$E$26*inputs!$E$27)</f>
        <v>0</v>
      </c>
      <c r="E604" s="14" t="str">
        <f t="shared" ca="1" si="10"/>
        <v>=D459*(inputs!$E$26*inputs!$E$27)</v>
      </c>
      <c r="F604"/>
    </row>
    <row r="605" spans="1:6" s="14" customFormat="1" x14ac:dyDescent="0.3">
      <c r="A605" s="14" t="s">
        <v>32</v>
      </c>
      <c r="B605" s="14" t="s">
        <v>84</v>
      </c>
      <c r="C605" s="14" t="s">
        <v>944</v>
      </c>
      <c r="D605" s="15">
        <f>D460*(inputs!$E$26*inputs!$E$27)</f>
        <v>0</v>
      </c>
      <c r="E605" s="14" t="str">
        <f t="shared" ca="1" si="10"/>
        <v>=D460*(inputs!$E$26*inputs!$E$27)</v>
      </c>
      <c r="F605"/>
    </row>
    <row r="606" spans="1:6" s="14" customFormat="1" x14ac:dyDescent="0.3">
      <c r="A606" s="14" t="s">
        <v>32</v>
      </c>
      <c r="B606" s="14" t="s">
        <v>84</v>
      </c>
      <c r="C606" s="14" t="s">
        <v>945</v>
      </c>
      <c r="D606" s="15">
        <f>D461*(inputs!$E$26*inputs!$E$27)</f>
        <v>0</v>
      </c>
      <c r="E606" s="14" t="str">
        <f t="shared" ca="1" si="10"/>
        <v>=D461*(inputs!$E$26*inputs!$E$27)</v>
      </c>
      <c r="F606"/>
    </row>
    <row r="607" spans="1:6" s="14" customFormat="1" x14ac:dyDescent="0.3">
      <c r="A607" s="14" t="s">
        <v>32</v>
      </c>
      <c r="B607" s="14" t="s">
        <v>84</v>
      </c>
      <c r="C607" s="14" t="s">
        <v>946</v>
      </c>
      <c r="D607" s="15">
        <f>D462*(inputs!$E$26*inputs!$E$27)</f>
        <v>0</v>
      </c>
      <c r="E607" s="14" t="str">
        <f t="shared" ca="1" si="10"/>
        <v>=D462*(inputs!$E$26*inputs!$E$27)</v>
      </c>
      <c r="F607"/>
    </row>
    <row r="608" spans="1:6" s="14" customFormat="1" x14ac:dyDescent="0.3">
      <c r="A608" s="14" t="s">
        <v>32</v>
      </c>
      <c r="B608" s="14" t="s">
        <v>84</v>
      </c>
      <c r="C608" s="14" t="s">
        <v>947</v>
      </c>
      <c r="D608" s="15">
        <f>D463*(inputs!$E$26*inputs!$E$27)</f>
        <v>0</v>
      </c>
      <c r="E608" s="14" t="str">
        <f t="shared" ca="1" si="10"/>
        <v>=D463*(inputs!$E$26*inputs!$E$27)</v>
      </c>
      <c r="F608"/>
    </row>
    <row r="609" spans="1:6" s="14" customFormat="1" x14ac:dyDescent="0.3">
      <c r="A609" s="14" t="s">
        <v>32</v>
      </c>
      <c r="B609" s="14" t="s">
        <v>84</v>
      </c>
      <c r="C609" s="14" t="s">
        <v>948</v>
      </c>
      <c r="D609" s="15">
        <f>D464*(inputs!$E$26*inputs!$E$27)</f>
        <v>0</v>
      </c>
      <c r="E609" s="14" t="str">
        <f t="shared" ca="1" si="10"/>
        <v>=D464*(inputs!$E$26*inputs!$E$27)</v>
      </c>
      <c r="F609"/>
    </row>
    <row r="610" spans="1:6" s="14" customFormat="1" x14ac:dyDescent="0.3">
      <c r="A610" s="14" t="s">
        <v>32</v>
      </c>
      <c r="B610" s="14" t="s">
        <v>84</v>
      </c>
      <c r="C610" s="14" t="s">
        <v>949</v>
      </c>
      <c r="D610" s="15">
        <f>D465*(inputs!$E$26*inputs!$E$27)</f>
        <v>0</v>
      </c>
      <c r="E610" s="14" t="str">
        <f t="shared" ca="1" si="10"/>
        <v>=D465*(inputs!$E$26*inputs!$E$27)</v>
      </c>
      <c r="F610"/>
    </row>
    <row r="611" spans="1:6" s="14" customFormat="1" x14ac:dyDescent="0.3">
      <c r="A611" s="14" t="s">
        <v>32</v>
      </c>
      <c r="B611" s="14" t="s">
        <v>84</v>
      </c>
      <c r="C611" s="14" t="s">
        <v>950</v>
      </c>
      <c r="D611" s="15">
        <f>D466*(inputs!$E$26*inputs!$E$27)</f>
        <v>0</v>
      </c>
      <c r="E611" s="14" t="str">
        <f t="shared" ca="1" si="10"/>
        <v>=D466*(inputs!$E$26*inputs!$E$27)</v>
      </c>
      <c r="F611"/>
    </row>
    <row r="612" spans="1:6" s="14" customFormat="1" x14ac:dyDescent="0.3">
      <c r="A612" s="14" t="s">
        <v>32</v>
      </c>
      <c r="B612" s="14" t="s">
        <v>84</v>
      </c>
      <c r="C612" s="14" t="s">
        <v>951</v>
      </c>
      <c r="D612" s="15">
        <f>D467*(inputs!$E$26*inputs!$E$27)</f>
        <v>0</v>
      </c>
      <c r="E612" s="14" t="str">
        <f t="shared" ca="1" si="10"/>
        <v>=D467*(inputs!$E$26*inputs!$E$27)</v>
      </c>
      <c r="F612"/>
    </row>
    <row r="613" spans="1:6" s="14" customFormat="1" x14ac:dyDescent="0.3">
      <c r="A613" s="14" t="s">
        <v>32</v>
      </c>
      <c r="B613" s="14" t="s">
        <v>84</v>
      </c>
      <c r="C613" s="14" t="s">
        <v>952</v>
      </c>
      <c r="D613" s="15">
        <f>D468*(inputs!$E$26*inputs!$E$27)</f>
        <v>0</v>
      </c>
      <c r="E613" s="14" t="str">
        <f t="shared" ca="1" si="10"/>
        <v>=D468*(inputs!$E$26*inputs!$E$27)</v>
      </c>
      <c r="F613"/>
    </row>
    <row r="614" spans="1:6" s="14" customFormat="1" x14ac:dyDescent="0.3">
      <c r="A614" s="14" t="s">
        <v>32</v>
      </c>
      <c r="B614" s="14" t="s">
        <v>84</v>
      </c>
      <c r="C614" s="14" t="s">
        <v>953</v>
      </c>
      <c r="D614" s="15">
        <f>D469*(inputs!$E$26*inputs!$E$27)</f>
        <v>0</v>
      </c>
      <c r="E614" s="14" t="str">
        <f t="shared" ca="1" si="10"/>
        <v>=D469*(inputs!$E$26*inputs!$E$27)</v>
      </c>
      <c r="F614"/>
    </row>
    <row r="615" spans="1:6" s="14" customFormat="1" x14ac:dyDescent="0.3">
      <c r="A615" s="14" t="s">
        <v>32</v>
      </c>
      <c r="B615" s="14" t="s">
        <v>84</v>
      </c>
      <c r="C615" s="14" t="s">
        <v>954</v>
      </c>
      <c r="D615" s="15">
        <f>D470*(inputs!$E$26*inputs!$E$27)</f>
        <v>0</v>
      </c>
      <c r="E615" s="14" t="str">
        <f t="shared" ca="1" si="10"/>
        <v>=D470*(inputs!$E$26*inputs!$E$27)</v>
      </c>
      <c r="F615"/>
    </row>
    <row r="616" spans="1:6" s="14" customFormat="1" x14ac:dyDescent="0.3">
      <c r="A616" s="14" t="s">
        <v>32</v>
      </c>
      <c r="B616" s="14" t="s">
        <v>84</v>
      </c>
      <c r="C616" s="14" t="s">
        <v>955</v>
      </c>
      <c r="D616" s="15">
        <f>D471*(inputs!$E$26*inputs!$E$27)</f>
        <v>0</v>
      </c>
      <c r="E616" s="14" t="str">
        <f t="shared" ca="1" si="10"/>
        <v>=D471*(inputs!$E$26*inputs!$E$27)</v>
      </c>
      <c r="F616"/>
    </row>
    <row r="617" spans="1:6" s="14" customFormat="1" x14ac:dyDescent="0.3">
      <c r="A617" s="14" t="s">
        <v>32</v>
      </c>
      <c r="B617" s="14" t="s">
        <v>84</v>
      </c>
      <c r="C617" s="14" t="s">
        <v>956</v>
      </c>
      <c r="D617" s="15">
        <f>D472*(inputs!$E$26*inputs!$E$27)</f>
        <v>0</v>
      </c>
      <c r="E617" s="14" t="str">
        <f t="shared" ca="1" si="10"/>
        <v>=D472*(inputs!$E$26*inputs!$E$27)</v>
      </c>
      <c r="F617"/>
    </row>
    <row r="618" spans="1:6" s="14" customFormat="1" x14ac:dyDescent="0.3">
      <c r="A618" s="14" t="s">
        <v>32</v>
      </c>
      <c r="B618" s="14" t="s">
        <v>84</v>
      </c>
      <c r="C618" s="14" t="s">
        <v>957</v>
      </c>
      <c r="D618" s="15">
        <f>D473*(inputs!$E$26*inputs!$E$27)</f>
        <v>0</v>
      </c>
      <c r="E618" s="14" t="str">
        <f t="shared" ca="1" si="10"/>
        <v>=D473*(inputs!$E$26*inputs!$E$27)</v>
      </c>
      <c r="F618"/>
    </row>
    <row r="619" spans="1:6" s="14" customFormat="1" x14ac:dyDescent="0.3">
      <c r="A619" s="14" t="s">
        <v>32</v>
      </c>
      <c r="B619" s="14" t="s">
        <v>84</v>
      </c>
      <c r="C619" s="14" t="s">
        <v>958</v>
      </c>
      <c r="D619" s="15">
        <f>D474*(inputs!$E$26*inputs!$E$27)</f>
        <v>0</v>
      </c>
      <c r="E619" s="14" t="str">
        <f t="shared" ca="1" si="10"/>
        <v>=D474*(inputs!$E$26*inputs!$E$27)</v>
      </c>
      <c r="F619"/>
    </row>
    <row r="620" spans="1:6" s="14" customFormat="1" x14ac:dyDescent="0.3">
      <c r="A620" s="14" t="s">
        <v>32</v>
      </c>
      <c r="B620" s="14" t="s">
        <v>84</v>
      </c>
      <c r="C620" s="14" t="s">
        <v>959</v>
      </c>
      <c r="D620" s="15">
        <f>D475*(inputs!$E$26*inputs!$E$27)</f>
        <v>0</v>
      </c>
      <c r="E620" s="14" t="str">
        <f t="shared" ca="1" si="10"/>
        <v>=D475*(inputs!$E$26*inputs!$E$27)</v>
      </c>
      <c r="F620"/>
    </row>
    <row r="621" spans="1:6" s="14" customFormat="1" x14ac:dyDescent="0.3">
      <c r="A621" s="14" t="s">
        <v>32</v>
      </c>
      <c r="B621" s="14" t="s">
        <v>84</v>
      </c>
      <c r="C621" s="14" t="s">
        <v>960</v>
      </c>
      <c r="D621" s="15">
        <f>D476*(inputs!$E$26*inputs!$E$27)</f>
        <v>0</v>
      </c>
      <c r="E621" s="14" t="str">
        <f t="shared" ca="1" si="10"/>
        <v>=D476*(inputs!$E$26*inputs!$E$27)</v>
      </c>
      <c r="F621"/>
    </row>
    <row r="622" spans="1:6" s="14" customFormat="1" x14ac:dyDescent="0.3">
      <c r="A622" s="14" t="s">
        <v>32</v>
      </c>
      <c r="B622" s="14" t="s">
        <v>84</v>
      </c>
      <c r="C622" s="14" t="s">
        <v>961</v>
      </c>
      <c r="D622" s="15">
        <f>D477*(inputs!$E$26*inputs!$E$27)</f>
        <v>0</v>
      </c>
      <c r="E622" s="14" t="str">
        <f t="shared" ca="1" si="10"/>
        <v>=D477*(inputs!$E$26*inputs!$E$27)</v>
      </c>
      <c r="F622"/>
    </row>
    <row r="623" spans="1:6" s="14" customFormat="1" x14ac:dyDescent="0.3">
      <c r="A623" s="14" t="s">
        <v>32</v>
      </c>
      <c r="B623" s="14" t="s">
        <v>84</v>
      </c>
      <c r="C623" s="14" t="s">
        <v>962</v>
      </c>
      <c r="D623" s="15">
        <f>D478*(inputs!$E$26*inputs!$E$27)</f>
        <v>0</v>
      </c>
      <c r="E623" s="14" t="str">
        <f t="shared" ca="1" si="10"/>
        <v>=D478*(inputs!$E$26*inputs!$E$27)</v>
      </c>
      <c r="F623"/>
    </row>
    <row r="624" spans="1:6" s="14" customFormat="1" x14ac:dyDescent="0.3">
      <c r="A624" s="14" t="s">
        <v>32</v>
      </c>
      <c r="B624" s="14" t="s">
        <v>84</v>
      </c>
      <c r="C624" s="14" t="s">
        <v>963</v>
      </c>
      <c r="D624" s="15">
        <f>D479*(inputs!$E$26*inputs!$E$27)</f>
        <v>0</v>
      </c>
      <c r="E624" s="14" t="str">
        <f t="shared" ca="1" si="10"/>
        <v>=D479*(inputs!$E$26*inputs!$E$27)</v>
      </c>
      <c r="F624"/>
    </row>
    <row r="625" spans="1:6" s="14" customFormat="1" x14ac:dyDescent="0.3">
      <c r="A625" s="14" t="s">
        <v>32</v>
      </c>
      <c r="B625" s="14" t="s">
        <v>84</v>
      </c>
      <c r="C625" s="14" t="s">
        <v>964</v>
      </c>
      <c r="D625" s="15">
        <f>D480*(inputs!$E$26*inputs!$E$27)</f>
        <v>0</v>
      </c>
      <c r="E625" s="14" t="str">
        <f t="shared" ca="1" si="10"/>
        <v>=D480*(inputs!$E$26*inputs!$E$27)</v>
      </c>
      <c r="F625"/>
    </row>
    <row r="626" spans="1:6" s="14" customFormat="1" x14ac:dyDescent="0.3">
      <c r="A626" s="14" t="s">
        <v>32</v>
      </c>
      <c r="B626" s="14" t="s">
        <v>84</v>
      </c>
      <c r="C626" s="14" t="s">
        <v>965</v>
      </c>
      <c r="D626" s="15">
        <f>D481*(inputs!$E$26*inputs!$E$27)</f>
        <v>0</v>
      </c>
      <c r="E626" s="14" t="str">
        <f t="shared" ca="1" si="10"/>
        <v>=D481*(inputs!$E$26*inputs!$E$27)</v>
      </c>
      <c r="F626"/>
    </row>
    <row r="627" spans="1:6" s="14" customFormat="1" x14ac:dyDescent="0.3">
      <c r="A627" s="14" t="s">
        <v>32</v>
      </c>
      <c r="B627" s="14" t="s">
        <v>84</v>
      </c>
      <c r="C627" s="14" t="s">
        <v>966</v>
      </c>
      <c r="D627" s="15">
        <f>D482*(inputs!$E$26*inputs!$E$27)</f>
        <v>0</v>
      </c>
      <c r="E627" s="14" t="str">
        <f t="shared" ca="1" si="10"/>
        <v>=D482*(inputs!$E$26*inputs!$E$27)</v>
      </c>
      <c r="F627"/>
    </row>
    <row r="628" spans="1:6" s="14" customFormat="1" x14ac:dyDescent="0.3">
      <c r="A628" s="14" t="s">
        <v>32</v>
      </c>
      <c r="B628" s="14" t="s">
        <v>84</v>
      </c>
      <c r="C628" s="14" t="s">
        <v>967</v>
      </c>
      <c r="D628" s="15">
        <f>D483*(inputs!$E$26*inputs!$E$27)</f>
        <v>0</v>
      </c>
      <c r="E628" s="14" t="str">
        <f t="shared" ca="1" si="10"/>
        <v>=D483*(inputs!$E$26*inputs!$E$27)</v>
      </c>
      <c r="F628"/>
    </row>
    <row r="629" spans="1:6" s="14" customFormat="1" x14ac:dyDescent="0.3">
      <c r="A629" s="14" t="s">
        <v>32</v>
      </c>
      <c r="B629" s="14" t="s">
        <v>84</v>
      </c>
      <c r="C629" s="14" t="s">
        <v>968</v>
      </c>
      <c r="D629" s="15">
        <f>D484*(inputs!$E$26*inputs!$E$27)</f>
        <v>0</v>
      </c>
      <c r="E629" s="14" t="str">
        <f t="shared" ca="1" si="10"/>
        <v>=D484*(inputs!$E$26*inputs!$E$27)</v>
      </c>
      <c r="F629"/>
    </row>
    <row r="630" spans="1:6" s="14" customFormat="1" x14ac:dyDescent="0.3">
      <c r="A630" s="14" t="s">
        <v>32</v>
      </c>
      <c r="B630" s="14" t="s">
        <v>84</v>
      </c>
      <c r="C630" s="14" t="s">
        <v>969</v>
      </c>
      <c r="D630" s="15">
        <f>D485*(inputs!$E$26*inputs!$E$27)</f>
        <v>0</v>
      </c>
      <c r="E630" s="14" t="str">
        <f t="shared" ca="1" si="10"/>
        <v>=D485*(inputs!$E$26*inputs!$E$27)</v>
      </c>
      <c r="F630"/>
    </row>
    <row r="631" spans="1:6" s="14" customFormat="1" x14ac:dyDescent="0.3">
      <c r="A631" s="14" t="s">
        <v>32</v>
      </c>
      <c r="B631" s="14" t="s">
        <v>84</v>
      </c>
      <c r="C631" s="14" t="s">
        <v>970</v>
      </c>
      <c r="D631" s="15">
        <f>D486*(inputs!$E$26*inputs!$E$27)</f>
        <v>0</v>
      </c>
      <c r="E631" s="14" t="str">
        <f t="shared" ca="1" si="10"/>
        <v>=D486*(inputs!$E$26*inputs!$E$27)</v>
      </c>
      <c r="F631"/>
    </row>
    <row r="632" spans="1:6" s="14" customFormat="1" x14ac:dyDescent="0.3">
      <c r="A632" s="14" t="s">
        <v>32</v>
      </c>
      <c r="B632" s="14" t="s">
        <v>84</v>
      </c>
      <c r="C632" s="14" t="s">
        <v>971</v>
      </c>
      <c r="D632" s="15">
        <f>D487*(inputs!$E$26*inputs!$E$27)</f>
        <v>0</v>
      </c>
      <c r="E632" s="14" t="str">
        <f t="shared" ca="1" si="10"/>
        <v>=D487*(inputs!$E$26*inputs!$E$27)</v>
      </c>
      <c r="F632"/>
    </row>
    <row r="633" spans="1:6" s="14" customFormat="1" x14ac:dyDescent="0.3">
      <c r="A633" s="14" t="s">
        <v>32</v>
      </c>
      <c r="B633" s="14" t="s">
        <v>84</v>
      </c>
      <c r="C633" s="14" t="s">
        <v>972</v>
      </c>
      <c r="D633" s="15">
        <f>D488*(inputs!$E$26*inputs!$E$27)</f>
        <v>0</v>
      </c>
      <c r="E633" s="14" t="str">
        <f t="shared" ca="1" si="10"/>
        <v>=D488*(inputs!$E$26*inputs!$E$27)</v>
      </c>
      <c r="F633"/>
    </row>
    <row r="634" spans="1:6" s="14" customFormat="1" x14ac:dyDescent="0.3">
      <c r="A634" s="14" t="s">
        <v>32</v>
      </c>
      <c r="B634" s="14" t="s">
        <v>84</v>
      </c>
      <c r="C634" s="14" t="s">
        <v>973</v>
      </c>
      <c r="D634" s="15">
        <f>D489*(inputs!$E$26*inputs!$E$27)</f>
        <v>0</v>
      </c>
      <c r="E634" s="14" t="str">
        <f t="shared" ca="1" si="10"/>
        <v>=D489*(inputs!$E$26*inputs!$E$27)</v>
      </c>
      <c r="F634"/>
    </row>
    <row r="635" spans="1:6" s="14" customFormat="1" x14ac:dyDescent="0.3">
      <c r="A635" s="14" t="s">
        <v>32</v>
      </c>
      <c r="B635" s="14" t="s">
        <v>84</v>
      </c>
      <c r="C635" s="14" t="s">
        <v>974</v>
      </c>
      <c r="D635" s="15">
        <f>D490*(inputs!$E$26*inputs!$E$27)</f>
        <v>0</v>
      </c>
      <c r="E635" s="14" t="str">
        <f t="shared" ca="1" si="10"/>
        <v>=D490*(inputs!$E$26*inputs!$E$27)</v>
      </c>
      <c r="F635"/>
    </row>
    <row r="636" spans="1:6" s="14" customFormat="1" x14ac:dyDescent="0.3">
      <c r="A636" s="14" t="s">
        <v>32</v>
      </c>
      <c r="B636" s="14" t="s">
        <v>84</v>
      </c>
      <c r="C636" s="14" t="s">
        <v>975</v>
      </c>
      <c r="D636" s="15">
        <f>D491*(inputs!$E$26*inputs!$E$27)</f>
        <v>0</v>
      </c>
      <c r="E636" s="14" t="str">
        <f t="shared" ca="1" si="10"/>
        <v>=D491*(inputs!$E$26*inputs!$E$27)</v>
      </c>
      <c r="F636"/>
    </row>
    <row r="637" spans="1:6" s="14" customFormat="1" x14ac:dyDescent="0.3">
      <c r="A637" s="14" t="s">
        <v>32</v>
      </c>
      <c r="B637" s="14" t="s">
        <v>84</v>
      </c>
      <c r="C637" s="14" t="s">
        <v>976</v>
      </c>
      <c r="D637" s="15">
        <f>D492*(inputs!$E$26*inputs!$E$27)</f>
        <v>0</v>
      </c>
      <c r="E637" s="14" t="str">
        <f t="shared" ca="1" si="10"/>
        <v>=D492*(inputs!$E$26*inputs!$E$27)</v>
      </c>
      <c r="F637"/>
    </row>
    <row r="638" spans="1:6" s="14" customFormat="1" x14ac:dyDescent="0.3">
      <c r="A638" s="14" t="s">
        <v>32</v>
      </c>
      <c r="B638" s="14" t="s">
        <v>84</v>
      </c>
      <c r="C638" s="14" t="s">
        <v>977</v>
      </c>
      <c r="D638" s="15">
        <f>D493*(inputs!$E$26*inputs!$E$27)</f>
        <v>0</v>
      </c>
      <c r="E638" s="14" t="str">
        <f t="shared" ca="1" si="10"/>
        <v>=D493*(inputs!$E$26*inputs!$E$27)</v>
      </c>
      <c r="F638"/>
    </row>
    <row r="639" spans="1:6" s="14" customFormat="1" x14ac:dyDescent="0.3">
      <c r="A639" s="14" t="s">
        <v>32</v>
      </c>
      <c r="B639" s="14" t="s">
        <v>84</v>
      </c>
      <c r="C639" s="14" t="s">
        <v>978</v>
      </c>
      <c r="D639" s="15">
        <f>D494*(inputs!$E$26*inputs!$E$27)</f>
        <v>0</v>
      </c>
      <c r="E639" s="14" t="str">
        <f t="shared" ca="1" si="10"/>
        <v>=D494*(inputs!$E$26*inputs!$E$27)</v>
      </c>
      <c r="F639"/>
    </row>
    <row r="640" spans="1:6" s="14" customFormat="1" x14ac:dyDescent="0.3">
      <c r="A640" s="14" t="s">
        <v>32</v>
      </c>
      <c r="B640" s="14" t="s">
        <v>84</v>
      </c>
      <c r="C640" s="14" t="s">
        <v>979</v>
      </c>
      <c r="D640" s="15">
        <f>D495*(inputs!$E$26*inputs!$E$27)</f>
        <v>0</v>
      </c>
      <c r="E640" s="14" t="str">
        <f t="shared" ca="1" si="10"/>
        <v>=D495*(inputs!$E$26*inputs!$E$27)</v>
      </c>
      <c r="F640"/>
    </row>
    <row r="641" spans="1:6" s="14" customFormat="1" x14ac:dyDescent="0.3">
      <c r="A641" s="14" t="s">
        <v>32</v>
      </c>
      <c r="B641" s="14" t="s">
        <v>84</v>
      </c>
      <c r="C641" s="14" t="s">
        <v>980</v>
      </c>
      <c r="D641" s="15">
        <f>D496*(inputs!$E$26*inputs!$E$27)</f>
        <v>0</v>
      </c>
      <c r="E641" s="14" t="str">
        <f t="shared" ca="1" si="10"/>
        <v>=D496*(inputs!$E$26*inputs!$E$27)</v>
      </c>
      <c r="F641"/>
    </row>
    <row r="642" spans="1:6" s="14" customFormat="1" x14ac:dyDescent="0.3">
      <c r="A642" s="14" t="s">
        <v>32</v>
      </c>
      <c r="B642" s="14" t="s">
        <v>84</v>
      </c>
      <c r="C642" s="14" t="s">
        <v>981</v>
      </c>
      <c r="D642" s="15">
        <f>D497*(inputs!$E$26*inputs!$E$27)</f>
        <v>0</v>
      </c>
      <c r="E642" s="14" t="str">
        <f t="shared" ca="1" si="10"/>
        <v>=D497*(inputs!$E$26*inputs!$E$27)</v>
      </c>
      <c r="F642"/>
    </row>
    <row r="643" spans="1:6" s="14" customFormat="1" x14ac:dyDescent="0.3">
      <c r="A643" s="14" t="s">
        <v>32</v>
      </c>
      <c r="B643" s="14" t="s">
        <v>84</v>
      </c>
      <c r="C643" s="14" t="s">
        <v>982</v>
      </c>
      <c r="D643" s="15">
        <f>D498*(inputs!$E$26*inputs!$E$27)</f>
        <v>0</v>
      </c>
      <c r="E643" s="14" t="str">
        <f t="shared" ca="1" si="10"/>
        <v>=D498*(inputs!$E$26*inputs!$E$27)</v>
      </c>
      <c r="F643"/>
    </row>
    <row r="644" spans="1:6" s="14" customFormat="1" x14ac:dyDescent="0.3">
      <c r="A644" s="14" t="s">
        <v>32</v>
      </c>
      <c r="B644" s="14" t="s">
        <v>84</v>
      </c>
      <c r="C644" s="14" t="s">
        <v>983</v>
      </c>
      <c r="D644" s="15">
        <f>D499*(inputs!$E$26*inputs!$E$27)</f>
        <v>0</v>
      </c>
      <c r="E644" s="14" t="str">
        <f t="shared" ca="1" si="10"/>
        <v>=D499*(inputs!$E$26*inputs!$E$27)</v>
      </c>
      <c r="F644"/>
    </row>
    <row r="645" spans="1:6" x14ac:dyDescent="0.3">
      <c r="A645" s="7" t="s">
        <v>495</v>
      </c>
      <c r="B645" s="7" t="s">
        <v>749</v>
      </c>
      <c r="C645" s="7" t="s">
        <v>532</v>
      </c>
      <c r="D645" s="8">
        <f>(D174*inputs!$E$88)/(inputs!$E$31^inputs!E111)</f>
        <v>15269434.896151453</v>
      </c>
      <c r="E645" s="7" t="str">
        <f t="shared" ref="E645:E751" ca="1" si="11">_xlfn.FORMULATEXT(D645)</f>
        <v>=(D174*inputs!$E$88)/(inputs!$E$31^inputs!E111)</v>
      </c>
    </row>
    <row r="646" spans="1:6" x14ac:dyDescent="0.3">
      <c r="A646" s="7" t="s">
        <v>495</v>
      </c>
      <c r="B646" s="7" t="s">
        <v>749</v>
      </c>
      <c r="C646" s="7" t="s">
        <v>533</v>
      </c>
      <c r="D646" s="8">
        <f>(D175*inputs!$E$88)/(inputs!$E$31^inputs!E112)</f>
        <v>14820246.665711269</v>
      </c>
      <c r="E646" s="7" t="str">
        <f t="shared" ca="1" si="11"/>
        <v>=(D175*inputs!$E$88)/(inputs!$E$31^inputs!E112)</v>
      </c>
    </row>
    <row r="647" spans="1:6" x14ac:dyDescent="0.3">
      <c r="A647" s="7" t="s">
        <v>495</v>
      </c>
      <c r="B647" s="7" t="s">
        <v>749</v>
      </c>
      <c r="C647" s="7" t="s">
        <v>534</v>
      </c>
      <c r="D647" s="8">
        <f>(D176*inputs!$E$88)/(inputs!$E$31^inputs!E113)</f>
        <v>14384272.419137431</v>
      </c>
      <c r="E647" s="7" t="str">
        <f t="shared" ca="1" si="11"/>
        <v>=(D176*inputs!$E$88)/(inputs!$E$31^inputs!E113)</v>
      </c>
    </row>
    <row r="648" spans="1:6" x14ac:dyDescent="0.3">
      <c r="A648" s="7" t="s">
        <v>495</v>
      </c>
      <c r="B648" s="7" t="s">
        <v>749</v>
      </c>
      <c r="C648" s="7" t="s">
        <v>535</v>
      </c>
      <c r="D648" s="8">
        <f>(D177*inputs!$E$88)/(inputs!$E$31^inputs!E114)</f>
        <v>13961123.434380282</v>
      </c>
      <c r="E648" s="7" t="str">
        <f t="shared" ca="1" si="11"/>
        <v>=(D177*inputs!$E$88)/(inputs!$E$31^inputs!E114)</v>
      </c>
    </row>
    <row r="649" spans="1:6" x14ac:dyDescent="0.3">
      <c r="A649" s="7" t="s">
        <v>495</v>
      </c>
      <c r="B649" s="7" t="s">
        <v>749</v>
      </c>
      <c r="C649" s="7" t="s">
        <v>536</v>
      </c>
      <c r="D649" s="8">
        <f>(D178*inputs!$E$88)/(inputs!$E$31^inputs!E115)</f>
        <v>13550422.424611621</v>
      </c>
      <c r="E649" s="7" t="str">
        <f t="shared" ca="1" si="11"/>
        <v>=(D178*inputs!$E$88)/(inputs!$E$31^inputs!E115)</v>
      </c>
    </row>
    <row r="650" spans="1:6" x14ac:dyDescent="0.3">
      <c r="A650" s="7" t="s">
        <v>495</v>
      </c>
      <c r="B650" s="7" t="s">
        <v>749</v>
      </c>
      <c r="C650" s="7" t="s">
        <v>537</v>
      </c>
      <c r="D650" s="8">
        <f>(D179*inputs!$E$88)/(inputs!$E$31^inputs!E116)</f>
        <v>13142594.176880592</v>
      </c>
      <c r="E650" s="7" t="str">
        <f t="shared" ca="1" si="11"/>
        <v>=(D179*inputs!$E$88)/(inputs!$E$31^inputs!E116)</v>
      </c>
    </row>
    <row r="651" spans="1:6" x14ac:dyDescent="0.3">
      <c r="A651" s="7" t="s">
        <v>495</v>
      </c>
      <c r="B651" s="7" t="s">
        <v>749</v>
      </c>
      <c r="C651" s="7" t="s">
        <v>538</v>
      </c>
      <c r="D651" s="8">
        <f>(D180*inputs!$E$88)/(inputs!$E$31^inputs!E117)</f>
        <v>12747040.371557001</v>
      </c>
      <c r="E651" s="7" t="str">
        <f t="shared" ca="1" si="11"/>
        <v>=(D180*inputs!$E$88)/(inputs!$E$31^inputs!E117)</v>
      </c>
    </row>
    <row r="652" spans="1:6" x14ac:dyDescent="0.3">
      <c r="A652" s="7" t="s">
        <v>495</v>
      </c>
      <c r="B652" s="7" t="s">
        <v>749</v>
      </c>
      <c r="C652" s="7" t="s">
        <v>539</v>
      </c>
      <c r="D652" s="8">
        <f>(D181*inputs!$E$88)/(inputs!$E$31^inputs!E118)</f>
        <v>12363391.583675187</v>
      </c>
      <c r="E652" s="7" t="str">
        <f t="shared" ca="1" si="11"/>
        <v>=(D181*inputs!$E$88)/(inputs!$E$31^inputs!E118)</v>
      </c>
    </row>
    <row r="653" spans="1:6" x14ac:dyDescent="0.3">
      <c r="A653" s="7" t="s">
        <v>495</v>
      </c>
      <c r="B653" s="7" t="s">
        <v>749</v>
      </c>
      <c r="C653" s="7" t="s">
        <v>540</v>
      </c>
      <c r="D653" s="8">
        <f>(D182*inputs!$E$88)/(inputs!$E$31^inputs!E119)</f>
        <v>11991289.506884964</v>
      </c>
      <c r="E653" s="7" t="str">
        <f t="shared" ca="1" si="11"/>
        <v>=(D182*inputs!$E$88)/(inputs!$E$31^inputs!E119)</v>
      </c>
    </row>
    <row r="654" spans="1:6" x14ac:dyDescent="0.3">
      <c r="A654" s="7" t="s">
        <v>495</v>
      </c>
      <c r="B654" s="7" t="s">
        <v>749</v>
      </c>
      <c r="C654" s="7" t="s">
        <v>541</v>
      </c>
      <c r="D654" s="8">
        <f>(D183*inputs!$E$88)/(inputs!$E$31^inputs!E120)</f>
        <v>11630386.618813667</v>
      </c>
      <c r="E654" s="7" t="str">
        <f t="shared" ca="1" si="11"/>
        <v>=(D183*inputs!$E$88)/(inputs!$E$31^inputs!E120)</v>
      </c>
    </row>
    <row r="655" spans="1:6" x14ac:dyDescent="0.3">
      <c r="A655" s="7" t="s">
        <v>495</v>
      </c>
      <c r="B655" s="7" t="s">
        <v>749</v>
      </c>
      <c r="C655" s="7" t="s">
        <v>542</v>
      </c>
      <c r="D655" s="8">
        <f>(D184*inputs!$E$88)/(inputs!$E$31^inputs!E121)</f>
        <v>11269054.219005864</v>
      </c>
      <c r="E655" s="7" t="str">
        <f t="shared" ca="1" si="11"/>
        <v>=(D184*inputs!$E$88)/(inputs!$E$31^inputs!E121)</v>
      </c>
    </row>
    <row r="656" spans="1:6" x14ac:dyDescent="0.3">
      <c r="A656" s="7" t="s">
        <v>495</v>
      </c>
      <c r="B656" s="7" t="s">
        <v>749</v>
      </c>
      <c r="C656" s="7" t="s">
        <v>543</v>
      </c>
      <c r="D656" s="8">
        <f>(D185*inputs!$E$88)/(inputs!$E$31^inputs!E122)</f>
        <v>10918947.680162964</v>
      </c>
      <c r="E656" s="7" t="str">
        <f t="shared" ca="1" si="11"/>
        <v>=(D185*inputs!$E$88)/(inputs!$E$31^inputs!E122)</v>
      </c>
    </row>
    <row r="657" spans="1:5" x14ac:dyDescent="0.3">
      <c r="A657" s="7" t="s">
        <v>495</v>
      </c>
      <c r="B657" s="7" t="s">
        <v>749</v>
      </c>
      <c r="C657" s="7" t="s">
        <v>544</v>
      </c>
      <c r="D657" s="8">
        <f>(D186*inputs!$E$88)/(inputs!$E$31^inputs!E123)</f>
        <v>10579718.237672465</v>
      </c>
      <c r="E657" s="7" t="str">
        <f t="shared" ca="1" si="11"/>
        <v>=(D186*inputs!$E$88)/(inputs!$E$31^inputs!E123)</v>
      </c>
    </row>
    <row r="658" spans="1:5" x14ac:dyDescent="0.3">
      <c r="A658" s="7" t="s">
        <v>495</v>
      </c>
      <c r="B658" s="7" t="s">
        <v>749</v>
      </c>
      <c r="C658" s="7" t="s">
        <v>545</v>
      </c>
      <c r="D658" s="8">
        <f>(D187*inputs!$E$88)/(inputs!$E$31^inputs!E124)</f>
        <v>10251027.962327302</v>
      </c>
      <c r="E658" s="7" t="str">
        <f t="shared" ca="1" si="11"/>
        <v>=(D187*inputs!$E$88)/(inputs!$E$31^inputs!E124)</v>
      </c>
    </row>
    <row r="659" spans="1:5" x14ac:dyDescent="0.3">
      <c r="A659" s="7" t="s">
        <v>495</v>
      </c>
      <c r="B659" s="7" t="s">
        <v>749</v>
      </c>
      <c r="C659" s="7" t="s">
        <v>546</v>
      </c>
      <c r="D659" s="8">
        <f>(D188*inputs!$E$88)/(inputs!$E$31^inputs!E125)</f>
        <v>9932549.4236918911</v>
      </c>
      <c r="E659" s="7" t="str">
        <f t="shared" ca="1" si="11"/>
        <v>=(D188*inputs!$E$88)/(inputs!$E$31^inputs!E125)</v>
      </c>
    </row>
    <row r="660" spans="1:5" x14ac:dyDescent="0.3">
      <c r="A660" s="7" t="s">
        <v>495</v>
      </c>
      <c r="B660" s="7" t="s">
        <v>749</v>
      </c>
      <c r="C660" s="7" t="s">
        <v>547</v>
      </c>
      <c r="D660" s="8">
        <f>(D189*inputs!$E$88)/(inputs!$E$31^inputs!E126)</f>
        <v>9623965.3639267031</v>
      </c>
      <c r="E660" s="7" t="str">
        <f t="shared" ca="1" si="11"/>
        <v>=(D189*inputs!$E$88)/(inputs!$E$31^inputs!E126)</v>
      </c>
    </row>
    <row r="661" spans="1:5" x14ac:dyDescent="0.3">
      <c r="A661" s="7" t="s">
        <v>495</v>
      </c>
      <c r="B661" s="7" t="s">
        <v>749</v>
      </c>
      <c r="C661" s="7" t="s">
        <v>548</v>
      </c>
      <c r="D661" s="8">
        <f>(D190*inputs!$E$88)/(inputs!$E$31^inputs!E127)</f>
        <v>9324968.3817464579</v>
      </c>
      <c r="E661" s="7" t="str">
        <f t="shared" ca="1" si="11"/>
        <v>=(D190*inputs!$E$88)/(inputs!$E$31^inputs!E127)</v>
      </c>
    </row>
    <row r="662" spans="1:5" x14ac:dyDescent="0.3">
      <c r="A662" s="7" t="s">
        <v>495</v>
      </c>
      <c r="B662" s="7" t="s">
        <v>749</v>
      </c>
      <c r="C662" s="7" t="s">
        <v>549</v>
      </c>
      <c r="D662" s="8">
        <f>(D191*inputs!$E$88)/(inputs!$E$31^inputs!E128)</f>
        <v>9035260.6261970531</v>
      </c>
      <c r="E662" s="7" t="str">
        <f t="shared" ca="1" si="11"/>
        <v>=(D191*inputs!$E$88)/(inputs!$E$31^inputs!E128)</v>
      </c>
    </row>
    <row r="663" spans="1:5" x14ac:dyDescent="0.3">
      <c r="A663" s="7" t="s">
        <v>495</v>
      </c>
      <c r="B663" s="7" t="s">
        <v>749</v>
      </c>
      <c r="C663" s="7" t="s">
        <v>550</v>
      </c>
      <c r="D663" s="8">
        <f>(D192*inputs!$E$88)/(inputs!$E$31^inputs!E129)</f>
        <v>8754553.4999462701</v>
      </c>
      <c r="E663" s="7" t="str">
        <f t="shared" ca="1" si="11"/>
        <v>=(D192*inputs!$E$88)/(inputs!$E$31^inputs!E129)</v>
      </c>
    </row>
    <row r="664" spans="1:5" x14ac:dyDescent="0.3">
      <c r="A664" s="7" t="s">
        <v>495</v>
      </c>
      <c r="B664" s="7" t="s">
        <v>749</v>
      </c>
      <c r="C664" s="7" t="s">
        <v>551</v>
      </c>
      <c r="D664" s="8">
        <f>(D193*inputs!$E$88)/(inputs!$E$31^inputs!E130)</f>
        <v>8482567.3717926014</v>
      </c>
      <c r="E664" s="7" t="str">
        <f t="shared" ca="1" si="11"/>
        <v>=(D193*inputs!$E$88)/(inputs!$E$31^inputs!E130)</v>
      </c>
    </row>
    <row r="665" spans="1:5" x14ac:dyDescent="0.3">
      <c r="A665" s="7" t="s">
        <v>495</v>
      </c>
      <c r="B665" s="7" t="s">
        <v>749</v>
      </c>
      <c r="C665" s="7" t="s">
        <v>552</v>
      </c>
      <c r="D665" s="8">
        <f>(D194*inputs!$E$88)/(inputs!$E$31^inputs!E131)</f>
        <v>8219031.2981058406</v>
      </c>
      <c r="E665" s="7" t="str">
        <f t="shared" ca="1" si="11"/>
        <v>=(D194*inputs!$E$88)/(inputs!$E$31^inputs!E131)</v>
      </c>
    </row>
    <row r="666" spans="1:5" x14ac:dyDescent="0.3">
      <c r="A666" s="7" t="s">
        <v>495</v>
      </c>
      <c r="B666" s="7" t="s">
        <v>749</v>
      </c>
      <c r="C666" s="7" t="s">
        <v>553</v>
      </c>
      <c r="D666" s="8">
        <f>(D195*inputs!$E$88)/(inputs!$E$31^inputs!E132)</f>
        <v>7963682.7529219706</v>
      </c>
      <c r="E666" s="7" t="str">
        <f t="shared" ca="1" si="11"/>
        <v>=(D195*inputs!$E$88)/(inputs!$E$31^inputs!E132)</v>
      </c>
    </row>
    <row r="667" spans="1:5" x14ac:dyDescent="0.3">
      <c r="A667" s="7" t="s">
        <v>495</v>
      </c>
      <c r="B667" s="7" t="s">
        <v>749</v>
      </c>
      <c r="C667" s="7" t="s">
        <v>554</v>
      </c>
      <c r="D667" s="8">
        <f>(D196*inputs!$E$88)/(inputs!$E$31^inputs!E133)</f>
        <v>7716267.3664234243</v>
      </c>
      <c r="E667" s="7" t="str">
        <f t="shared" ca="1" si="11"/>
        <v>=(D196*inputs!$E$88)/(inputs!$E$31^inputs!E133)</v>
      </c>
    </row>
    <row r="668" spans="1:5" x14ac:dyDescent="0.3">
      <c r="A668" s="7" t="s">
        <v>495</v>
      </c>
      <c r="B668" s="7" t="s">
        <v>749</v>
      </c>
      <c r="C668" s="7" t="s">
        <v>555</v>
      </c>
      <c r="D668" s="8">
        <f>(D197*inputs!$E$88)/(inputs!$E$31^inputs!E134)</f>
        <v>7476538.6715442492</v>
      </c>
      <c r="E668" s="7" t="str">
        <f t="shared" ca="1" si="11"/>
        <v>=(D197*inputs!$E$88)/(inputs!$E$31^inputs!E134)</v>
      </c>
    </row>
    <row r="669" spans="1:5" x14ac:dyDescent="0.3">
      <c r="A669" s="7" t="s">
        <v>495</v>
      </c>
      <c r="B669" s="7" t="s">
        <v>749</v>
      </c>
      <c r="C669" s="7" t="s">
        <v>556</v>
      </c>
      <c r="D669" s="8">
        <f>(D198*inputs!$E$88)/(inputs!$E$31^inputs!E135)</f>
        <v>7244257.8584477305</v>
      </c>
      <c r="E669" s="7" t="str">
        <f t="shared" ca="1" si="11"/>
        <v>=(D198*inputs!$E$88)/(inputs!$E$31^inputs!E135)</v>
      </c>
    </row>
    <row r="670" spans="1:5" x14ac:dyDescent="0.3">
      <c r="A670" s="7" t="s">
        <v>495</v>
      </c>
      <c r="B670" s="7" t="s">
        <v>749</v>
      </c>
      <c r="C670" s="7" t="s">
        <v>674</v>
      </c>
      <c r="D670" s="8">
        <f>(D252*inputs!$E$87)/(inputs!$E$31^inputs!E111)</f>
        <v>0</v>
      </c>
      <c r="E670" s="7" t="str">
        <f t="shared" ca="1" si="11"/>
        <v>=(D252*inputs!$E$87)/(inputs!$E$31^inputs!E111)</v>
      </c>
    </row>
    <row r="671" spans="1:5" x14ac:dyDescent="0.3">
      <c r="A671" s="7" t="s">
        <v>495</v>
      </c>
      <c r="B671" s="7" t="s">
        <v>749</v>
      </c>
      <c r="C671" s="7" t="s">
        <v>675</v>
      </c>
      <c r="D671" s="8">
        <f>(D253*inputs!$E$87)/(inputs!$E$31^inputs!E112)</f>
        <v>0</v>
      </c>
      <c r="E671" s="7" t="str">
        <f t="shared" ca="1" si="11"/>
        <v>=(D253*inputs!$E$87)/(inputs!$E$31^inputs!E112)</v>
      </c>
    </row>
    <row r="672" spans="1:5" x14ac:dyDescent="0.3">
      <c r="A672" s="7" t="s">
        <v>495</v>
      </c>
      <c r="B672" s="7" t="s">
        <v>749</v>
      </c>
      <c r="C672" s="7" t="s">
        <v>676</v>
      </c>
      <c r="D672" s="8">
        <f>(D254*inputs!$E$87)/(inputs!$E$31^inputs!E113)</f>
        <v>0</v>
      </c>
      <c r="E672" s="7" t="str">
        <f t="shared" ca="1" si="11"/>
        <v>=(D254*inputs!$E$87)/(inputs!$E$31^inputs!E113)</v>
      </c>
    </row>
    <row r="673" spans="1:5" x14ac:dyDescent="0.3">
      <c r="A673" s="7" t="s">
        <v>495</v>
      </c>
      <c r="B673" s="7" t="s">
        <v>749</v>
      </c>
      <c r="C673" s="7" t="s">
        <v>677</v>
      </c>
      <c r="D673" s="8">
        <f>(D255*inputs!$E$87)/(inputs!$E$31^inputs!E114)</f>
        <v>0</v>
      </c>
      <c r="E673" s="7" t="str">
        <f t="shared" ca="1" si="11"/>
        <v>=(D255*inputs!$E$87)/(inputs!$E$31^inputs!E114)</v>
      </c>
    </row>
    <row r="674" spans="1:5" x14ac:dyDescent="0.3">
      <c r="A674" s="7" t="s">
        <v>495</v>
      </c>
      <c r="B674" s="7" t="s">
        <v>749</v>
      </c>
      <c r="C674" s="7" t="s">
        <v>678</v>
      </c>
      <c r="D674" s="8">
        <f>(D256*inputs!$E$87)/(inputs!$E$31^inputs!E115)</f>
        <v>0</v>
      </c>
      <c r="E674" s="7" t="str">
        <f t="shared" ca="1" si="11"/>
        <v>=(D256*inputs!$E$87)/(inputs!$E$31^inputs!E115)</v>
      </c>
    </row>
    <row r="675" spans="1:5" x14ac:dyDescent="0.3">
      <c r="A675" s="7" t="s">
        <v>495</v>
      </c>
      <c r="B675" s="7" t="s">
        <v>749</v>
      </c>
      <c r="C675" s="7" t="s">
        <v>679</v>
      </c>
      <c r="D675" s="8">
        <f>(D257*inputs!$E$87)/(inputs!$E$31^inputs!E116)</f>
        <v>0</v>
      </c>
      <c r="E675" s="7" t="str">
        <f t="shared" ca="1" si="11"/>
        <v>=(D257*inputs!$E$87)/(inputs!$E$31^inputs!E116)</v>
      </c>
    </row>
    <row r="676" spans="1:5" x14ac:dyDescent="0.3">
      <c r="A676" s="7" t="s">
        <v>495</v>
      </c>
      <c r="B676" s="7" t="s">
        <v>749</v>
      </c>
      <c r="C676" s="7" t="s">
        <v>680</v>
      </c>
      <c r="D676" s="8">
        <f>(D258*inputs!$E$87)/(inputs!$E$31^inputs!E117)</f>
        <v>0</v>
      </c>
      <c r="E676" s="7" t="str">
        <f t="shared" ca="1" si="11"/>
        <v>=(D258*inputs!$E$87)/(inputs!$E$31^inputs!E117)</v>
      </c>
    </row>
    <row r="677" spans="1:5" x14ac:dyDescent="0.3">
      <c r="A677" s="7" t="s">
        <v>495</v>
      </c>
      <c r="B677" s="7" t="s">
        <v>749</v>
      </c>
      <c r="C677" s="7" t="s">
        <v>681</v>
      </c>
      <c r="D677" s="8">
        <f>(D259*inputs!$E$87)/(inputs!$E$31^inputs!E118)</f>
        <v>0</v>
      </c>
      <c r="E677" s="7" t="str">
        <f t="shared" ca="1" si="11"/>
        <v>=(D259*inputs!$E$87)/(inputs!$E$31^inputs!E118)</v>
      </c>
    </row>
    <row r="678" spans="1:5" x14ac:dyDescent="0.3">
      <c r="A678" s="7" t="s">
        <v>495</v>
      </c>
      <c r="B678" s="7" t="s">
        <v>749</v>
      </c>
      <c r="C678" s="7" t="s">
        <v>682</v>
      </c>
      <c r="D678" s="8">
        <f>(D260*inputs!$E$87)/(inputs!$E$31^inputs!E119)</f>
        <v>0</v>
      </c>
      <c r="E678" s="7" t="str">
        <f t="shared" ca="1" si="11"/>
        <v>=(D260*inputs!$E$87)/(inputs!$E$31^inputs!E119)</v>
      </c>
    </row>
    <row r="679" spans="1:5" x14ac:dyDescent="0.3">
      <c r="A679" s="7" t="s">
        <v>495</v>
      </c>
      <c r="B679" s="7" t="s">
        <v>749</v>
      </c>
      <c r="C679" s="7" t="s">
        <v>683</v>
      </c>
      <c r="D679" s="8">
        <f>(D261*inputs!$E$87)/(inputs!$E$31^inputs!E120)</f>
        <v>0</v>
      </c>
      <c r="E679" s="7" t="str">
        <f t="shared" ca="1" si="11"/>
        <v>=(D261*inputs!$E$87)/(inputs!$E$31^inputs!E120)</v>
      </c>
    </row>
    <row r="680" spans="1:5" x14ac:dyDescent="0.3">
      <c r="A680" s="7" t="s">
        <v>495</v>
      </c>
      <c r="B680" s="7" t="s">
        <v>749</v>
      </c>
      <c r="C680" s="7" t="s">
        <v>684</v>
      </c>
      <c r="D680" s="8">
        <f>(D262*inputs!$E$87)/(inputs!$E$31^inputs!E121)</f>
        <v>0</v>
      </c>
      <c r="E680" s="7" t="str">
        <f t="shared" ca="1" si="11"/>
        <v>=(D262*inputs!$E$87)/(inputs!$E$31^inputs!E121)</v>
      </c>
    </row>
    <row r="681" spans="1:5" x14ac:dyDescent="0.3">
      <c r="A681" s="7" t="s">
        <v>495</v>
      </c>
      <c r="B681" s="7" t="s">
        <v>749</v>
      </c>
      <c r="C681" s="7" t="s">
        <v>685</v>
      </c>
      <c r="D681" s="8">
        <f>(D263*inputs!$E$87)/(inputs!$E$31^inputs!E122)</f>
        <v>0</v>
      </c>
      <c r="E681" s="7" t="str">
        <f t="shared" ca="1" si="11"/>
        <v>=(D263*inputs!$E$87)/(inputs!$E$31^inputs!E122)</v>
      </c>
    </row>
    <row r="682" spans="1:5" x14ac:dyDescent="0.3">
      <c r="A682" s="7" t="s">
        <v>495</v>
      </c>
      <c r="B682" s="7" t="s">
        <v>749</v>
      </c>
      <c r="C682" s="7" t="s">
        <v>686</v>
      </c>
      <c r="D682" s="8">
        <f>(D264*inputs!$E$87)/(inputs!$E$31^inputs!E123)</f>
        <v>0</v>
      </c>
      <c r="E682" s="7" t="str">
        <f t="shared" ca="1" si="11"/>
        <v>=(D264*inputs!$E$87)/(inputs!$E$31^inputs!E123)</v>
      </c>
    </row>
    <row r="683" spans="1:5" x14ac:dyDescent="0.3">
      <c r="A683" s="7" t="s">
        <v>495</v>
      </c>
      <c r="B683" s="7" t="s">
        <v>749</v>
      </c>
      <c r="C683" s="7" t="s">
        <v>687</v>
      </c>
      <c r="D683" s="8">
        <f>(D265*inputs!$E$87)/(inputs!$E$31^inputs!E124)</f>
        <v>0</v>
      </c>
      <c r="E683" s="7" t="str">
        <f t="shared" ca="1" si="11"/>
        <v>=(D265*inputs!$E$87)/(inputs!$E$31^inputs!E124)</v>
      </c>
    </row>
    <row r="684" spans="1:5" x14ac:dyDescent="0.3">
      <c r="A684" s="7" t="s">
        <v>495</v>
      </c>
      <c r="B684" s="7" t="s">
        <v>749</v>
      </c>
      <c r="C684" s="7" t="s">
        <v>688</v>
      </c>
      <c r="D684" s="8">
        <f>(D266*inputs!$E$87)/(inputs!$E$31^inputs!E125)</f>
        <v>0</v>
      </c>
      <c r="E684" s="7" t="str">
        <f t="shared" ca="1" si="11"/>
        <v>=(D266*inputs!$E$87)/(inputs!$E$31^inputs!E125)</v>
      </c>
    </row>
    <row r="685" spans="1:5" x14ac:dyDescent="0.3">
      <c r="A685" s="7" t="s">
        <v>495</v>
      </c>
      <c r="B685" s="7" t="s">
        <v>749</v>
      </c>
      <c r="C685" s="7" t="s">
        <v>689</v>
      </c>
      <c r="D685" s="8">
        <f>(D267*inputs!$E$87)/(inputs!$E$31^inputs!E126)</f>
        <v>0</v>
      </c>
      <c r="E685" s="7" t="str">
        <f t="shared" ca="1" si="11"/>
        <v>=(D267*inputs!$E$87)/(inputs!$E$31^inputs!E126)</v>
      </c>
    </row>
    <row r="686" spans="1:5" x14ac:dyDescent="0.3">
      <c r="A686" s="7" t="s">
        <v>495</v>
      </c>
      <c r="B686" s="7" t="s">
        <v>749</v>
      </c>
      <c r="C686" s="7" t="s">
        <v>690</v>
      </c>
      <c r="D686" s="8">
        <f>(D268*inputs!$E$87)/(inputs!$E$31^inputs!E127)</f>
        <v>0</v>
      </c>
      <c r="E686" s="7" t="str">
        <f t="shared" ca="1" si="11"/>
        <v>=(D268*inputs!$E$87)/(inputs!$E$31^inputs!E127)</v>
      </c>
    </row>
    <row r="687" spans="1:5" x14ac:dyDescent="0.3">
      <c r="A687" s="7" t="s">
        <v>495</v>
      </c>
      <c r="B687" s="7" t="s">
        <v>749</v>
      </c>
      <c r="C687" s="7" t="s">
        <v>691</v>
      </c>
      <c r="D687" s="8">
        <f>(D269*inputs!$E$87)/(inputs!$E$31^inputs!E128)</f>
        <v>0</v>
      </c>
      <c r="E687" s="7" t="str">
        <f t="shared" ca="1" si="11"/>
        <v>=(D269*inputs!$E$87)/(inputs!$E$31^inputs!E128)</v>
      </c>
    </row>
    <row r="688" spans="1:5" x14ac:dyDescent="0.3">
      <c r="A688" s="7" t="s">
        <v>495</v>
      </c>
      <c r="B688" s="7" t="s">
        <v>749</v>
      </c>
      <c r="C688" s="7" t="s">
        <v>692</v>
      </c>
      <c r="D688" s="8">
        <f>(D270*inputs!$E$87)/(inputs!$E$31^inputs!E129)</f>
        <v>0</v>
      </c>
      <c r="E688" s="7" t="str">
        <f t="shared" ca="1" si="11"/>
        <v>=(D270*inputs!$E$87)/(inputs!$E$31^inputs!E129)</v>
      </c>
    </row>
    <row r="689" spans="1:5" x14ac:dyDescent="0.3">
      <c r="A689" s="7" t="s">
        <v>495</v>
      </c>
      <c r="B689" s="7" t="s">
        <v>749</v>
      </c>
      <c r="C689" s="7" t="s">
        <v>693</v>
      </c>
      <c r="D689" s="8">
        <f>(D271*inputs!$E$87)/(inputs!$E$31^inputs!E130)</f>
        <v>0</v>
      </c>
      <c r="E689" s="7" t="str">
        <f t="shared" ca="1" si="11"/>
        <v>=(D271*inputs!$E$87)/(inputs!$E$31^inputs!E130)</v>
      </c>
    </row>
    <row r="690" spans="1:5" x14ac:dyDescent="0.3">
      <c r="A690" s="7" t="s">
        <v>495</v>
      </c>
      <c r="B690" s="7" t="s">
        <v>749</v>
      </c>
      <c r="C690" s="7" t="s">
        <v>694</v>
      </c>
      <c r="D690" s="8">
        <f>(D272*inputs!$E$87)/(inputs!$E$31^inputs!E131)</f>
        <v>0</v>
      </c>
      <c r="E690" s="7" t="str">
        <f t="shared" ca="1" si="11"/>
        <v>=(D272*inputs!$E$87)/(inputs!$E$31^inputs!E131)</v>
      </c>
    </row>
    <row r="691" spans="1:5" x14ac:dyDescent="0.3">
      <c r="A691" s="7" t="s">
        <v>495</v>
      </c>
      <c r="B691" s="7" t="s">
        <v>749</v>
      </c>
      <c r="C691" s="7" t="s">
        <v>695</v>
      </c>
      <c r="D691" s="8">
        <f>(D273*inputs!$E$87)/(inputs!$E$31^inputs!E132)</f>
        <v>0</v>
      </c>
      <c r="E691" s="7" t="str">
        <f t="shared" ca="1" si="11"/>
        <v>=(D273*inputs!$E$87)/(inputs!$E$31^inputs!E132)</v>
      </c>
    </row>
    <row r="692" spans="1:5" x14ac:dyDescent="0.3">
      <c r="A692" s="7" t="s">
        <v>495</v>
      </c>
      <c r="B692" s="7" t="s">
        <v>749</v>
      </c>
      <c r="C692" s="7" t="s">
        <v>696</v>
      </c>
      <c r="D692" s="8">
        <f>(D274*inputs!$E$87)/(inputs!$E$31^inputs!E133)</f>
        <v>0</v>
      </c>
      <c r="E692" s="7" t="str">
        <f t="shared" ca="1" si="11"/>
        <v>=(D274*inputs!$E$87)/(inputs!$E$31^inputs!E133)</v>
      </c>
    </row>
    <row r="693" spans="1:5" x14ac:dyDescent="0.3">
      <c r="A693" s="7" t="s">
        <v>495</v>
      </c>
      <c r="B693" s="7" t="s">
        <v>749</v>
      </c>
      <c r="C693" s="7" t="s">
        <v>697</v>
      </c>
      <c r="D693" s="8">
        <f>(D275*inputs!$E$87)/(inputs!$E$31^inputs!E134)</f>
        <v>0</v>
      </c>
      <c r="E693" s="7" t="str">
        <f t="shared" ca="1" si="11"/>
        <v>=(D275*inputs!$E$87)/(inputs!$E$31^inputs!E134)</v>
      </c>
    </row>
    <row r="694" spans="1:5" x14ac:dyDescent="0.3">
      <c r="A694" s="7" t="s">
        <v>495</v>
      </c>
      <c r="B694" s="7" t="s">
        <v>749</v>
      </c>
      <c r="C694" s="7" t="s">
        <v>698</v>
      </c>
      <c r="D694" s="8">
        <f>(D276*inputs!$E$87)/(inputs!$E$31^inputs!E135)</f>
        <v>0</v>
      </c>
      <c r="E694" s="7" t="str">
        <f t="shared" ca="1" si="11"/>
        <v>=(D276*inputs!$E$87)/(inputs!$E$31^inputs!E135)</v>
      </c>
    </row>
    <row r="695" spans="1:5" x14ac:dyDescent="0.3">
      <c r="A695" s="7" t="s">
        <v>495</v>
      </c>
      <c r="B695" s="7" t="s">
        <v>749</v>
      </c>
      <c r="C695" s="7" t="s">
        <v>699</v>
      </c>
      <c r="D695" s="8">
        <f>(D291*inputs!$E$87)/(inputs!$E$31^inputs!E111)</f>
        <v>0</v>
      </c>
      <c r="E695" s="7" t="str">
        <f t="shared" ca="1" si="11"/>
        <v>=(D291*inputs!$E$87)/(inputs!$E$31^inputs!E111)</v>
      </c>
    </row>
    <row r="696" spans="1:5" x14ac:dyDescent="0.3">
      <c r="A696" s="7" t="s">
        <v>495</v>
      </c>
      <c r="B696" s="7" t="s">
        <v>749</v>
      </c>
      <c r="C696" s="7" t="s">
        <v>700</v>
      </c>
      <c r="D696" s="8">
        <f>(D292*inputs!$E$87)/(inputs!$E$31^inputs!E112)</f>
        <v>0</v>
      </c>
      <c r="E696" s="7" t="str">
        <f t="shared" ca="1" si="11"/>
        <v>=(D292*inputs!$E$87)/(inputs!$E$31^inputs!E112)</v>
      </c>
    </row>
    <row r="697" spans="1:5" x14ac:dyDescent="0.3">
      <c r="A697" s="7" t="s">
        <v>495</v>
      </c>
      <c r="B697" s="7" t="s">
        <v>749</v>
      </c>
      <c r="C697" s="7" t="s">
        <v>701</v>
      </c>
      <c r="D697" s="8">
        <f>(D293*inputs!$E$87)/(inputs!$E$31^inputs!E113)</f>
        <v>0</v>
      </c>
      <c r="E697" s="7" t="str">
        <f t="shared" ca="1" si="11"/>
        <v>=(D293*inputs!$E$87)/(inputs!$E$31^inputs!E113)</v>
      </c>
    </row>
    <row r="698" spans="1:5" x14ac:dyDescent="0.3">
      <c r="A698" s="7" t="s">
        <v>495</v>
      </c>
      <c r="B698" s="7" t="s">
        <v>749</v>
      </c>
      <c r="C698" s="7" t="s">
        <v>702</v>
      </c>
      <c r="D698" s="8">
        <f>(D294*inputs!$E$87)/(inputs!$E$31^inputs!E114)</f>
        <v>0</v>
      </c>
      <c r="E698" s="7" t="str">
        <f t="shared" ca="1" si="11"/>
        <v>=(D294*inputs!$E$87)/(inputs!$E$31^inputs!E114)</v>
      </c>
    </row>
    <row r="699" spans="1:5" x14ac:dyDescent="0.3">
      <c r="A699" s="7" t="s">
        <v>495</v>
      </c>
      <c r="B699" s="7" t="s">
        <v>749</v>
      </c>
      <c r="C699" s="7" t="s">
        <v>703</v>
      </c>
      <c r="D699" s="8">
        <f>(D295*inputs!$E$87)/(inputs!$E$31^inputs!E115)</f>
        <v>0</v>
      </c>
      <c r="E699" s="7" t="str">
        <f t="shared" ca="1" si="11"/>
        <v>=(D295*inputs!$E$87)/(inputs!$E$31^inputs!E115)</v>
      </c>
    </row>
    <row r="700" spans="1:5" x14ac:dyDescent="0.3">
      <c r="A700" s="7" t="s">
        <v>495</v>
      </c>
      <c r="B700" s="7" t="s">
        <v>749</v>
      </c>
      <c r="C700" s="7" t="s">
        <v>704</v>
      </c>
      <c r="D700" s="8">
        <f>(D296*inputs!$E$87)/(inputs!$E$31^inputs!E116)</f>
        <v>0</v>
      </c>
      <c r="E700" s="7" t="str">
        <f t="shared" ca="1" si="11"/>
        <v>=(D296*inputs!$E$87)/(inputs!$E$31^inputs!E116)</v>
      </c>
    </row>
    <row r="701" spans="1:5" x14ac:dyDescent="0.3">
      <c r="A701" s="7" t="s">
        <v>495</v>
      </c>
      <c r="B701" s="7" t="s">
        <v>749</v>
      </c>
      <c r="C701" s="7" t="s">
        <v>705</v>
      </c>
      <c r="D701" s="8">
        <f>(D297*inputs!$E$87)/(inputs!$E$31^inputs!E117)</f>
        <v>0</v>
      </c>
      <c r="E701" s="7" t="str">
        <f t="shared" ca="1" si="11"/>
        <v>=(D297*inputs!$E$87)/(inputs!$E$31^inputs!E117)</v>
      </c>
    </row>
    <row r="702" spans="1:5" x14ac:dyDescent="0.3">
      <c r="A702" s="7" t="s">
        <v>495</v>
      </c>
      <c r="B702" s="7" t="s">
        <v>749</v>
      </c>
      <c r="C702" s="7" t="s">
        <v>706</v>
      </c>
      <c r="D702" s="8">
        <f>(D298*inputs!$E$87)/(inputs!$E$31^inputs!E118)</f>
        <v>0</v>
      </c>
      <c r="E702" s="7" t="str">
        <f t="shared" ca="1" si="11"/>
        <v>=(D298*inputs!$E$87)/(inputs!$E$31^inputs!E118)</v>
      </c>
    </row>
    <row r="703" spans="1:5" x14ac:dyDescent="0.3">
      <c r="A703" s="7" t="s">
        <v>495</v>
      </c>
      <c r="B703" s="7" t="s">
        <v>749</v>
      </c>
      <c r="C703" s="7" t="s">
        <v>707</v>
      </c>
      <c r="D703" s="8">
        <f>(D299*inputs!$E$87)/(inputs!$E$31^inputs!E119)</f>
        <v>0</v>
      </c>
      <c r="E703" s="7" t="str">
        <f t="shared" ca="1" si="11"/>
        <v>=(D299*inputs!$E$87)/(inputs!$E$31^inputs!E119)</v>
      </c>
    </row>
    <row r="704" spans="1:5" x14ac:dyDescent="0.3">
      <c r="A704" s="7" t="s">
        <v>495</v>
      </c>
      <c r="B704" s="7" t="s">
        <v>749</v>
      </c>
      <c r="C704" s="7" t="s">
        <v>708</v>
      </c>
      <c r="D704" s="8">
        <f>(D300*inputs!$E$87)/(inputs!$E$31^inputs!E120)</f>
        <v>0</v>
      </c>
      <c r="E704" s="7" t="str">
        <f t="shared" ca="1" si="11"/>
        <v>=(D300*inputs!$E$87)/(inputs!$E$31^inputs!E120)</v>
      </c>
    </row>
    <row r="705" spans="1:5" x14ac:dyDescent="0.3">
      <c r="A705" s="7" t="s">
        <v>495</v>
      </c>
      <c r="B705" s="7" t="s">
        <v>749</v>
      </c>
      <c r="C705" s="7" t="s">
        <v>709</v>
      </c>
      <c r="D705" s="8">
        <f>(D301*inputs!$E$87)/(inputs!$E$31^inputs!E121)</f>
        <v>0</v>
      </c>
      <c r="E705" s="7" t="str">
        <f t="shared" ca="1" si="11"/>
        <v>=(D301*inputs!$E$87)/(inputs!$E$31^inputs!E121)</v>
      </c>
    </row>
    <row r="706" spans="1:5" x14ac:dyDescent="0.3">
      <c r="A706" s="7" t="s">
        <v>495</v>
      </c>
      <c r="B706" s="7" t="s">
        <v>749</v>
      </c>
      <c r="C706" s="7" t="s">
        <v>710</v>
      </c>
      <c r="D706" s="8">
        <f>(D302*inputs!$E$87)/(inputs!$E$31^inputs!E122)</f>
        <v>0</v>
      </c>
      <c r="E706" s="7" t="str">
        <f t="shared" ca="1" si="11"/>
        <v>=(D302*inputs!$E$87)/(inputs!$E$31^inputs!E122)</v>
      </c>
    </row>
    <row r="707" spans="1:5" x14ac:dyDescent="0.3">
      <c r="A707" s="7" t="s">
        <v>495</v>
      </c>
      <c r="B707" s="7" t="s">
        <v>749</v>
      </c>
      <c r="C707" s="7" t="s">
        <v>711</v>
      </c>
      <c r="D707" s="8">
        <f>(D303*inputs!$E$87)/(inputs!$E$31^inputs!E123)</f>
        <v>0</v>
      </c>
      <c r="E707" s="7" t="str">
        <f t="shared" ca="1" si="11"/>
        <v>=(D303*inputs!$E$87)/(inputs!$E$31^inputs!E123)</v>
      </c>
    </row>
    <row r="708" spans="1:5" x14ac:dyDescent="0.3">
      <c r="A708" s="7" t="s">
        <v>495</v>
      </c>
      <c r="B708" s="7" t="s">
        <v>749</v>
      </c>
      <c r="C708" s="7" t="s">
        <v>712</v>
      </c>
      <c r="D708" s="8">
        <f>(D304*inputs!$E$87)/(inputs!$E$31^inputs!E124)</f>
        <v>0</v>
      </c>
      <c r="E708" s="7" t="str">
        <f t="shared" ca="1" si="11"/>
        <v>=(D304*inputs!$E$87)/(inputs!$E$31^inputs!E124)</v>
      </c>
    </row>
    <row r="709" spans="1:5" x14ac:dyDescent="0.3">
      <c r="A709" s="7" t="s">
        <v>495</v>
      </c>
      <c r="B709" s="7" t="s">
        <v>749</v>
      </c>
      <c r="C709" s="7" t="s">
        <v>713</v>
      </c>
      <c r="D709" s="8">
        <f>(D305*inputs!$E$87)/(inputs!$E$31^inputs!E125)</f>
        <v>0</v>
      </c>
      <c r="E709" s="7" t="str">
        <f t="shared" ca="1" si="11"/>
        <v>=(D305*inputs!$E$87)/(inputs!$E$31^inputs!E125)</v>
      </c>
    </row>
    <row r="710" spans="1:5" x14ac:dyDescent="0.3">
      <c r="A710" s="7" t="s">
        <v>495</v>
      </c>
      <c r="B710" s="7" t="s">
        <v>749</v>
      </c>
      <c r="C710" s="7" t="s">
        <v>714</v>
      </c>
      <c r="D710" s="8">
        <f>(D306*inputs!$E$87)/(inputs!$E$31^inputs!E126)</f>
        <v>0</v>
      </c>
      <c r="E710" s="7" t="str">
        <f t="shared" ca="1" si="11"/>
        <v>=(D306*inputs!$E$87)/(inputs!$E$31^inputs!E126)</v>
      </c>
    </row>
    <row r="711" spans="1:5" x14ac:dyDescent="0.3">
      <c r="A711" s="7" t="s">
        <v>495</v>
      </c>
      <c r="B711" s="7" t="s">
        <v>749</v>
      </c>
      <c r="C711" s="7" t="s">
        <v>715</v>
      </c>
      <c r="D711" s="8">
        <f>(D307*inputs!$E$87)/(inputs!$E$31^inputs!E127)</f>
        <v>0</v>
      </c>
      <c r="E711" s="7" t="str">
        <f t="shared" ca="1" si="11"/>
        <v>=(D307*inputs!$E$87)/(inputs!$E$31^inputs!E127)</v>
      </c>
    </row>
    <row r="712" spans="1:5" x14ac:dyDescent="0.3">
      <c r="A712" s="7" t="s">
        <v>495</v>
      </c>
      <c r="B712" s="7" t="s">
        <v>749</v>
      </c>
      <c r="C712" s="7" t="s">
        <v>716</v>
      </c>
      <c r="D712" s="8">
        <f>(D308*inputs!$E$87)/(inputs!$E$31^inputs!E128)</f>
        <v>0</v>
      </c>
      <c r="E712" s="7" t="str">
        <f t="shared" ca="1" si="11"/>
        <v>=(D308*inputs!$E$87)/(inputs!$E$31^inputs!E128)</v>
      </c>
    </row>
    <row r="713" spans="1:5" x14ac:dyDescent="0.3">
      <c r="A713" s="7" t="s">
        <v>495</v>
      </c>
      <c r="B713" s="7" t="s">
        <v>749</v>
      </c>
      <c r="C713" s="7" t="s">
        <v>717</v>
      </c>
      <c r="D713" s="8">
        <f>(D309*inputs!$E$87)/(inputs!$E$31^inputs!E129)</f>
        <v>0</v>
      </c>
      <c r="E713" s="7" t="str">
        <f t="shared" ca="1" si="11"/>
        <v>=(D309*inputs!$E$87)/(inputs!$E$31^inputs!E129)</v>
      </c>
    </row>
    <row r="714" spans="1:5" x14ac:dyDescent="0.3">
      <c r="A714" s="7" t="s">
        <v>495</v>
      </c>
      <c r="B714" s="7" t="s">
        <v>749</v>
      </c>
      <c r="C714" s="7" t="s">
        <v>718</v>
      </c>
      <c r="D714" s="8">
        <f>(D310*inputs!$E$87)/(inputs!$E$31^inputs!E130)</f>
        <v>0</v>
      </c>
      <c r="E714" s="7" t="str">
        <f t="shared" ca="1" si="11"/>
        <v>=(D310*inputs!$E$87)/(inputs!$E$31^inputs!E130)</v>
      </c>
    </row>
    <row r="715" spans="1:5" x14ac:dyDescent="0.3">
      <c r="A715" s="7" t="s">
        <v>495</v>
      </c>
      <c r="B715" s="7" t="s">
        <v>749</v>
      </c>
      <c r="C715" s="7" t="s">
        <v>719</v>
      </c>
      <c r="D715" s="8">
        <f>(D311*inputs!$E$87)/(inputs!$E$31^inputs!E131)</f>
        <v>0</v>
      </c>
      <c r="E715" s="7" t="str">
        <f t="shared" ca="1" si="11"/>
        <v>=(D311*inputs!$E$87)/(inputs!$E$31^inputs!E131)</v>
      </c>
    </row>
    <row r="716" spans="1:5" x14ac:dyDescent="0.3">
      <c r="A716" s="7" t="s">
        <v>495</v>
      </c>
      <c r="B716" s="7" t="s">
        <v>749</v>
      </c>
      <c r="C716" s="7" t="s">
        <v>720</v>
      </c>
      <c r="D716" s="8">
        <f>(D312*inputs!$E$87)/(inputs!$E$31^inputs!E132)</f>
        <v>0</v>
      </c>
      <c r="E716" s="7" t="str">
        <f t="shared" ca="1" si="11"/>
        <v>=(D312*inputs!$E$87)/(inputs!$E$31^inputs!E132)</v>
      </c>
    </row>
    <row r="717" spans="1:5" x14ac:dyDescent="0.3">
      <c r="A717" s="7" t="s">
        <v>495</v>
      </c>
      <c r="B717" s="7" t="s">
        <v>749</v>
      </c>
      <c r="C717" s="7" t="s">
        <v>721</v>
      </c>
      <c r="D717" s="8">
        <f>(D313*inputs!$E$87)/(inputs!$E$31^inputs!E133)</f>
        <v>0</v>
      </c>
      <c r="E717" s="7" t="str">
        <f t="shared" ca="1" si="11"/>
        <v>=(D313*inputs!$E$87)/(inputs!$E$31^inputs!E133)</v>
      </c>
    </row>
    <row r="718" spans="1:5" x14ac:dyDescent="0.3">
      <c r="A718" s="7" t="s">
        <v>495</v>
      </c>
      <c r="B718" s="7" t="s">
        <v>749</v>
      </c>
      <c r="C718" s="7" t="s">
        <v>722</v>
      </c>
      <c r="D718" s="8">
        <f>(D314*inputs!$E$87)/(inputs!$E$31^inputs!E134)</f>
        <v>0</v>
      </c>
      <c r="E718" s="7" t="str">
        <f t="shared" ca="1" si="11"/>
        <v>=(D314*inputs!$E$87)/(inputs!$E$31^inputs!E134)</v>
      </c>
    </row>
    <row r="719" spans="1:5" x14ac:dyDescent="0.3">
      <c r="A719" s="7" t="s">
        <v>495</v>
      </c>
      <c r="B719" s="7" t="s">
        <v>749</v>
      </c>
      <c r="C719" s="7" t="s">
        <v>723</v>
      </c>
      <c r="D719" s="8">
        <f>(D315*inputs!$E$87)/(inputs!$E$31^inputs!E135)</f>
        <v>0</v>
      </c>
      <c r="E719" s="7" t="str">
        <f t="shared" ca="1" si="11"/>
        <v>=(D315*inputs!$E$87)/(inputs!$E$31^inputs!E135)</v>
      </c>
    </row>
    <row r="720" spans="1:5" x14ac:dyDescent="0.3">
      <c r="A720" s="7" t="s">
        <v>495</v>
      </c>
      <c r="B720" s="7" t="s">
        <v>749</v>
      </c>
      <c r="C720" s="7" t="s">
        <v>724</v>
      </c>
      <c r="D720" s="8">
        <f>(D330*inputs!$E$87)/(inputs!$E$31^inputs!E111)</f>
        <v>0</v>
      </c>
      <c r="E720" s="7" t="str">
        <f t="shared" ca="1" si="11"/>
        <v>=(D330*inputs!$E$87)/(inputs!$E$31^inputs!E111)</v>
      </c>
    </row>
    <row r="721" spans="1:5" x14ac:dyDescent="0.3">
      <c r="A721" s="7" t="s">
        <v>495</v>
      </c>
      <c r="B721" s="7" t="s">
        <v>749</v>
      </c>
      <c r="C721" s="7" t="s">
        <v>725</v>
      </c>
      <c r="D721" s="8">
        <f>(D331*inputs!$E$87)/(inputs!$E$31^inputs!E112)</f>
        <v>0</v>
      </c>
      <c r="E721" s="7" t="str">
        <f t="shared" ca="1" si="11"/>
        <v>=(D331*inputs!$E$87)/(inputs!$E$31^inputs!E112)</v>
      </c>
    </row>
    <row r="722" spans="1:5" x14ac:dyDescent="0.3">
      <c r="A722" s="7" t="s">
        <v>495</v>
      </c>
      <c r="B722" s="7" t="s">
        <v>749</v>
      </c>
      <c r="C722" s="7" t="s">
        <v>726</v>
      </c>
      <c r="D722" s="8">
        <f>(D332*inputs!$E$87)/(inputs!$E$31^inputs!E113)</f>
        <v>0</v>
      </c>
      <c r="E722" s="7" t="str">
        <f t="shared" ca="1" si="11"/>
        <v>=(D332*inputs!$E$87)/(inputs!$E$31^inputs!E113)</v>
      </c>
    </row>
    <row r="723" spans="1:5" x14ac:dyDescent="0.3">
      <c r="A723" s="7" t="s">
        <v>495</v>
      </c>
      <c r="B723" s="7" t="s">
        <v>749</v>
      </c>
      <c r="C723" s="7" t="s">
        <v>727</v>
      </c>
      <c r="D723" s="8">
        <f>(D333*inputs!$E$87)/(inputs!$E$31^inputs!E114)</f>
        <v>0</v>
      </c>
      <c r="E723" s="7" t="str">
        <f t="shared" ca="1" si="11"/>
        <v>=(D333*inputs!$E$87)/(inputs!$E$31^inputs!E114)</v>
      </c>
    </row>
    <row r="724" spans="1:5" x14ac:dyDescent="0.3">
      <c r="A724" s="7" t="s">
        <v>495</v>
      </c>
      <c r="B724" s="7" t="s">
        <v>749</v>
      </c>
      <c r="C724" s="7" t="s">
        <v>728</v>
      </c>
      <c r="D724" s="8">
        <f>(D334*inputs!$E$87)/(inputs!$E$31^inputs!E115)</f>
        <v>0</v>
      </c>
      <c r="E724" s="7" t="str">
        <f t="shared" ca="1" si="11"/>
        <v>=(D334*inputs!$E$87)/(inputs!$E$31^inputs!E115)</v>
      </c>
    </row>
    <row r="725" spans="1:5" x14ac:dyDescent="0.3">
      <c r="A725" s="7" t="s">
        <v>495</v>
      </c>
      <c r="B725" s="7" t="s">
        <v>749</v>
      </c>
      <c r="C725" s="7" t="s">
        <v>729</v>
      </c>
      <c r="D725" s="8">
        <f>(D335*inputs!$E$87)/(inputs!$E$31^inputs!E116)</f>
        <v>0</v>
      </c>
      <c r="E725" s="7" t="str">
        <f t="shared" ca="1" si="11"/>
        <v>=(D335*inputs!$E$87)/(inputs!$E$31^inputs!E116)</v>
      </c>
    </row>
    <row r="726" spans="1:5" x14ac:dyDescent="0.3">
      <c r="A726" s="7" t="s">
        <v>495</v>
      </c>
      <c r="B726" s="7" t="s">
        <v>749</v>
      </c>
      <c r="C726" s="7" t="s">
        <v>730</v>
      </c>
      <c r="D726" s="8">
        <f>(D336*inputs!$E$87)/(inputs!$E$31^inputs!E117)</f>
        <v>0</v>
      </c>
      <c r="E726" s="7" t="str">
        <f t="shared" ca="1" si="11"/>
        <v>=(D336*inputs!$E$87)/(inputs!$E$31^inputs!E117)</v>
      </c>
    </row>
    <row r="727" spans="1:5" x14ac:dyDescent="0.3">
      <c r="A727" s="7" t="s">
        <v>495</v>
      </c>
      <c r="B727" s="7" t="s">
        <v>749</v>
      </c>
      <c r="C727" s="7" t="s">
        <v>731</v>
      </c>
      <c r="D727" s="8">
        <f>(D337*inputs!$E$87)/(inputs!$E$31^inputs!E118)</f>
        <v>0</v>
      </c>
      <c r="E727" s="7" t="str">
        <f t="shared" ca="1" si="11"/>
        <v>=(D337*inputs!$E$87)/(inputs!$E$31^inputs!E118)</v>
      </c>
    </row>
    <row r="728" spans="1:5" x14ac:dyDescent="0.3">
      <c r="A728" s="7" t="s">
        <v>495</v>
      </c>
      <c r="B728" s="7" t="s">
        <v>749</v>
      </c>
      <c r="C728" s="7" t="s">
        <v>732</v>
      </c>
      <c r="D728" s="8">
        <f>(D338*inputs!$E$87)/(inputs!$E$31^inputs!E119)</f>
        <v>0</v>
      </c>
      <c r="E728" s="7" t="str">
        <f t="shared" ca="1" si="11"/>
        <v>=(D338*inputs!$E$87)/(inputs!$E$31^inputs!E119)</v>
      </c>
    </row>
    <row r="729" spans="1:5" x14ac:dyDescent="0.3">
      <c r="A729" s="7" t="s">
        <v>495</v>
      </c>
      <c r="B729" s="7" t="s">
        <v>749</v>
      </c>
      <c r="C729" s="7" t="s">
        <v>733</v>
      </c>
      <c r="D729" s="8">
        <f>(D339*inputs!$E$87)/(inputs!$E$31^inputs!E120)</f>
        <v>0</v>
      </c>
      <c r="E729" s="7" t="str">
        <f t="shared" ca="1" si="11"/>
        <v>=(D339*inputs!$E$87)/(inputs!$E$31^inputs!E120)</v>
      </c>
    </row>
    <row r="730" spans="1:5" x14ac:dyDescent="0.3">
      <c r="A730" s="7" t="s">
        <v>495</v>
      </c>
      <c r="B730" s="7" t="s">
        <v>749</v>
      </c>
      <c r="C730" s="7" t="s">
        <v>734</v>
      </c>
      <c r="D730" s="8">
        <f>(D340*inputs!$E$87)/(inputs!$E$31^inputs!E121)</f>
        <v>0</v>
      </c>
      <c r="E730" s="7" t="str">
        <f t="shared" ca="1" si="11"/>
        <v>=(D340*inputs!$E$87)/(inputs!$E$31^inputs!E121)</v>
      </c>
    </row>
    <row r="731" spans="1:5" x14ac:dyDescent="0.3">
      <c r="A731" s="7" t="s">
        <v>495</v>
      </c>
      <c r="B731" s="7" t="s">
        <v>749</v>
      </c>
      <c r="C731" s="7" t="s">
        <v>735</v>
      </c>
      <c r="D731" s="8">
        <f>(D341*inputs!$E$87)/(inputs!$E$31^inputs!E122)</f>
        <v>0</v>
      </c>
      <c r="E731" s="7" t="str">
        <f t="shared" ca="1" si="11"/>
        <v>=(D341*inputs!$E$87)/(inputs!$E$31^inputs!E122)</v>
      </c>
    </row>
    <row r="732" spans="1:5" x14ac:dyDescent="0.3">
      <c r="A732" s="7" t="s">
        <v>495</v>
      </c>
      <c r="B732" s="7" t="s">
        <v>749</v>
      </c>
      <c r="C732" s="7" t="s">
        <v>736</v>
      </c>
      <c r="D732" s="8">
        <f>(D342*inputs!$E$87)/(inputs!$E$31^inputs!E123)</f>
        <v>0</v>
      </c>
      <c r="E732" s="7" t="str">
        <f t="shared" ca="1" si="11"/>
        <v>=(D342*inputs!$E$87)/(inputs!$E$31^inputs!E123)</v>
      </c>
    </row>
    <row r="733" spans="1:5" x14ac:dyDescent="0.3">
      <c r="A733" s="7" t="s">
        <v>495</v>
      </c>
      <c r="B733" s="7" t="s">
        <v>749</v>
      </c>
      <c r="C733" s="7" t="s">
        <v>737</v>
      </c>
      <c r="D733" s="8">
        <f>(D343*inputs!$E$87)/(inputs!$E$31^inputs!E124)</f>
        <v>0</v>
      </c>
      <c r="E733" s="7" t="str">
        <f t="shared" ca="1" si="11"/>
        <v>=(D343*inputs!$E$87)/(inputs!$E$31^inputs!E124)</v>
      </c>
    </row>
    <row r="734" spans="1:5" x14ac:dyDescent="0.3">
      <c r="A734" s="7" t="s">
        <v>495</v>
      </c>
      <c r="B734" s="7" t="s">
        <v>749</v>
      </c>
      <c r="C734" s="7" t="s">
        <v>738</v>
      </c>
      <c r="D734" s="8">
        <f>(D344*inputs!$E$87)/(inputs!$E$31^inputs!E125)</f>
        <v>0</v>
      </c>
      <c r="E734" s="7" t="str">
        <f t="shared" ca="1" si="11"/>
        <v>=(D344*inputs!$E$87)/(inputs!$E$31^inputs!E125)</v>
      </c>
    </row>
    <row r="735" spans="1:5" x14ac:dyDescent="0.3">
      <c r="A735" s="7" t="s">
        <v>495</v>
      </c>
      <c r="B735" s="7" t="s">
        <v>749</v>
      </c>
      <c r="C735" s="7" t="s">
        <v>739</v>
      </c>
      <c r="D735" s="8">
        <f>(D345*inputs!$E$87)/(inputs!$E$31^inputs!E126)</f>
        <v>0</v>
      </c>
      <c r="E735" s="7" t="str">
        <f t="shared" ca="1" si="11"/>
        <v>=(D345*inputs!$E$87)/(inputs!$E$31^inputs!E126)</v>
      </c>
    </row>
    <row r="736" spans="1:5" x14ac:dyDescent="0.3">
      <c r="A736" s="7" t="s">
        <v>495</v>
      </c>
      <c r="B736" s="7" t="s">
        <v>749</v>
      </c>
      <c r="C736" s="7" t="s">
        <v>740</v>
      </c>
      <c r="D736" s="8">
        <f>(D346*inputs!$E$87)/(inputs!$E$31^inputs!E127)</f>
        <v>0</v>
      </c>
      <c r="E736" s="7" t="str">
        <f t="shared" ca="1" si="11"/>
        <v>=(D346*inputs!$E$87)/(inputs!$E$31^inputs!E127)</v>
      </c>
    </row>
    <row r="737" spans="1:5" x14ac:dyDescent="0.3">
      <c r="A737" s="7" t="s">
        <v>495</v>
      </c>
      <c r="B737" s="7" t="s">
        <v>749</v>
      </c>
      <c r="C737" s="7" t="s">
        <v>741</v>
      </c>
      <c r="D737" s="8">
        <f>(D347*inputs!$E$87)/(inputs!$E$31^inputs!E128)</f>
        <v>0</v>
      </c>
      <c r="E737" s="7" t="str">
        <f t="shared" ca="1" si="11"/>
        <v>=(D347*inputs!$E$87)/(inputs!$E$31^inputs!E128)</v>
      </c>
    </row>
    <row r="738" spans="1:5" x14ac:dyDescent="0.3">
      <c r="A738" s="7" t="s">
        <v>495</v>
      </c>
      <c r="B738" s="7" t="s">
        <v>749</v>
      </c>
      <c r="C738" s="7" t="s">
        <v>742</v>
      </c>
      <c r="D738" s="8">
        <f>(D348*inputs!$E$87)/(inputs!$E$31^inputs!E129)</f>
        <v>0</v>
      </c>
      <c r="E738" s="7" t="str">
        <f t="shared" ca="1" si="11"/>
        <v>=(D348*inputs!$E$87)/(inputs!$E$31^inputs!E129)</v>
      </c>
    </row>
    <row r="739" spans="1:5" x14ac:dyDescent="0.3">
      <c r="A739" s="7" t="s">
        <v>495</v>
      </c>
      <c r="B739" s="7" t="s">
        <v>749</v>
      </c>
      <c r="C739" s="7" t="s">
        <v>743</v>
      </c>
      <c r="D739" s="8">
        <f>(D349*inputs!$E$87)/(inputs!$E$31^inputs!E130)</f>
        <v>0</v>
      </c>
      <c r="E739" s="7" t="str">
        <f t="shared" ca="1" si="11"/>
        <v>=(D349*inputs!$E$87)/(inputs!$E$31^inputs!E130)</v>
      </c>
    </row>
    <row r="740" spans="1:5" x14ac:dyDescent="0.3">
      <c r="A740" s="7" t="s">
        <v>495</v>
      </c>
      <c r="B740" s="7" t="s">
        <v>749</v>
      </c>
      <c r="C740" s="7" t="s">
        <v>744</v>
      </c>
      <c r="D740" s="8">
        <f>(D350*inputs!$E$87)/(inputs!$E$31^inputs!E131)</f>
        <v>0</v>
      </c>
      <c r="E740" s="7" t="str">
        <f t="shared" ca="1" si="11"/>
        <v>=(D350*inputs!$E$87)/(inputs!$E$31^inputs!E131)</v>
      </c>
    </row>
    <row r="741" spans="1:5" x14ac:dyDescent="0.3">
      <c r="A741" s="7" t="s">
        <v>495</v>
      </c>
      <c r="B741" s="7" t="s">
        <v>749</v>
      </c>
      <c r="C741" s="7" t="s">
        <v>745</v>
      </c>
      <c r="D741" s="8">
        <f>(D351*inputs!$E$87)/(inputs!$E$31^inputs!E132)</f>
        <v>0</v>
      </c>
      <c r="E741" s="7" t="str">
        <f t="shared" ca="1" si="11"/>
        <v>=(D351*inputs!$E$87)/(inputs!$E$31^inputs!E132)</v>
      </c>
    </row>
    <row r="742" spans="1:5" x14ac:dyDescent="0.3">
      <c r="A742" s="7" t="s">
        <v>495</v>
      </c>
      <c r="B742" s="7" t="s">
        <v>749</v>
      </c>
      <c r="C742" s="7" t="s">
        <v>746</v>
      </c>
      <c r="D742" s="8">
        <f>(D352*inputs!$E$87)/(inputs!$E$31^inputs!E133)</f>
        <v>0</v>
      </c>
      <c r="E742" s="7" t="str">
        <f t="shared" ca="1" si="11"/>
        <v>=(D352*inputs!$E$87)/(inputs!$E$31^inputs!E133)</v>
      </c>
    </row>
    <row r="743" spans="1:5" x14ac:dyDescent="0.3">
      <c r="A743" s="7" t="s">
        <v>495</v>
      </c>
      <c r="B743" s="7" t="s">
        <v>749</v>
      </c>
      <c r="C743" s="7" t="s">
        <v>747</v>
      </c>
      <c r="D743" s="8">
        <f>(D353*inputs!$E$87)/(inputs!$E$31^inputs!E134)</f>
        <v>0</v>
      </c>
      <c r="E743" s="7" t="str">
        <f t="shared" ca="1" si="11"/>
        <v>=(D353*inputs!$E$87)/(inputs!$E$31^inputs!E134)</v>
      </c>
    </row>
    <row r="744" spans="1:5" x14ac:dyDescent="0.3">
      <c r="A744" s="7" t="s">
        <v>495</v>
      </c>
      <c r="B744" s="7" t="s">
        <v>749</v>
      </c>
      <c r="C744" s="7" t="s">
        <v>748</v>
      </c>
      <c r="D744" s="8">
        <f>(D354*inputs!$E$87)/(inputs!$E$31^inputs!E135)</f>
        <v>0</v>
      </c>
      <c r="E744" s="7" t="str">
        <f t="shared" ca="1" si="11"/>
        <v>=(D354*inputs!$E$87)/(inputs!$E$31^inputs!E135)</v>
      </c>
    </row>
    <row r="745" spans="1:5" x14ac:dyDescent="0.3">
      <c r="A745" s="7" t="s">
        <v>495</v>
      </c>
      <c r="B745" s="7" t="s">
        <v>750</v>
      </c>
      <c r="C745" s="7" t="s">
        <v>665</v>
      </c>
      <c r="D745" s="8">
        <f>D149*inputs!E89</f>
        <v>16308821.680187535</v>
      </c>
      <c r="E745" s="7" t="str">
        <f t="shared" ca="1" si="11"/>
        <v>=D149*inputs!E89</v>
      </c>
    </row>
    <row r="746" spans="1:5" x14ac:dyDescent="0.3">
      <c r="A746" s="7" t="s">
        <v>495</v>
      </c>
      <c r="B746" s="7" t="s">
        <v>750</v>
      </c>
      <c r="C746" s="7" t="s">
        <v>666</v>
      </c>
      <c r="D746" s="8">
        <f>D150*inputs!E90</f>
        <v>9503594.4773476571</v>
      </c>
      <c r="E746" s="7" t="str">
        <f t="shared" ca="1" si="11"/>
        <v>=D150*inputs!E90</v>
      </c>
    </row>
    <row r="747" spans="1:5" x14ac:dyDescent="0.3">
      <c r="A747" s="7" t="s">
        <v>495</v>
      </c>
      <c r="B747" s="7" t="s">
        <v>750</v>
      </c>
      <c r="C747" s="7" t="s">
        <v>667</v>
      </c>
      <c r="D747" s="8">
        <f>D152*inputs!E91</f>
        <v>0</v>
      </c>
      <c r="E747" s="7" t="str">
        <f t="shared" ca="1" si="11"/>
        <v>=D152*inputs!E91</v>
      </c>
    </row>
    <row r="748" spans="1:5" x14ac:dyDescent="0.3">
      <c r="A748" s="7" t="s">
        <v>495</v>
      </c>
      <c r="B748" s="7" t="s">
        <v>750</v>
      </c>
      <c r="C748" s="7" t="s">
        <v>668</v>
      </c>
      <c r="D748" s="8">
        <f>D153*inputs!E92</f>
        <v>0</v>
      </c>
      <c r="E748" s="7" t="str">
        <f t="shared" ca="1" si="11"/>
        <v>=D153*inputs!E92</v>
      </c>
    </row>
    <row r="749" spans="1:5" x14ac:dyDescent="0.3">
      <c r="A749" s="7" t="s">
        <v>495</v>
      </c>
      <c r="B749" s="7" t="s">
        <v>750</v>
      </c>
      <c r="C749" s="7" t="s">
        <v>669</v>
      </c>
      <c r="D749" s="8">
        <f>D154*inputs!E93</f>
        <v>0</v>
      </c>
      <c r="E749" s="7" t="str">
        <f t="shared" ca="1" si="11"/>
        <v>=D154*inputs!E93</v>
      </c>
    </row>
    <row r="750" spans="1:5" x14ac:dyDescent="0.3">
      <c r="A750" s="7" t="s">
        <v>495</v>
      </c>
      <c r="B750" s="7" t="s">
        <v>750</v>
      </c>
      <c r="C750" s="7" t="s">
        <v>672</v>
      </c>
      <c r="D750" s="8">
        <f>D155*inputs!E94</f>
        <v>32626546.958244383</v>
      </c>
      <c r="E750" s="7" t="str">
        <f t="shared" ca="1" si="11"/>
        <v>=D155*inputs!E94</v>
      </c>
    </row>
    <row r="751" spans="1:5" x14ac:dyDescent="0.3">
      <c r="A751" s="7" t="s">
        <v>495</v>
      </c>
      <c r="B751" s="7" t="s">
        <v>750</v>
      </c>
      <c r="C751" s="7" t="s">
        <v>673</v>
      </c>
      <c r="D751" s="8">
        <f>D156*inputs!E95</f>
        <v>0</v>
      </c>
      <c r="E751" s="7" t="str">
        <f t="shared" ca="1" si="11"/>
        <v>=D156*inputs!E95</v>
      </c>
    </row>
    <row r="752" spans="1:5" x14ac:dyDescent="0.3">
      <c r="A752" s="7"/>
      <c r="B752" s="7"/>
      <c r="C752" s="7"/>
      <c r="D752" s="8"/>
      <c r="E752" s="7"/>
    </row>
    <row r="753" spans="1:5" x14ac:dyDescent="0.3">
      <c r="A753" s="7"/>
      <c r="B753" s="7"/>
      <c r="C753" s="7"/>
      <c r="D753" s="8"/>
      <c r="E753" s="7"/>
    </row>
    <row r="754" spans="1:5" x14ac:dyDescent="0.3">
      <c r="A754" s="7"/>
      <c r="B754" s="7"/>
      <c r="C754" s="7"/>
      <c r="D754" s="8"/>
      <c r="E754" s="7"/>
    </row>
    <row r="755" spans="1:5" x14ac:dyDescent="0.3">
      <c r="A755" s="7"/>
      <c r="B755" s="7"/>
      <c r="C755" s="7"/>
      <c r="D755" s="8"/>
      <c r="E755" s="7"/>
    </row>
    <row r="756" spans="1:5" x14ac:dyDescent="0.3">
      <c r="A756" s="7"/>
      <c r="B756" s="7"/>
      <c r="C756" s="7"/>
      <c r="D756" s="8"/>
      <c r="E756" s="7"/>
    </row>
    <row r="757" spans="1:5" x14ac:dyDescent="0.3">
      <c r="A757" s="7"/>
      <c r="B757" s="7"/>
      <c r="C757" s="7"/>
      <c r="D757" s="8"/>
      <c r="E757" s="7"/>
    </row>
    <row r="758" spans="1:5" x14ac:dyDescent="0.3">
      <c r="A758" s="7"/>
      <c r="B758" s="7"/>
      <c r="C758" s="7"/>
      <c r="D758" s="8"/>
      <c r="E758" s="7"/>
    </row>
    <row r="759" spans="1:5" x14ac:dyDescent="0.3">
      <c r="A759" s="7"/>
      <c r="B759" s="7"/>
      <c r="C759" s="7"/>
      <c r="D759" s="8"/>
      <c r="E759" s="7"/>
    </row>
    <row r="760" spans="1:5" x14ac:dyDescent="0.3">
      <c r="A760" s="7"/>
      <c r="B760" s="7"/>
      <c r="C760" s="7"/>
      <c r="D760" s="8"/>
      <c r="E760" s="7"/>
    </row>
    <row r="761" spans="1:5" x14ac:dyDescent="0.3">
      <c r="A761" s="7"/>
      <c r="B761" s="7"/>
      <c r="C761" s="7"/>
      <c r="D761" s="8"/>
      <c r="E761" s="7"/>
    </row>
    <row r="762" spans="1:5" x14ac:dyDescent="0.3">
      <c r="A762" s="7"/>
      <c r="B762" s="7"/>
      <c r="C762" s="7"/>
      <c r="D762" s="8"/>
      <c r="E762" s="7"/>
    </row>
    <row r="763" spans="1:5" x14ac:dyDescent="0.3">
      <c r="A763" s="7"/>
      <c r="B763" s="7"/>
      <c r="C763" s="7"/>
      <c r="D763" s="8"/>
      <c r="E763" s="7"/>
    </row>
    <row r="764" spans="1:5" x14ac:dyDescent="0.3">
      <c r="A764" s="7"/>
      <c r="B764" s="7"/>
      <c r="C764" s="7"/>
      <c r="D764" s="8"/>
      <c r="E764" s="7"/>
    </row>
    <row r="765" spans="1:5" x14ac:dyDescent="0.3">
      <c r="A765" s="7"/>
      <c r="B765" s="7"/>
      <c r="C765" s="7"/>
      <c r="D765" s="8"/>
      <c r="E765" s="7"/>
    </row>
    <row r="766" spans="1:5" x14ac:dyDescent="0.3">
      <c r="A766" s="7"/>
      <c r="B766" s="7"/>
      <c r="C766" s="7"/>
      <c r="D766" s="8"/>
      <c r="E766" s="7"/>
    </row>
    <row r="767" spans="1:5" x14ac:dyDescent="0.3">
      <c r="A767" s="7"/>
      <c r="B767" s="7"/>
      <c r="C767" s="7"/>
      <c r="D767" s="8"/>
      <c r="E767" s="7"/>
    </row>
    <row r="768" spans="1:5" x14ac:dyDescent="0.3">
      <c r="A768" s="7"/>
      <c r="B768" s="7"/>
      <c r="C768" s="7"/>
      <c r="D768" s="8"/>
      <c r="E768" s="7"/>
    </row>
    <row r="769" spans="1:5" x14ac:dyDescent="0.3">
      <c r="A769" s="7"/>
      <c r="B769" s="7"/>
      <c r="C769" s="7"/>
      <c r="D769" s="8"/>
      <c r="E769" s="7"/>
    </row>
    <row r="770" spans="1:5" x14ac:dyDescent="0.3">
      <c r="A770" s="7"/>
      <c r="B770" s="7"/>
      <c r="C770" s="7"/>
      <c r="D770" s="8"/>
      <c r="E770" s="7"/>
    </row>
    <row r="771" spans="1:5" x14ac:dyDescent="0.3">
      <c r="A771" s="7"/>
      <c r="B771" s="7"/>
      <c r="C771" s="7"/>
      <c r="D771" s="8"/>
      <c r="E771" s="7"/>
    </row>
    <row r="772" spans="1:5" x14ac:dyDescent="0.3">
      <c r="A772" s="7"/>
      <c r="B772" s="7"/>
      <c r="C772" s="7"/>
      <c r="D772" s="8"/>
      <c r="E772" s="7"/>
    </row>
    <row r="773" spans="1:5" x14ac:dyDescent="0.3">
      <c r="A773" s="7"/>
      <c r="B773" s="7"/>
      <c r="C773" s="7"/>
      <c r="D773" s="8"/>
      <c r="E773" s="7"/>
    </row>
    <row r="774" spans="1:5" x14ac:dyDescent="0.3">
      <c r="A774" s="7"/>
      <c r="B774" s="7"/>
      <c r="C774" s="7"/>
      <c r="D774" s="8"/>
      <c r="E774" s="7"/>
    </row>
    <row r="775" spans="1:5" x14ac:dyDescent="0.3">
      <c r="A775" s="7"/>
      <c r="B775" s="7"/>
      <c r="C775" s="7"/>
      <c r="D775" s="8"/>
      <c r="E775" s="7"/>
    </row>
    <row r="776" spans="1:5" x14ac:dyDescent="0.3">
      <c r="A776" s="7"/>
      <c r="B776" s="7"/>
      <c r="C776" s="7"/>
      <c r="D776" s="8"/>
      <c r="E776" s="7"/>
    </row>
    <row r="777" spans="1:5" x14ac:dyDescent="0.3">
      <c r="A777" s="7"/>
      <c r="B777" s="7"/>
      <c r="C777" s="7"/>
      <c r="D777" s="8"/>
      <c r="E777" s="7"/>
    </row>
    <row r="778" spans="1:5" x14ac:dyDescent="0.3">
      <c r="A778" s="7"/>
      <c r="B778" s="7"/>
      <c r="C778" s="7"/>
      <c r="D778" s="8"/>
      <c r="E778" s="7"/>
    </row>
    <row r="779" spans="1:5" x14ac:dyDescent="0.3">
      <c r="A779" s="7"/>
      <c r="B779" s="7"/>
      <c r="C779" s="7"/>
      <c r="D779" s="8"/>
      <c r="E779" s="7"/>
    </row>
    <row r="780" spans="1:5" x14ac:dyDescent="0.3">
      <c r="A780" s="7"/>
      <c r="B780" s="7"/>
      <c r="C780" s="7"/>
      <c r="D780" s="8"/>
      <c r="E780" s="7"/>
    </row>
    <row r="781" spans="1:5" x14ac:dyDescent="0.3">
      <c r="A781" s="7"/>
      <c r="B781" s="7"/>
      <c r="C781" s="7"/>
      <c r="D781" s="8"/>
      <c r="E781" s="7"/>
    </row>
    <row r="782" spans="1:5" x14ac:dyDescent="0.3">
      <c r="A782" s="7"/>
      <c r="B782" s="7"/>
      <c r="C782" s="7"/>
      <c r="D782" s="8"/>
      <c r="E782" s="7"/>
    </row>
    <row r="783" spans="1:5" x14ac:dyDescent="0.3">
      <c r="A783" s="7"/>
      <c r="B783" s="7"/>
      <c r="C783" s="7"/>
      <c r="D783" s="8"/>
      <c r="E783" s="7"/>
    </row>
    <row r="784" spans="1:5" x14ac:dyDescent="0.3">
      <c r="A784" s="7"/>
      <c r="B784" s="7"/>
      <c r="C784" s="7"/>
      <c r="D784" s="8"/>
      <c r="E784" s="7"/>
    </row>
    <row r="785" spans="1:5" x14ac:dyDescent="0.3">
      <c r="A785" s="7"/>
      <c r="B785" s="7"/>
      <c r="C785" s="7"/>
      <c r="D785" s="8"/>
      <c r="E785" s="7"/>
    </row>
    <row r="786" spans="1:5" x14ac:dyDescent="0.3">
      <c r="A786" s="7"/>
      <c r="B786" s="7"/>
      <c r="C786" s="7"/>
      <c r="D786" s="8"/>
      <c r="E786" s="7"/>
    </row>
    <row r="787" spans="1:5" x14ac:dyDescent="0.3">
      <c r="A787" s="7"/>
      <c r="B787" s="7"/>
      <c r="C787" s="7"/>
      <c r="D787" s="8"/>
      <c r="E787" s="7"/>
    </row>
    <row r="788" spans="1:5" x14ac:dyDescent="0.3">
      <c r="A788" s="7"/>
      <c r="B788" s="7"/>
      <c r="C788" s="7"/>
      <c r="D788" s="8"/>
      <c r="E788" s="7"/>
    </row>
    <row r="789" spans="1:5" x14ac:dyDescent="0.3">
      <c r="A789" s="7"/>
      <c r="B789" s="7"/>
      <c r="C789" s="7"/>
      <c r="D789" s="8"/>
      <c r="E789" s="7"/>
    </row>
    <row r="790" spans="1:5" x14ac:dyDescent="0.3">
      <c r="A790" s="7"/>
      <c r="B790" s="7"/>
      <c r="C790" s="7"/>
      <c r="D790" s="8"/>
      <c r="E790" s="7"/>
    </row>
    <row r="791" spans="1:5" x14ac:dyDescent="0.3">
      <c r="A791" s="7"/>
      <c r="B791" s="7"/>
      <c r="C791" s="7"/>
      <c r="D791" s="8"/>
      <c r="E791" s="7"/>
    </row>
    <row r="792" spans="1:5" x14ac:dyDescent="0.3">
      <c r="A792" s="7"/>
      <c r="B792" s="7"/>
      <c r="C792" s="7"/>
      <c r="D792" s="8"/>
      <c r="E792" s="7"/>
    </row>
    <row r="793" spans="1:5" x14ac:dyDescent="0.3">
      <c r="A793" s="7"/>
      <c r="B793" s="7"/>
      <c r="C793" s="7"/>
      <c r="D793" s="8"/>
      <c r="E793" s="7"/>
    </row>
    <row r="794" spans="1:5" x14ac:dyDescent="0.3">
      <c r="A794" s="7"/>
      <c r="B794" s="7"/>
      <c r="C794" s="7"/>
      <c r="D794" s="8"/>
      <c r="E794" s="7"/>
    </row>
    <row r="795" spans="1:5" x14ac:dyDescent="0.3">
      <c r="A795" s="7"/>
      <c r="B795" s="7"/>
      <c r="C795" s="7"/>
      <c r="D795" s="8"/>
      <c r="E795" s="7"/>
    </row>
    <row r="796" spans="1:5" x14ac:dyDescent="0.3">
      <c r="A796" s="7"/>
      <c r="B796" s="7"/>
      <c r="C796" s="7"/>
      <c r="D796" s="8"/>
      <c r="E796" s="7"/>
    </row>
    <row r="797" spans="1:5" x14ac:dyDescent="0.3">
      <c r="A797" s="7"/>
      <c r="B797" s="7"/>
      <c r="C797" s="7"/>
      <c r="D797" s="8"/>
      <c r="E797" s="7"/>
    </row>
    <row r="798" spans="1:5" x14ac:dyDescent="0.3">
      <c r="A798" s="7"/>
      <c r="B798" s="7"/>
      <c r="C798" s="7"/>
      <c r="D798" s="8"/>
      <c r="E798" s="7"/>
    </row>
    <row r="799" spans="1:5" x14ac:dyDescent="0.3">
      <c r="A799" s="7"/>
      <c r="B799" s="7"/>
      <c r="C799" s="7"/>
      <c r="D799" s="8"/>
      <c r="E799" s="7"/>
    </row>
    <row r="800" spans="1:5" x14ac:dyDescent="0.3">
      <c r="A800" s="7"/>
      <c r="B800" s="7"/>
      <c r="C800" s="7"/>
      <c r="D800" s="8"/>
      <c r="E800" s="7"/>
    </row>
    <row r="801" spans="1:5" x14ac:dyDescent="0.3">
      <c r="A801" s="7"/>
      <c r="B801" s="7"/>
      <c r="C801" s="7"/>
      <c r="D801" s="8"/>
      <c r="E801" s="7"/>
    </row>
    <row r="802" spans="1:5" x14ac:dyDescent="0.3">
      <c r="A802" s="7"/>
      <c r="B802" s="7"/>
      <c r="C802" s="7"/>
      <c r="D802" s="8"/>
      <c r="E802" s="7"/>
    </row>
    <row r="803" spans="1:5" x14ac:dyDescent="0.3">
      <c r="A803" s="7"/>
      <c r="B803" s="7"/>
      <c r="C803" s="7"/>
      <c r="D803" s="8"/>
      <c r="E803" s="7"/>
    </row>
    <row r="804" spans="1:5" x14ac:dyDescent="0.3">
      <c r="A804" s="7"/>
      <c r="B804" s="7"/>
      <c r="C804" s="7"/>
      <c r="D804" s="8"/>
      <c r="E804" s="7"/>
    </row>
    <row r="805" spans="1:5" x14ac:dyDescent="0.3">
      <c r="A805" s="7"/>
      <c r="B805" s="7"/>
      <c r="C805" s="7"/>
      <c r="D805" s="8"/>
      <c r="E805" s="7"/>
    </row>
    <row r="806" spans="1:5" x14ac:dyDescent="0.3">
      <c r="A806" s="7"/>
      <c r="B806" s="7"/>
      <c r="C806" s="7"/>
      <c r="D806" s="8"/>
      <c r="E806" s="7"/>
    </row>
    <row r="807" spans="1:5" x14ac:dyDescent="0.3">
      <c r="A807" s="7"/>
      <c r="B807" s="7"/>
      <c r="C807" s="7"/>
      <c r="D807" s="8"/>
      <c r="E807" s="7"/>
    </row>
    <row r="808" spans="1:5" x14ac:dyDescent="0.3">
      <c r="A808" s="7"/>
      <c r="B808" s="7"/>
      <c r="C808" s="7"/>
      <c r="D808" s="8"/>
      <c r="E808" s="7"/>
    </row>
    <row r="809" spans="1:5" x14ac:dyDescent="0.3">
      <c r="A809" s="7"/>
      <c r="B809" s="7"/>
      <c r="C809" s="7"/>
      <c r="D809" s="8"/>
      <c r="E809" s="7"/>
    </row>
    <row r="810" spans="1:5" x14ac:dyDescent="0.3">
      <c r="A810" s="7"/>
      <c r="B810" s="7"/>
      <c r="C810" s="7"/>
      <c r="D810" s="8"/>
      <c r="E810" s="7"/>
    </row>
    <row r="811" spans="1:5" x14ac:dyDescent="0.3">
      <c r="A811" s="7"/>
      <c r="B811" s="7"/>
      <c r="C811" s="7"/>
      <c r="D811" s="8"/>
      <c r="E811" s="7"/>
    </row>
    <row r="812" spans="1:5" x14ac:dyDescent="0.3">
      <c r="A812" s="7"/>
      <c r="B812" s="7"/>
      <c r="C812" s="7"/>
      <c r="D812" s="8"/>
      <c r="E812" s="7"/>
    </row>
    <row r="813" spans="1:5" x14ac:dyDescent="0.3">
      <c r="A813" s="7"/>
      <c r="B813" s="7"/>
      <c r="C813" s="7"/>
      <c r="D813" s="8"/>
      <c r="E813" s="7"/>
    </row>
    <row r="814" spans="1:5" x14ac:dyDescent="0.3">
      <c r="A814" s="7"/>
      <c r="B814" s="7"/>
      <c r="C814" s="7"/>
      <c r="D814" s="8"/>
      <c r="E814" s="7"/>
    </row>
    <row r="815" spans="1:5" x14ac:dyDescent="0.3">
      <c r="A815" s="7"/>
      <c r="B815" s="7"/>
      <c r="C815" s="7"/>
      <c r="D815" s="8"/>
      <c r="E815" s="7"/>
    </row>
    <row r="816" spans="1:5" x14ac:dyDescent="0.3">
      <c r="A816" s="7"/>
      <c r="B816" s="7"/>
      <c r="C816" s="7"/>
      <c r="D816" s="8"/>
      <c r="E816" s="7"/>
    </row>
    <row r="817" spans="1:5" x14ac:dyDescent="0.3">
      <c r="A817" s="7"/>
      <c r="B817" s="7"/>
      <c r="C817" s="7"/>
      <c r="D817" s="8"/>
      <c r="E817" s="7"/>
    </row>
    <row r="818" spans="1:5" x14ac:dyDescent="0.3">
      <c r="A818" s="7"/>
      <c r="B818" s="7"/>
      <c r="C818" s="7"/>
      <c r="D818" s="8"/>
      <c r="E818" s="7"/>
    </row>
    <row r="819" spans="1:5" x14ac:dyDescent="0.3">
      <c r="A819" s="7"/>
      <c r="B819" s="7"/>
      <c r="C819" s="7"/>
      <c r="D819" s="8"/>
      <c r="E819" s="7"/>
    </row>
    <row r="820" spans="1:5" x14ac:dyDescent="0.3">
      <c r="A820" s="7"/>
      <c r="B820" s="7"/>
      <c r="C820" s="7"/>
      <c r="D820" s="8"/>
      <c r="E820" s="7"/>
    </row>
    <row r="821" spans="1:5" x14ac:dyDescent="0.3">
      <c r="A821" s="7"/>
      <c r="B821" s="7"/>
      <c r="C821" s="7"/>
      <c r="D821" s="8"/>
      <c r="E821" s="7"/>
    </row>
    <row r="822" spans="1:5" x14ac:dyDescent="0.3">
      <c r="A822" s="7"/>
      <c r="B822" s="7"/>
      <c r="C822" s="7"/>
      <c r="D822" s="8"/>
      <c r="E822" s="7"/>
    </row>
    <row r="823" spans="1:5" x14ac:dyDescent="0.3">
      <c r="A823" s="7"/>
      <c r="B823" s="7"/>
      <c r="C823" s="7"/>
      <c r="D823" s="8"/>
      <c r="E823" s="7"/>
    </row>
    <row r="824" spans="1:5" x14ac:dyDescent="0.3">
      <c r="A824" s="7"/>
      <c r="B824" s="7"/>
      <c r="C824" s="7"/>
      <c r="D824" s="8"/>
      <c r="E824" s="7"/>
    </row>
    <row r="825" spans="1:5" x14ac:dyDescent="0.3">
      <c r="A825" s="7"/>
      <c r="B825" s="7"/>
      <c r="C825" s="7"/>
      <c r="D825" s="8"/>
      <c r="E825" s="7"/>
    </row>
    <row r="826" spans="1:5" x14ac:dyDescent="0.3">
      <c r="A826" s="7"/>
      <c r="B826" s="7"/>
      <c r="C826" s="7"/>
      <c r="D826" s="8"/>
      <c r="E826" s="7"/>
    </row>
    <row r="827" spans="1:5" x14ac:dyDescent="0.3">
      <c r="A827" s="7"/>
      <c r="B827" s="7"/>
      <c r="C827" s="7"/>
      <c r="D827" s="8"/>
      <c r="E827" s="7"/>
    </row>
    <row r="828" spans="1:5" x14ac:dyDescent="0.3">
      <c r="A828" s="7"/>
      <c r="B828" s="7"/>
      <c r="C828" s="7"/>
      <c r="D828" s="8"/>
      <c r="E828" s="7"/>
    </row>
    <row r="829" spans="1:5" x14ac:dyDescent="0.3">
      <c r="A829" s="7"/>
      <c r="B829" s="7"/>
      <c r="C829" s="7"/>
      <c r="D829" s="8"/>
      <c r="E829" s="7"/>
    </row>
    <row r="830" spans="1:5" x14ac:dyDescent="0.3">
      <c r="A830" s="7"/>
      <c r="B830" s="7"/>
      <c r="C830" s="7"/>
      <c r="D830" s="8"/>
      <c r="E830" s="7"/>
    </row>
    <row r="831" spans="1:5" x14ac:dyDescent="0.3">
      <c r="A831" s="7"/>
      <c r="B831" s="7"/>
      <c r="C831" s="7"/>
      <c r="D831" s="8"/>
      <c r="E831" s="7"/>
    </row>
    <row r="832" spans="1:5" x14ac:dyDescent="0.3">
      <c r="A832" s="7"/>
      <c r="B832" s="7"/>
      <c r="C832" s="7"/>
      <c r="D832" s="8"/>
      <c r="E832" s="7"/>
    </row>
    <row r="833" spans="1:5" x14ac:dyDescent="0.3">
      <c r="A833" s="7"/>
      <c r="B833" s="7"/>
      <c r="C833" s="7"/>
      <c r="D833" s="8"/>
      <c r="E833" s="7"/>
    </row>
    <row r="834" spans="1:5" x14ac:dyDescent="0.3">
      <c r="A834" s="7"/>
      <c r="B834" s="7"/>
      <c r="C834" s="7"/>
      <c r="D834" s="8"/>
      <c r="E834" s="7"/>
    </row>
    <row r="835" spans="1:5" x14ac:dyDescent="0.3">
      <c r="A835" s="7"/>
      <c r="B835" s="7"/>
      <c r="C835" s="7"/>
      <c r="D835" s="8"/>
      <c r="E835" s="7"/>
    </row>
    <row r="836" spans="1:5" x14ac:dyDescent="0.3">
      <c r="A836" s="7"/>
      <c r="B836" s="7"/>
      <c r="C836" s="7"/>
      <c r="D836" s="8"/>
      <c r="E836" s="7"/>
    </row>
    <row r="837" spans="1:5" x14ac:dyDescent="0.3">
      <c r="A837" s="7"/>
      <c r="B837" s="7"/>
      <c r="C837" s="7"/>
      <c r="D837" s="8"/>
      <c r="E837" s="7"/>
    </row>
    <row r="838" spans="1:5" x14ac:dyDescent="0.3">
      <c r="A838" s="7"/>
      <c r="B838" s="7"/>
      <c r="C838" s="7"/>
      <c r="D838" s="8"/>
      <c r="E838" s="7"/>
    </row>
    <row r="839" spans="1:5" x14ac:dyDescent="0.3">
      <c r="A839" s="7"/>
      <c r="B839" s="7"/>
      <c r="C839" s="7"/>
      <c r="D839" s="8"/>
      <c r="E839" s="7"/>
    </row>
    <row r="840" spans="1:5" x14ac:dyDescent="0.3">
      <c r="A840" s="7"/>
      <c r="B840" s="7"/>
      <c r="C840" s="7"/>
      <c r="D840" s="8"/>
      <c r="E840" s="7"/>
    </row>
    <row r="841" spans="1:5" x14ac:dyDescent="0.3">
      <c r="A841" s="7"/>
      <c r="B841" s="7"/>
      <c r="C841" s="7"/>
      <c r="D841" s="8"/>
      <c r="E841" s="7"/>
    </row>
    <row r="842" spans="1:5" x14ac:dyDescent="0.3">
      <c r="A842" s="7"/>
      <c r="B842" s="7"/>
      <c r="C842" s="7"/>
      <c r="D842" s="8"/>
      <c r="E842" s="7"/>
    </row>
    <row r="843" spans="1:5" x14ac:dyDescent="0.3">
      <c r="A843" s="7"/>
      <c r="B843" s="7"/>
      <c r="C843" s="7"/>
      <c r="D843" s="8"/>
      <c r="E843" s="7"/>
    </row>
    <row r="844" spans="1:5" x14ac:dyDescent="0.3">
      <c r="A844" s="7"/>
      <c r="B844" s="7"/>
      <c r="C844" s="7"/>
      <c r="D844" s="8"/>
      <c r="E844" s="7"/>
    </row>
    <row r="845" spans="1:5" x14ac:dyDescent="0.3">
      <c r="A845" s="7"/>
      <c r="B845" s="7"/>
      <c r="C845" s="7"/>
      <c r="D845" s="8"/>
      <c r="E845" s="7"/>
    </row>
    <row r="846" spans="1:5" x14ac:dyDescent="0.3">
      <c r="A846" s="7"/>
      <c r="B846" s="7"/>
      <c r="C846" s="7"/>
      <c r="D846" s="8"/>
      <c r="E846" s="7"/>
    </row>
    <row r="847" spans="1:5" x14ac:dyDescent="0.3">
      <c r="A847" s="7"/>
      <c r="B847" s="7"/>
      <c r="C847" s="7"/>
      <c r="D847" s="8"/>
      <c r="E847" s="7"/>
    </row>
    <row r="848" spans="1:5" x14ac:dyDescent="0.3">
      <c r="A848" s="7"/>
      <c r="B848" s="7"/>
      <c r="C848" s="7"/>
      <c r="D848" s="8"/>
      <c r="E848" s="7"/>
    </row>
    <row r="849" spans="1:5" x14ac:dyDescent="0.3">
      <c r="A849" s="7"/>
      <c r="B849" s="7"/>
      <c r="C849" s="7"/>
      <c r="D849" s="8"/>
      <c r="E849" s="7"/>
    </row>
    <row r="850" spans="1:5" x14ac:dyDescent="0.3">
      <c r="A850" s="7"/>
      <c r="B850" s="7"/>
      <c r="C850" s="7"/>
      <c r="D850" s="8"/>
      <c r="E850" s="7"/>
    </row>
    <row r="851" spans="1:5" x14ac:dyDescent="0.3">
      <c r="A851" s="7"/>
      <c r="B851" s="7"/>
      <c r="C851" s="7"/>
      <c r="D851" s="8"/>
      <c r="E851" s="7"/>
    </row>
    <row r="852" spans="1:5" x14ac:dyDescent="0.3">
      <c r="A852" s="7"/>
      <c r="B852" s="7"/>
      <c r="C852" s="7"/>
      <c r="D852" s="8"/>
      <c r="E852" s="7"/>
    </row>
    <row r="853" spans="1:5" x14ac:dyDescent="0.3">
      <c r="A853" s="7"/>
      <c r="B853" s="7"/>
      <c r="C853" s="7"/>
      <c r="D853" s="8"/>
      <c r="E853" s="7"/>
    </row>
    <row r="854" spans="1:5" x14ac:dyDescent="0.3">
      <c r="A854" s="7"/>
      <c r="B854" s="7"/>
      <c r="C854" s="7"/>
      <c r="D854" s="8"/>
      <c r="E854" s="7"/>
    </row>
    <row r="855" spans="1:5" x14ac:dyDescent="0.3">
      <c r="A855" s="7"/>
      <c r="B855" s="7"/>
      <c r="C855" s="7"/>
      <c r="D855" s="8"/>
      <c r="E855" s="7"/>
    </row>
    <row r="856" spans="1:5" x14ac:dyDescent="0.3">
      <c r="A856" s="7"/>
      <c r="B856" s="7"/>
      <c r="C856" s="7"/>
      <c r="D856" s="8"/>
      <c r="E856" s="7"/>
    </row>
    <row r="857" spans="1:5" x14ac:dyDescent="0.3">
      <c r="A857" s="7"/>
      <c r="B857" s="7"/>
      <c r="C857" s="7"/>
      <c r="D857" s="8"/>
      <c r="E857" s="7"/>
    </row>
    <row r="858" spans="1:5" x14ac:dyDescent="0.3">
      <c r="A858" s="7"/>
      <c r="B858" s="7"/>
      <c r="C858" s="7"/>
      <c r="D858" s="8"/>
      <c r="E858" s="7"/>
    </row>
    <row r="859" spans="1:5" x14ac:dyDescent="0.3">
      <c r="A859" s="7"/>
      <c r="B859" s="7"/>
      <c r="C859" s="7"/>
      <c r="D859" s="8"/>
      <c r="E859" s="7"/>
    </row>
    <row r="860" spans="1:5" x14ac:dyDescent="0.3">
      <c r="A860" s="7"/>
      <c r="B860" s="7"/>
      <c r="C860" s="7"/>
      <c r="D860" s="8"/>
      <c r="E860" s="7"/>
    </row>
    <row r="861" spans="1:5" x14ac:dyDescent="0.3">
      <c r="A861" s="7"/>
      <c r="B861" s="7"/>
      <c r="C861" s="7"/>
      <c r="D861" s="8"/>
      <c r="E861" s="7"/>
    </row>
    <row r="862" spans="1:5" x14ac:dyDescent="0.3">
      <c r="A862" s="7"/>
      <c r="B862" s="7"/>
      <c r="C862" s="7"/>
      <c r="D862" s="8"/>
      <c r="E862" s="7"/>
    </row>
    <row r="863" spans="1:5" x14ac:dyDescent="0.3">
      <c r="A863" s="7"/>
      <c r="B863" s="7"/>
      <c r="C863" s="7"/>
      <c r="D863" s="8"/>
      <c r="E863" s="7"/>
    </row>
    <row r="864" spans="1:5" x14ac:dyDescent="0.3">
      <c r="A864" s="7"/>
      <c r="B864" s="7"/>
      <c r="C864" s="7"/>
      <c r="D864" s="8"/>
      <c r="E864" s="7"/>
    </row>
    <row r="865" spans="1:5" x14ac:dyDescent="0.3">
      <c r="A865" s="7"/>
      <c r="B865" s="7"/>
      <c r="C865" s="7"/>
      <c r="D865" s="8"/>
      <c r="E865" s="7"/>
    </row>
    <row r="866" spans="1:5" x14ac:dyDescent="0.3">
      <c r="A866" s="7"/>
      <c r="B866" s="7"/>
      <c r="C866" s="7"/>
      <c r="D866" s="8"/>
      <c r="E866" s="7"/>
    </row>
    <row r="867" spans="1:5" x14ac:dyDescent="0.3">
      <c r="A867" s="7"/>
      <c r="B867" s="7"/>
      <c r="C867" s="7"/>
      <c r="D867" s="8"/>
      <c r="E867" s="7"/>
    </row>
    <row r="868" spans="1:5" x14ac:dyDescent="0.3">
      <c r="A868" s="7"/>
      <c r="B868" s="7"/>
      <c r="C868" s="7"/>
      <c r="D868" s="8"/>
      <c r="E868" s="7"/>
    </row>
    <row r="869" spans="1:5" x14ac:dyDescent="0.3">
      <c r="A869" s="7"/>
      <c r="B869" s="7"/>
      <c r="C869" s="7"/>
      <c r="D869" s="8"/>
      <c r="E869" s="7"/>
    </row>
    <row r="870" spans="1:5" x14ac:dyDescent="0.3">
      <c r="A870" s="7"/>
      <c r="B870" s="7"/>
      <c r="C870" s="7"/>
      <c r="D870" s="8"/>
      <c r="E870" s="7"/>
    </row>
    <row r="871" spans="1:5" x14ac:dyDescent="0.3">
      <c r="A871" s="7"/>
      <c r="B871" s="7"/>
      <c r="C871" s="7"/>
      <c r="D871" s="8"/>
      <c r="E871" s="7"/>
    </row>
    <row r="872" spans="1:5" x14ac:dyDescent="0.3">
      <c r="A872" s="7"/>
      <c r="B872" s="7"/>
      <c r="C872" s="7"/>
      <c r="D872" s="8"/>
      <c r="E872" s="7"/>
    </row>
    <row r="873" spans="1:5" x14ac:dyDescent="0.3">
      <c r="A873" s="7"/>
      <c r="B873" s="7"/>
      <c r="C873" s="7"/>
      <c r="D873" s="8"/>
      <c r="E873" s="7"/>
    </row>
    <row r="874" spans="1:5" x14ac:dyDescent="0.3">
      <c r="A874" s="7"/>
      <c r="B874" s="7"/>
      <c r="C874" s="7"/>
      <c r="D874" s="8"/>
      <c r="E874" s="7"/>
    </row>
    <row r="875" spans="1:5" x14ac:dyDescent="0.3">
      <c r="A875" s="7"/>
      <c r="B875" s="7"/>
      <c r="C875" s="7"/>
      <c r="D875" s="8"/>
      <c r="E875" s="7"/>
    </row>
    <row r="876" spans="1:5" x14ac:dyDescent="0.3">
      <c r="A876" s="7"/>
      <c r="B876" s="7"/>
      <c r="C876" s="7"/>
      <c r="D876" s="8"/>
      <c r="E876" s="7"/>
    </row>
    <row r="877" spans="1:5" x14ac:dyDescent="0.3">
      <c r="A877" s="7"/>
      <c r="B877" s="7"/>
      <c r="C877" s="7"/>
      <c r="D877" s="8"/>
      <c r="E877" s="7"/>
    </row>
    <row r="878" spans="1:5" x14ac:dyDescent="0.3">
      <c r="A878" s="7"/>
      <c r="B878" s="7"/>
      <c r="C878" s="7"/>
      <c r="D878" s="8"/>
      <c r="E878" s="7"/>
    </row>
    <row r="879" spans="1:5" x14ac:dyDescent="0.3">
      <c r="A879" s="7"/>
      <c r="B879" s="7"/>
      <c r="C879" s="7"/>
      <c r="D879" s="8"/>
      <c r="E879" s="7"/>
    </row>
    <row r="880" spans="1:5" x14ac:dyDescent="0.3">
      <c r="A880" s="7"/>
      <c r="B880" s="7"/>
      <c r="C880" s="7"/>
      <c r="D880" s="8"/>
      <c r="E880" s="7"/>
    </row>
    <row r="881" spans="1:5" x14ac:dyDescent="0.3">
      <c r="A881" s="7"/>
      <c r="B881" s="7"/>
      <c r="C881" s="7"/>
      <c r="D881" s="8"/>
      <c r="E881" s="7"/>
    </row>
    <row r="882" spans="1:5" x14ac:dyDescent="0.3">
      <c r="A882" s="7"/>
      <c r="B882" s="7"/>
      <c r="C882" s="7"/>
      <c r="D882" s="8"/>
      <c r="E882" s="7"/>
    </row>
    <row r="883" spans="1:5" x14ac:dyDescent="0.3">
      <c r="A883" s="7"/>
      <c r="B883" s="7"/>
      <c r="C883" s="7"/>
      <c r="D883" s="8"/>
      <c r="E883" s="7"/>
    </row>
    <row r="884" spans="1:5" x14ac:dyDescent="0.3">
      <c r="A884" s="7"/>
      <c r="B884" s="7"/>
      <c r="C884" s="7"/>
      <c r="D884" s="8"/>
      <c r="E884" s="7"/>
    </row>
    <row r="885" spans="1:5" x14ac:dyDescent="0.3">
      <c r="A885" s="7"/>
      <c r="B885" s="7"/>
      <c r="C885" s="7"/>
      <c r="D885" s="8"/>
      <c r="E885" s="7"/>
    </row>
    <row r="886" spans="1:5" x14ac:dyDescent="0.3">
      <c r="A886" s="7"/>
      <c r="B886" s="7"/>
      <c r="C886" s="7"/>
      <c r="D886" s="8"/>
      <c r="E886" s="7"/>
    </row>
    <row r="887" spans="1:5" x14ac:dyDescent="0.3">
      <c r="A887" s="7"/>
      <c r="B887" s="7"/>
      <c r="C887" s="7"/>
      <c r="D887" s="8"/>
      <c r="E887" s="7"/>
    </row>
    <row r="888" spans="1:5" x14ac:dyDescent="0.3">
      <c r="A888" s="7"/>
      <c r="B888" s="7"/>
      <c r="C888" s="7"/>
      <c r="D888" s="8"/>
      <c r="E888" s="7"/>
    </row>
    <row r="889" spans="1:5" x14ac:dyDescent="0.3">
      <c r="A889" s="7"/>
      <c r="B889" s="7"/>
      <c r="C889" s="7"/>
      <c r="D889" s="8"/>
      <c r="E889" s="7"/>
    </row>
    <row r="890" spans="1:5" x14ac:dyDescent="0.3">
      <c r="A890" s="7"/>
      <c r="B890" s="7"/>
      <c r="C890" s="7"/>
      <c r="D890" s="8"/>
      <c r="E890" s="7"/>
    </row>
    <row r="891" spans="1:5" x14ac:dyDescent="0.3">
      <c r="A891" s="7"/>
      <c r="B891" s="7"/>
      <c r="C891" s="7"/>
      <c r="D891" s="8"/>
      <c r="E891" s="7"/>
    </row>
    <row r="892" spans="1:5" x14ac:dyDescent="0.3">
      <c r="A892" s="7"/>
      <c r="B892" s="7"/>
      <c r="C892" s="7"/>
      <c r="D892" s="8"/>
      <c r="E892" s="7"/>
    </row>
    <row r="893" spans="1:5" x14ac:dyDescent="0.3">
      <c r="A893" s="7"/>
      <c r="B893" s="7"/>
      <c r="C893" s="7"/>
      <c r="D893" s="8"/>
      <c r="E893" s="7"/>
    </row>
    <row r="894" spans="1:5" x14ac:dyDescent="0.3">
      <c r="A894" s="7"/>
      <c r="B894" s="7"/>
      <c r="C894" s="7"/>
      <c r="D894" s="8"/>
      <c r="E894" s="7"/>
    </row>
    <row r="895" spans="1:5" x14ac:dyDescent="0.3">
      <c r="A895" s="7"/>
      <c r="B895" s="7"/>
      <c r="C895" s="7"/>
      <c r="D895" s="8"/>
      <c r="E895" s="7"/>
    </row>
    <row r="896" spans="1:5" x14ac:dyDescent="0.3">
      <c r="A896" s="7"/>
      <c r="B896" s="7"/>
      <c r="C896" s="7"/>
      <c r="D896" s="8"/>
      <c r="E896" s="7"/>
    </row>
    <row r="897" spans="1:5" x14ac:dyDescent="0.3">
      <c r="A897" s="7"/>
      <c r="B897" s="7"/>
      <c r="C897" s="7"/>
      <c r="D897" s="8"/>
      <c r="E897" s="7"/>
    </row>
    <row r="898" spans="1:5" x14ac:dyDescent="0.3">
      <c r="A898" s="7"/>
      <c r="B898" s="7"/>
      <c r="C898" s="7"/>
      <c r="D898" s="8"/>
      <c r="E898" s="7"/>
    </row>
    <row r="899" spans="1:5" x14ac:dyDescent="0.3">
      <c r="A899" s="7"/>
      <c r="B899" s="7"/>
      <c r="C899" s="7"/>
      <c r="D899" s="8"/>
      <c r="E899" s="7"/>
    </row>
    <row r="900" spans="1:5" x14ac:dyDescent="0.3">
      <c r="A900" s="7"/>
      <c r="B900" s="7"/>
      <c r="C900" s="7"/>
      <c r="D900" s="8"/>
      <c r="E900" s="7"/>
    </row>
    <row r="901" spans="1:5" x14ac:dyDescent="0.3">
      <c r="A901" s="7"/>
      <c r="B901" s="7"/>
      <c r="C901" s="7"/>
      <c r="D901" s="8"/>
      <c r="E901" s="7"/>
    </row>
    <row r="902" spans="1:5" x14ac:dyDescent="0.3">
      <c r="A902" s="7"/>
      <c r="B902" s="7"/>
      <c r="C902" s="7"/>
      <c r="D902" s="8"/>
      <c r="E902" s="7"/>
    </row>
    <row r="903" spans="1:5" x14ac:dyDescent="0.3">
      <c r="A903" s="7"/>
      <c r="B903" s="7"/>
      <c r="C903" s="7"/>
      <c r="D903" s="8"/>
      <c r="E903" s="7"/>
    </row>
    <row r="904" spans="1:5" x14ac:dyDescent="0.3">
      <c r="A904" s="7"/>
      <c r="B904" s="7"/>
      <c r="C904" s="7"/>
      <c r="D904" s="8"/>
      <c r="E904" s="7"/>
    </row>
    <row r="905" spans="1:5" x14ac:dyDescent="0.3">
      <c r="A905" s="7"/>
      <c r="B905" s="7"/>
      <c r="C905" s="7"/>
      <c r="D905" s="8"/>
      <c r="E905" s="7"/>
    </row>
    <row r="906" spans="1:5" x14ac:dyDescent="0.3">
      <c r="A906" s="7"/>
      <c r="B906" s="7"/>
      <c r="C906" s="7"/>
      <c r="D906" s="8"/>
      <c r="E906" s="7"/>
    </row>
    <row r="907" spans="1:5" x14ac:dyDescent="0.3">
      <c r="A907" s="7"/>
      <c r="B907" s="7"/>
      <c r="C907" s="7"/>
      <c r="D907" s="8"/>
      <c r="E907" s="7"/>
    </row>
    <row r="908" spans="1:5" x14ac:dyDescent="0.3">
      <c r="A908" s="7"/>
      <c r="B908" s="7"/>
      <c r="C908" s="7"/>
      <c r="D908" s="8"/>
      <c r="E908" s="7"/>
    </row>
    <row r="909" spans="1:5" x14ac:dyDescent="0.3">
      <c r="A909" s="7"/>
      <c r="B909" s="7"/>
      <c r="C909" s="7"/>
      <c r="D909" s="8"/>
      <c r="E909" s="7"/>
    </row>
    <row r="910" spans="1:5" x14ac:dyDescent="0.3">
      <c r="A910" s="7"/>
      <c r="B910" s="7"/>
      <c r="C910" s="7"/>
      <c r="D910" s="8"/>
      <c r="E910" s="7"/>
    </row>
    <row r="911" spans="1:5" x14ac:dyDescent="0.3">
      <c r="A911" s="7"/>
      <c r="B911" s="7"/>
      <c r="C911" s="7"/>
      <c r="D911" s="8"/>
      <c r="E911" s="7"/>
    </row>
    <row r="912" spans="1:5" x14ac:dyDescent="0.3">
      <c r="A912" s="7"/>
      <c r="B912" s="7"/>
      <c r="C912" s="7"/>
      <c r="D912" s="8"/>
      <c r="E912" s="7"/>
    </row>
    <row r="913" spans="1:5" x14ac:dyDescent="0.3">
      <c r="A913" s="7"/>
      <c r="B913" s="7"/>
      <c r="C913" s="7"/>
      <c r="D913" s="8"/>
      <c r="E913" s="7"/>
    </row>
    <row r="914" spans="1:5" x14ac:dyDescent="0.3">
      <c r="A914" s="7"/>
      <c r="B914" s="7"/>
      <c r="C914" s="7"/>
      <c r="D914" s="8"/>
      <c r="E914" s="7"/>
    </row>
    <row r="915" spans="1:5" x14ac:dyDescent="0.3">
      <c r="A915" s="7"/>
      <c r="B915" s="7"/>
      <c r="C915" s="7"/>
      <c r="D915" s="8"/>
      <c r="E915" s="7"/>
    </row>
    <row r="916" spans="1:5" x14ac:dyDescent="0.3">
      <c r="A916" s="7"/>
      <c r="B916" s="7"/>
      <c r="C916" s="7"/>
      <c r="D916" s="8"/>
      <c r="E916" s="7"/>
    </row>
    <row r="917" spans="1:5" x14ac:dyDescent="0.3">
      <c r="A917" s="7"/>
      <c r="B917" s="7"/>
      <c r="C917" s="7"/>
      <c r="D917" s="8"/>
      <c r="E917" s="7"/>
    </row>
    <row r="918" spans="1:5" x14ac:dyDescent="0.3">
      <c r="A918" s="7"/>
      <c r="B918" s="7"/>
      <c r="C918" s="7"/>
      <c r="D918" s="8"/>
      <c r="E918" s="7"/>
    </row>
    <row r="919" spans="1:5" x14ac:dyDescent="0.3">
      <c r="A919" s="7"/>
      <c r="B919" s="7"/>
      <c r="C919" s="7"/>
      <c r="D919" s="8"/>
      <c r="E919" s="7"/>
    </row>
    <row r="920" spans="1:5" x14ac:dyDescent="0.3">
      <c r="A920" s="7"/>
      <c r="B920" s="7"/>
      <c r="C920" s="7"/>
      <c r="D920" s="8"/>
      <c r="E920" s="7"/>
    </row>
    <row r="921" spans="1:5" x14ac:dyDescent="0.3">
      <c r="A921" s="7"/>
      <c r="B921" s="7"/>
      <c r="C921" s="7"/>
      <c r="D921" s="8"/>
      <c r="E921" s="7"/>
    </row>
    <row r="922" spans="1:5" x14ac:dyDescent="0.3">
      <c r="A922" s="7"/>
      <c r="B922" s="7"/>
      <c r="C922" s="7"/>
      <c r="D922" s="8"/>
      <c r="E922" s="7"/>
    </row>
    <row r="923" spans="1:5" x14ac:dyDescent="0.3">
      <c r="A923" s="7"/>
      <c r="B923" s="7"/>
      <c r="C923" s="7"/>
      <c r="D923" s="8"/>
      <c r="E923" s="7"/>
    </row>
    <row r="924" spans="1:5" x14ac:dyDescent="0.3">
      <c r="A924" s="7"/>
      <c r="B924" s="7"/>
      <c r="C924" s="7"/>
      <c r="D924" s="8"/>
      <c r="E924" s="7"/>
    </row>
    <row r="925" spans="1:5" x14ac:dyDescent="0.3">
      <c r="A925" s="7"/>
      <c r="B925" s="7"/>
      <c r="C925" s="7"/>
      <c r="D925" s="8"/>
      <c r="E925" s="7"/>
    </row>
    <row r="926" spans="1:5" x14ac:dyDescent="0.3">
      <c r="A926" s="7"/>
      <c r="B926" s="7"/>
      <c r="C926" s="7"/>
      <c r="D926" s="8"/>
      <c r="E926" s="7"/>
    </row>
    <row r="927" spans="1:5" x14ac:dyDescent="0.3">
      <c r="A927" s="7"/>
      <c r="B927" s="7"/>
      <c r="C927" s="7"/>
      <c r="D927" s="8"/>
      <c r="E927" s="7"/>
    </row>
    <row r="928" spans="1:5" x14ac:dyDescent="0.3">
      <c r="A928" s="7"/>
      <c r="B928" s="7"/>
      <c r="C928" s="7"/>
      <c r="D928" s="8"/>
      <c r="E928" s="7"/>
    </row>
    <row r="929" spans="1:5" x14ac:dyDescent="0.3">
      <c r="A929" s="7"/>
      <c r="B929" s="7"/>
      <c r="C929" s="7"/>
      <c r="D929" s="8"/>
      <c r="E929" s="7"/>
    </row>
    <row r="930" spans="1:5" x14ac:dyDescent="0.3">
      <c r="A930" s="7"/>
      <c r="B930" s="7"/>
      <c r="C930" s="7"/>
      <c r="D930" s="8"/>
      <c r="E930" s="7"/>
    </row>
    <row r="931" spans="1:5" x14ac:dyDescent="0.3">
      <c r="A931" s="7"/>
      <c r="B931" s="7"/>
      <c r="C931" s="7"/>
      <c r="D931" s="8"/>
      <c r="E931" s="7"/>
    </row>
    <row r="932" spans="1:5" x14ac:dyDescent="0.3">
      <c r="A932" s="7"/>
      <c r="B932" s="7"/>
      <c r="C932" s="7"/>
      <c r="D932" s="8"/>
      <c r="E932" s="7"/>
    </row>
    <row r="933" spans="1:5" x14ac:dyDescent="0.3">
      <c r="A933" s="7"/>
      <c r="B933" s="7"/>
      <c r="C933" s="7"/>
      <c r="D933" s="8"/>
      <c r="E933" s="7"/>
    </row>
    <row r="934" spans="1:5" x14ac:dyDescent="0.3">
      <c r="A934" s="7"/>
      <c r="B934" s="7"/>
      <c r="C934" s="7"/>
      <c r="D934" s="8"/>
      <c r="E934" s="7"/>
    </row>
    <row r="935" spans="1:5" x14ac:dyDescent="0.3">
      <c r="A935" s="7"/>
      <c r="B935" s="7"/>
      <c r="C935" s="7"/>
      <c r="D935" s="8"/>
      <c r="E935" s="7"/>
    </row>
    <row r="936" spans="1:5" x14ac:dyDescent="0.3">
      <c r="A936" s="7"/>
      <c r="B936" s="7"/>
      <c r="C936" s="7"/>
      <c r="D936" s="8"/>
      <c r="E936" s="7"/>
    </row>
    <row r="937" spans="1:5" x14ac:dyDescent="0.3">
      <c r="A937" s="7"/>
      <c r="B937" s="7"/>
      <c r="C937" s="7"/>
      <c r="D937" s="8"/>
      <c r="E937" s="7"/>
    </row>
    <row r="938" spans="1:5" x14ac:dyDescent="0.3">
      <c r="A938" s="7"/>
      <c r="B938" s="7"/>
      <c r="C938" s="7"/>
      <c r="D938" s="8"/>
      <c r="E938" s="7"/>
    </row>
    <row r="939" spans="1:5" x14ac:dyDescent="0.3">
      <c r="A939" s="7"/>
      <c r="B939" s="7"/>
      <c r="C939" s="7"/>
      <c r="D939" s="8"/>
      <c r="E939" s="7"/>
    </row>
    <row r="940" spans="1:5" x14ac:dyDescent="0.3">
      <c r="A940" s="7"/>
      <c r="B940" s="7"/>
      <c r="C940" s="7"/>
      <c r="D940" s="8"/>
      <c r="E940" s="7"/>
    </row>
    <row r="941" spans="1:5" x14ac:dyDescent="0.3">
      <c r="A941" s="7"/>
      <c r="B941" s="7"/>
      <c r="C941" s="7"/>
      <c r="D941" s="8"/>
      <c r="E941" s="7"/>
    </row>
    <row r="942" spans="1:5" x14ac:dyDescent="0.3">
      <c r="A942" s="7"/>
      <c r="B942" s="7"/>
      <c r="C942" s="7"/>
      <c r="D942" s="8"/>
      <c r="E942" s="7"/>
    </row>
    <row r="943" spans="1:5" x14ac:dyDescent="0.3">
      <c r="A943" s="7"/>
      <c r="B943" s="7"/>
      <c r="C943" s="7"/>
      <c r="D943" s="8"/>
      <c r="E943" s="7"/>
    </row>
    <row r="944" spans="1:5" x14ac:dyDescent="0.3">
      <c r="A944" s="7"/>
      <c r="B944" s="7"/>
      <c r="C944" s="7"/>
      <c r="D944" s="8"/>
      <c r="E944" s="7"/>
    </row>
    <row r="945" spans="1:5" x14ac:dyDescent="0.3">
      <c r="A945" s="7"/>
      <c r="B945" s="7"/>
      <c r="C945" s="7"/>
      <c r="D945" s="8"/>
      <c r="E945" s="7"/>
    </row>
    <row r="946" spans="1:5" x14ac:dyDescent="0.3">
      <c r="A946" s="7"/>
      <c r="B946" s="7"/>
      <c r="C946" s="7"/>
      <c r="D946" s="8"/>
      <c r="E946" s="7"/>
    </row>
    <row r="947" spans="1:5" x14ac:dyDescent="0.3">
      <c r="A947" s="7"/>
      <c r="B947" s="7"/>
      <c r="C947" s="7"/>
      <c r="D947" s="8"/>
      <c r="E947" s="7"/>
    </row>
    <row r="948" spans="1:5" x14ac:dyDescent="0.3">
      <c r="A948" s="7"/>
      <c r="B948" s="7"/>
      <c r="C948" s="7"/>
      <c r="D948" s="8"/>
      <c r="E948" s="7"/>
    </row>
    <row r="949" spans="1:5" x14ac:dyDescent="0.3">
      <c r="A949" s="7"/>
      <c r="B949" s="7"/>
      <c r="C949" s="7"/>
      <c r="D949" s="8"/>
      <c r="E949" s="7"/>
    </row>
    <row r="950" spans="1:5" x14ac:dyDescent="0.3">
      <c r="A950" s="7"/>
      <c r="B950" s="7"/>
      <c r="C950" s="7"/>
      <c r="D950" s="8"/>
      <c r="E950" s="7"/>
    </row>
    <row r="951" spans="1:5" x14ac:dyDescent="0.3">
      <c r="A951" s="7"/>
      <c r="B951" s="7"/>
      <c r="C951" s="7"/>
      <c r="D951" s="8"/>
      <c r="E951" s="7"/>
    </row>
    <row r="952" spans="1:5" x14ac:dyDescent="0.3">
      <c r="A952" s="7"/>
      <c r="B952" s="7"/>
      <c r="C952" s="7"/>
      <c r="D952" s="8"/>
      <c r="E952" s="7"/>
    </row>
    <row r="953" spans="1:5" x14ac:dyDescent="0.3">
      <c r="A953" s="7"/>
      <c r="B953" s="7"/>
      <c r="C953" s="7"/>
      <c r="D953" s="8"/>
      <c r="E953" s="7"/>
    </row>
    <row r="954" spans="1:5" x14ac:dyDescent="0.3">
      <c r="A954" s="7"/>
      <c r="B954" s="7"/>
      <c r="C954" s="7"/>
      <c r="D954" s="8"/>
      <c r="E954" s="7"/>
    </row>
    <row r="955" spans="1:5" x14ac:dyDescent="0.3">
      <c r="A955" s="7"/>
      <c r="B955" s="7"/>
      <c r="C955" s="7"/>
      <c r="D955" s="8"/>
      <c r="E955" s="7"/>
    </row>
    <row r="956" spans="1:5" x14ac:dyDescent="0.3">
      <c r="A956" s="7"/>
      <c r="B956" s="7"/>
      <c r="C956" s="7"/>
      <c r="D956" s="8"/>
      <c r="E956" s="7"/>
    </row>
    <row r="957" spans="1:5" x14ac:dyDescent="0.3">
      <c r="A957" s="7"/>
      <c r="B957" s="7"/>
      <c r="C957" s="7"/>
      <c r="D957" s="8"/>
      <c r="E957" s="7"/>
    </row>
    <row r="958" spans="1:5" x14ac:dyDescent="0.3">
      <c r="A958" s="7"/>
      <c r="B958" s="7"/>
      <c r="C958" s="7"/>
      <c r="D958" s="8"/>
      <c r="E958" s="7"/>
    </row>
    <row r="959" spans="1:5" x14ac:dyDescent="0.3">
      <c r="A959" s="7"/>
      <c r="B959" s="7"/>
      <c r="C959" s="7"/>
      <c r="D959" s="8"/>
      <c r="E959" s="7"/>
    </row>
    <row r="960" spans="1:5" x14ac:dyDescent="0.3">
      <c r="A960" s="7"/>
      <c r="B960" s="7"/>
      <c r="C960" s="7"/>
      <c r="D960" s="8"/>
      <c r="E960" s="7"/>
    </row>
    <row r="961" spans="1:5" x14ac:dyDescent="0.3">
      <c r="A961" s="7"/>
      <c r="B961" s="7"/>
      <c r="C961" s="7"/>
      <c r="D961" s="8"/>
      <c r="E961" s="7"/>
    </row>
    <row r="962" spans="1:5" x14ac:dyDescent="0.3">
      <c r="A962" s="7"/>
      <c r="B962" s="7"/>
      <c r="C962" s="7"/>
      <c r="D962" s="8"/>
      <c r="E962" s="7"/>
    </row>
    <row r="963" spans="1:5" x14ac:dyDescent="0.3">
      <c r="A963" s="7"/>
      <c r="B963" s="7"/>
      <c r="C963" s="7"/>
      <c r="D963" s="8"/>
      <c r="E963" s="7"/>
    </row>
    <row r="964" spans="1:5" x14ac:dyDescent="0.3">
      <c r="A964" s="7"/>
      <c r="B964" s="7"/>
      <c r="C964" s="7"/>
      <c r="D964" s="8"/>
      <c r="E964" s="7"/>
    </row>
    <row r="965" spans="1:5" x14ac:dyDescent="0.3">
      <c r="A965" s="7"/>
      <c r="B965" s="7"/>
      <c r="C965" s="7"/>
      <c r="D965" s="8"/>
      <c r="E965" s="7"/>
    </row>
    <row r="966" spans="1:5" x14ac:dyDescent="0.3">
      <c r="A966" s="7"/>
      <c r="B966" s="7"/>
      <c r="C966" s="7"/>
      <c r="D966" s="8"/>
      <c r="E966" s="7"/>
    </row>
    <row r="967" spans="1:5" x14ac:dyDescent="0.3">
      <c r="A967" s="7"/>
      <c r="B967" s="7"/>
      <c r="C967" s="7"/>
      <c r="D967" s="8"/>
      <c r="E967" s="7"/>
    </row>
    <row r="968" spans="1:5" x14ac:dyDescent="0.3">
      <c r="A968" s="7"/>
      <c r="B968" s="7"/>
      <c r="C968" s="7"/>
      <c r="D968" s="8"/>
      <c r="E968" s="7"/>
    </row>
    <row r="969" spans="1:5" x14ac:dyDescent="0.3">
      <c r="A969" s="7"/>
      <c r="B969" s="7"/>
      <c r="C969" s="7"/>
      <c r="D969" s="8"/>
      <c r="E969" s="7"/>
    </row>
    <row r="970" spans="1:5" x14ac:dyDescent="0.3">
      <c r="A970" s="7"/>
      <c r="B970" s="7"/>
      <c r="C970" s="7"/>
      <c r="D970" s="8"/>
      <c r="E970" s="7"/>
    </row>
    <row r="971" spans="1:5" x14ac:dyDescent="0.3">
      <c r="A971" s="7"/>
      <c r="B971" s="7"/>
      <c r="C971" s="7"/>
      <c r="D971" s="8"/>
      <c r="E971" s="7"/>
    </row>
    <row r="972" spans="1:5" x14ac:dyDescent="0.3">
      <c r="A972" s="7"/>
      <c r="B972" s="7"/>
      <c r="C972" s="7"/>
      <c r="D972" s="8"/>
      <c r="E972" s="7"/>
    </row>
    <row r="973" spans="1:5" x14ac:dyDescent="0.3">
      <c r="A973" s="7"/>
      <c r="B973" s="7"/>
      <c r="C973" s="7"/>
      <c r="D973" s="8"/>
      <c r="E973" s="7"/>
    </row>
    <row r="974" spans="1:5" x14ac:dyDescent="0.3">
      <c r="A974" s="7"/>
      <c r="B974" s="7"/>
      <c r="C974" s="7"/>
      <c r="D974" s="8"/>
      <c r="E974" s="7"/>
    </row>
    <row r="975" spans="1:5" x14ac:dyDescent="0.3">
      <c r="A975" s="7"/>
      <c r="B975" s="7"/>
      <c r="C975" s="7"/>
      <c r="D975" s="8"/>
      <c r="E975" s="7"/>
    </row>
    <row r="976" spans="1:5" x14ac:dyDescent="0.3">
      <c r="A976" s="7"/>
      <c r="B976" s="7"/>
      <c r="C976" s="7"/>
      <c r="D976" s="8"/>
      <c r="E976" s="7"/>
    </row>
    <row r="977" spans="1:5" x14ac:dyDescent="0.3">
      <c r="A977" s="7"/>
      <c r="B977" s="7"/>
      <c r="C977" s="7"/>
      <c r="D977" s="8"/>
      <c r="E977" s="7"/>
    </row>
    <row r="978" spans="1:5" x14ac:dyDescent="0.3">
      <c r="A978" s="7"/>
      <c r="B978" s="7"/>
      <c r="C978" s="7"/>
      <c r="D978" s="8"/>
      <c r="E978" s="7"/>
    </row>
    <row r="979" spans="1:5" x14ac:dyDescent="0.3">
      <c r="A979" s="7"/>
      <c r="B979" s="7"/>
      <c r="C979" s="7"/>
      <c r="D979" s="8"/>
      <c r="E979" s="7"/>
    </row>
    <row r="980" spans="1:5" x14ac:dyDescent="0.3">
      <c r="A980" s="7"/>
      <c r="B980" s="7"/>
      <c r="C980" s="7"/>
      <c r="D980" s="8"/>
      <c r="E980" s="7"/>
    </row>
    <row r="981" spans="1:5" x14ac:dyDescent="0.3">
      <c r="A981" s="7"/>
      <c r="B981" s="7"/>
      <c r="C981" s="7"/>
      <c r="D981" s="8"/>
      <c r="E981" s="7"/>
    </row>
    <row r="982" spans="1:5" x14ac:dyDescent="0.3">
      <c r="A982" s="7"/>
      <c r="B982" s="7"/>
      <c r="C982" s="7"/>
      <c r="D982" s="8"/>
      <c r="E982" s="7"/>
    </row>
    <row r="983" spans="1:5" x14ac:dyDescent="0.3">
      <c r="A983" s="7"/>
      <c r="B983" s="7"/>
      <c r="C983" s="7"/>
      <c r="D983" s="8"/>
      <c r="E983" s="7"/>
    </row>
    <row r="984" spans="1:5" x14ac:dyDescent="0.3">
      <c r="A984" s="7"/>
      <c r="B984" s="7"/>
      <c r="C984" s="7"/>
      <c r="D984" s="8"/>
      <c r="E984" s="7"/>
    </row>
    <row r="985" spans="1:5" x14ac:dyDescent="0.3">
      <c r="A985" s="7"/>
      <c r="B985" s="7"/>
      <c r="C985" s="7"/>
      <c r="D985" s="8"/>
      <c r="E985" s="7"/>
    </row>
    <row r="986" spans="1:5" x14ac:dyDescent="0.3">
      <c r="A986" s="7"/>
      <c r="B986" s="7"/>
      <c r="C986" s="7"/>
      <c r="D986" s="8"/>
      <c r="E986" s="7"/>
    </row>
    <row r="987" spans="1:5" x14ac:dyDescent="0.3">
      <c r="A987" s="7"/>
      <c r="B987" s="7"/>
      <c r="C987" s="7"/>
      <c r="D987" s="8"/>
      <c r="E987" s="7"/>
    </row>
    <row r="988" spans="1:5" x14ac:dyDescent="0.3">
      <c r="A988" s="7"/>
      <c r="B988" s="7"/>
      <c r="C988" s="7"/>
      <c r="D988" s="8"/>
      <c r="E988" s="7"/>
    </row>
    <row r="989" spans="1:5" x14ac:dyDescent="0.3">
      <c r="A989" s="7"/>
      <c r="B989" s="7"/>
      <c r="C989" s="7"/>
      <c r="D989" s="8"/>
      <c r="E989" s="7"/>
    </row>
    <row r="990" spans="1:5" x14ac:dyDescent="0.3">
      <c r="A990" s="7"/>
      <c r="B990" s="7"/>
      <c r="C990" s="7"/>
      <c r="D990" s="8"/>
      <c r="E990" s="7"/>
    </row>
    <row r="991" spans="1:5" x14ac:dyDescent="0.3">
      <c r="A991" s="7"/>
      <c r="B991" s="7"/>
      <c r="C991" s="7"/>
      <c r="D991" s="8"/>
      <c r="E991" s="7"/>
    </row>
    <row r="992" spans="1:5" x14ac:dyDescent="0.3">
      <c r="A992" s="7"/>
      <c r="B992" s="7"/>
      <c r="C992" s="7"/>
      <c r="D992" s="8"/>
      <c r="E992" s="7"/>
    </row>
    <row r="993" spans="1:5" x14ac:dyDescent="0.3">
      <c r="A993" s="7"/>
      <c r="B993" s="7"/>
      <c r="C993" s="7"/>
      <c r="D993" s="8"/>
      <c r="E993" s="7"/>
    </row>
    <row r="994" spans="1:5" x14ac:dyDescent="0.3">
      <c r="A994" s="7"/>
      <c r="B994" s="7"/>
      <c r="C994" s="7"/>
      <c r="D994" s="8"/>
      <c r="E994" s="7"/>
    </row>
    <row r="995" spans="1:5" x14ac:dyDescent="0.3">
      <c r="A995" s="7"/>
      <c r="B995" s="7"/>
      <c r="C995" s="7"/>
      <c r="D995" s="8"/>
      <c r="E995" s="7"/>
    </row>
    <row r="996" spans="1:5" x14ac:dyDescent="0.3">
      <c r="A996" s="7"/>
      <c r="B996" s="7"/>
      <c r="C996" s="7"/>
      <c r="D996" s="8"/>
      <c r="E996" s="7"/>
    </row>
    <row r="997" spans="1:5" x14ac:dyDescent="0.3">
      <c r="A997" s="7"/>
      <c r="B997" s="7"/>
      <c r="C997" s="7"/>
      <c r="D997" s="8"/>
      <c r="E997" s="7"/>
    </row>
    <row r="998" spans="1:5" x14ac:dyDescent="0.3">
      <c r="A998" s="7"/>
      <c r="B998" s="7"/>
      <c r="C998" s="7"/>
      <c r="D998" s="8"/>
      <c r="E998" s="7"/>
    </row>
    <row r="999" spans="1:5" x14ac:dyDescent="0.3">
      <c r="A999" s="7"/>
      <c r="B999" s="7"/>
      <c r="C999" s="7"/>
      <c r="D999" s="8"/>
      <c r="E999" s="7"/>
    </row>
    <row r="1000" spans="1:5" x14ac:dyDescent="0.3">
      <c r="A1000" s="7"/>
      <c r="B1000" s="7"/>
      <c r="C1000" s="7"/>
      <c r="D1000" s="8"/>
      <c r="E1000" s="7"/>
    </row>
    <row r="1001" spans="1:5" x14ac:dyDescent="0.3">
      <c r="A1001" s="7"/>
      <c r="B1001" s="7"/>
      <c r="C1001" s="7"/>
      <c r="D1001" s="8"/>
      <c r="E1001" s="7"/>
    </row>
    <row r="1002" spans="1:5" x14ac:dyDescent="0.3">
      <c r="A1002" s="7"/>
      <c r="B1002" s="7"/>
      <c r="C1002" s="7"/>
      <c r="D1002" s="8"/>
      <c r="E1002" s="7"/>
    </row>
    <row r="1003" spans="1:5" x14ac:dyDescent="0.3">
      <c r="A1003" s="7"/>
      <c r="B1003" s="7"/>
      <c r="C1003" s="7"/>
      <c r="D1003" s="8"/>
      <c r="E1003" s="7"/>
    </row>
    <row r="1004" spans="1:5" x14ac:dyDescent="0.3">
      <c r="A1004" s="7"/>
      <c r="B1004" s="7"/>
      <c r="C1004" s="7"/>
      <c r="D1004" s="8"/>
      <c r="E1004" s="7"/>
    </row>
    <row r="1005" spans="1:5" x14ac:dyDescent="0.3">
      <c r="A1005" s="7"/>
      <c r="B1005" s="7"/>
      <c r="C1005" s="7"/>
      <c r="D1005" s="8"/>
      <c r="E1005" s="7"/>
    </row>
    <row r="1006" spans="1:5" x14ac:dyDescent="0.3">
      <c r="A1006" s="7"/>
      <c r="B1006" s="7"/>
      <c r="C1006" s="7"/>
      <c r="D1006" s="8"/>
      <c r="E1006" s="7"/>
    </row>
    <row r="1007" spans="1:5" x14ac:dyDescent="0.3">
      <c r="A1007" s="7"/>
      <c r="B1007" s="7"/>
      <c r="C1007" s="7"/>
      <c r="D1007" s="8"/>
      <c r="E1007" s="7"/>
    </row>
    <row r="1008" spans="1:5" x14ac:dyDescent="0.3">
      <c r="A1008" s="7"/>
      <c r="B1008" s="7"/>
      <c r="C1008" s="7"/>
      <c r="D1008" s="8"/>
      <c r="E1008" s="7"/>
    </row>
    <row r="1009" spans="1:5" x14ac:dyDescent="0.3">
      <c r="A1009" s="7"/>
      <c r="B1009" s="7"/>
      <c r="C1009" s="7"/>
      <c r="D1009" s="8"/>
      <c r="E1009" s="7"/>
    </row>
    <row r="1010" spans="1:5" x14ac:dyDescent="0.3">
      <c r="A1010" s="7"/>
      <c r="B1010" s="7"/>
      <c r="C1010" s="7"/>
      <c r="D1010" s="8"/>
      <c r="E1010" s="7"/>
    </row>
    <row r="1011" spans="1:5" x14ac:dyDescent="0.3">
      <c r="A1011" s="7"/>
      <c r="B1011" s="7"/>
      <c r="C1011" s="7"/>
      <c r="D1011" s="8"/>
      <c r="E1011" s="7"/>
    </row>
    <row r="1012" spans="1:5" x14ac:dyDescent="0.3">
      <c r="A1012" s="7"/>
      <c r="B1012" s="7"/>
      <c r="C1012" s="7"/>
      <c r="D1012" s="8"/>
      <c r="E1012" s="7"/>
    </row>
    <row r="1013" spans="1:5" x14ac:dyDescent="0.3">
      <c r="A1013" s="7"/>
      <c r="B1013" s="7"/>
      <c r="C1013" s="7"/>
      <c r="D1013" s="8"/>
      <c r="E1013" s="7"/>
    </row>
    <row r="1014" spans="1:5" x14ac:dyDescent="0.3">
      <c r="A1014" s="7"/>
      <c r="B1014" s="7"/>
      <c r="C1014" s="7"/>
      <c r="D1014" s="8"/>
      <c r="E1014" s="7"/>
    </row>
    <row r="1015" spans="1:5" x14ac:dyDescent="0.3">
      <c r="A1015" s="7"/>
      <c r="B1015" s="7"/>
      <c r="C1015" s="7"/>
      <c r="D1015" s="8"/>
      <c r="E1015" s="7"/>
    </row>
    <row r="1016" spans="1:5" x14ac:dyDescent="0.3">
      <c r="A1016" s="7"/>
      <c r="B1016" s="7"/>
      <c r="C1016" s="7"/>
      <c r="D1016" s="8"/>
      <c r="E1016" s="7"/>
    </row>
    <row r="1017" spans="1:5" x14ac:dyDescent="0.3">
      <c r="A1017" s="7"/>
      <c r="B1017" s="7"/>
      <c r="C1017" s="7"/>
      <c r="D1017" s="8"/>
      <c r="E1017" s="7"/>
    </row>
    <row r="1018" spans="1:5" x14ac:dyDescent="0.3">
      <c r="A1018" s="7"/>
      <c r="B1018" s="7"/>
      <c r="C1018" s="7"/>
      <c r="D1018" s="8"/>
      <c r="E1018" s="7"/>
    </row>
    <row r="1019" spans="1:5" x14ac:dyDescent="0.3">
      <c r="A1019" s="7"/>
      <c r="B1019" s="7"/>
      <c r="C1019" s="7"/>
      <c r="D1019" s="8"/>
      <c r="E1019" s="7"/>
    </row>
    <row r="1020" spans="1:5" x14ac:dyDescent="0.3">
      <c r="A1020" s="7"/>
      <c r="B1020" s="7"/>
      <c r="C1020" s="7"/>
      <c r="D1020" s="8"/>
      <c r="E1020" s="7"/>
    </row>
    <row r="1021" spans="1:5" x14ac:dyDescent="0.3">
      <c r="A1021" s="7"/>
      <c r="B1021" s="7"/>
      <c r="C1021" s="7"/>
      <c r="D1021" s="8"/>
      <c r="E1021" s="7"/>
    </row>
    <row r="1022" spans="1:5" x14ac:dyDescent="0.3">
      <c r="A1022" s="7"/>
      <c r="B1022" s="7"/>
      <c r="C1022" s="7"/>
      <c r="D1022" s="8"/>
      <c r="E1022" s="7"/>
    </row>
    <row r="1023" spans="1:5" x14ac:dyDescent="0.3">
      <c r="A1023" s="7"/>
      <c r="B1023" s="7"/>
      <c r="C1023" s="7"/>
      <c r="D1023" s="8"/>
      <c r="E1023" s="7"/>
    </row>
    <row r="1024" spans="1:5" x14ac:dyDescent="0.3">
      <c r="A1024" s="7"/>
      <c r="B1024" s="7"/>
      <c r="C1024" s="7"/>
      <c r="D1024" s="8"/>
      <c r="E1024" s="7"/>
    </row>
    <row r="1025" spans="1:5" x14ac:dyDescent="0.3">
      <c r="A1025" s="7"/>
      <c r="B1025" s="7"/>
      <c r="C1025" s="7"/>
      <c r="D1025" s="8"/>
      <c r="E1025" s="7"/>
    </row>
    <row r="1026" spans="1:5" x14ac:dyDescent="0.3">
      <c r="A1026" s="7"/>
      <c r="B1026" s="7"/>
      <c r="C1026" s="7"/>
      <c r="D1026" s="8"/>
      <c r="E1026" s="7"/>
    </row>
    <row r="1027" spans="1:5" x14ac:dyDescent="0.3">
      <c r="A1027" s="7"/>
      <c r="B1027" s="7"/>
      <c r="C1027" s="7"/>
      <c r="D1027" s="8"/>
      <c r="E1027" s="7"/>
    </row>
    <row r="1028" spans="1:5" x14ac:dyDescent="0.3">
      <c r="A1028" s="7"/>
      <c r="B1028" s="7"/>
      <c r="C1028" s="7"/>
      <c r="D1028" s="8"/>
      <c r="E1028" s="7"/>
    </row>
    <row r="1029" spans="1:5" x14ac:dyDescent="0.3">
      <c r="A1029" s="7"/>
      <c r="B1029" s="7"/>
      <c r="C1029" s="7"/>
      <c r="D1029" s="8"/>
      <c r="E1029" s="7"/>
    </row>
    <row r="1030" spans="1:5" x14ac:dyDescent="0.3">
      <c r="A1030" s="7"/>
      <c r="B1030" s="7"/>
      <c r="C1030" s="7"/>
      <c r="D1030" s="8"/>
      <c r="E1030" s="7"/>
    </row>
    <row r="1031" spans="1:5" x14ac:dyDescent="0.3">
      <c r="A1031" s="7"/>
      <c r="B1031" s="7"/>
      <c r="C1031" s="7"/>
      <c r="D1031" s="8"/>
      <c r="E1031" s="7"/>
    </row>
    <row r="1032" spans="1:5" x14ac:dyDescent="0.3">
      <c r="A1032" s="7"/>
      <c r="B1032" s="7"/>
      <c r="C1032" s="7"/>
      <c r="D1032" s="8"/>
      <c r="E1032" s="7"/>
    </row>
    <row r="1033" spans="1:5" x14ac:dyDescent="0.3">
      <c r="A1033" s="7"/>
      <c r="B1033" s="7"/>
      <c r="C1033" s="7"/>
      <c r="D1033" s="8"/>
      <c r="E1033" s="7"/>
    </row>
    <row r="1034" spans="1:5" x14ac:dyDescent="0.3">
      <c r="A1034" s="7"/>
      <c r="B1034" s="7"/>
      <c r="C1034" s="7"/>
      <c r="D1034" s="8"/>
      <c r="E1034" s="7"/>
    </row>
    <row r="1035" spans="1:5" x14ac:dyDescent="0.3">
      <c r="A1035" s="7"/>
      <c r="B1035" s="7"/>
      <c r="C1035" s="7"/>
      <c r="D1035" s="8"/>
      <c r="E1035" s="7"/>
    </row>
    <row r="1036" spans="1:5" x14ac:dyDescent="0.3">
      <c r="A1036" s="7"/>
      <c r="B1036" s="7"/>
      <c r="C1036" s="7"/>
      <c r="D1036" s="8"/>
      <c r="E1036" s="7"/>
    </row>
    <row r="1037" spans="1:5" x14ac:dyDescent="0.3">
      <c r="A1037" s="7"/>
      <c r="B1037" s="7"/>
      <c r="C1037" s="7"/>
      <c r="D1037" s="8"/>
      <c r="E1037" s="7"/>
    </row>
    <row r="1038" spans="1:5" x14ac:dyDescent="0.3">
      <c r="A1038" s="7"/>
      <c r="B1038" s="7"/>
      <c r="C1038" s="7"/>
      <c r="D1038" s="8"/>
      <c r="E1038" s="7"/>
    </row>
    <row r="1039" spans="1:5" x14ac:dyDescent="0.3">
      <c r="A1039" s="7"/>
      <c r="B1039" s="7"/>
      <c r="C1039" s="7"/>
      <c r="D1039" s="8"/>
      <c r="E1039" s="7"/>
    </row>
    <row r="1040" spans="1:5" x14ac:dyDescent="0.3">
      <c r="A1040" s="7"/>
      <c r="B1040" s="7"/>
      <c r="C1040" s="7"/>
      <c r="D1040" s="8"/>
      <c r="E1040" s="7"/>
    </row>
    <row r="1041" spans="1:5" x14ac:dyDescent="0.3">
      <c r="A1041" s="7"/>
      <c r="B1041" s="7"/>
      <c r="C1041" s="7"/>
      <c r="D1041" s="8"/>
      <c r="E1041" s="7"/>
    </row>
    <row r="1042" spans="1:5" x14ac:dyDescent="0.3">
      <c r="A1042" s="7"/>
      <c r="B1042" s="7"/>
      <c r="C1042" s="7"/>
      <c r="D1042" s="8"/>
      <c r="E1042" s="7"/>
    </row>
    <row r="1043" spans="1:5" x14ac:dyDescent="0.3">
      <c r="A1043" s="7"/>
      <c r="B1043" s="7"/>
      <c r="C1043" s="7"/>
      <c r="D1043" s="8"/>
      <c r="E1043" s="7"/>
    </row>
    <row r="1044" spans="1:5" x14ac:dyDescent="0.3">
      <c r="A1044" s="7"/>
      <c r="B1044" s="7"/>
      <c r="C1044" s="7"/>
      <c r="D1044" s="8"/>
      <c r="E1044" s="7"/>
    </row>
    <row r="1045" spans="1:5" x14ac:dyDescent="0.3">
      <c r="A1045" s="7"/>
      <c r="B1045" s="7"/>
      <c r="C1045" s="7"/>
      <c r="D1045" s="8"/>
      <c r="E1045" s="7"/>
    </row>
    <row r="1046" spans="1:5" x14ac:dyDescent="0.3">
      <c r="A1046" s="7"/>
      <c r="B1046" s="7"/>
      <c r="C1046" s="7"/>
      <c r="D1046" s="8"/>
      <c r="E1046" s="7"/>
    </row>
    <row r="1047" spans="1:5" x14ac:dyDescent="0.3">
      <c r="A1047" s="7"/>
      <c r="B1047" s="7"/>
      <c r="C1047" s="7"/>
      <c r="D1047" s="8"/>
      <c r="E1047" s="7"/>
    </row>
    <row r="1048" spans="1:5" x14ac:dyDescent="0.3">
      <c r="A1048" s="7"/>
      <c r="B1048" s="7"/>
      <c r="C1048" s="7"/>
      <c r="D1048" s="8"/>
      <c r="E1048" s="7"/>
    </row>
    <row r="1049" spans="1:5" x14ac:dyDescent="0.3">
      <c r="A1049" s="7"/>
      <c r="B1049" s="7"/>
      <c r="C1049" s="7"/>
      <c r="D1049" s="8"/>
      <c r="E1049" s="7"/>
    </row>
    <row r="1050" spans="1:5" x14ac:dyDescent="0.3">
      <c r="A1050" s="7"/>
      <c r="B1050" s="7"/>
      <c r="C1050" s="7"/>
      <c r="D1050" s="8"/>
      <c r="E1050" s="7"/>
    </row>
    <row r="1051" spans="1:5" x14ac:dyDescent="0.3">
      <c r="A1051" s="7"/>
      <c r="B1051" s="7"/>
      <c r="C1051" s="7"/>
      <c r="D1051" s="8"/>
      <c r="E1051" s="7"/>
    </row>
    <row r="1052" spans="1:5" x14ac:dyDescent="0.3">
      <c r="A1052" s="7"/>
      <c r="B1052" s="7"/>
      <c r="C1052" s="7"/>
      <c r="D1052" s="8"/>
      <c r="E1052" s="7"/>
    </row>
    <row r="1053" spans="1:5" x14ac:dyDescent="0.3">
      <c r="A1053" s="7"/>
      <c r="B1053" s="7"/>
      <c r="C1053" s="7"/>
      <c r="D1053" s="8"/>
      <c r="E1053" s="7"/>
    </row>
    <row r="1054" spans="1:5" x14ac:dyDescent="0.3">
      <c r="A1054" s="7"/>
      <c r="B1054" s="7"/>
      <c r="C1054" s="7"/>
      <c r="D1054" s="8"/>
      <c r="E1054" s="7"/>
    </row>
    <row r="1055" spans="1:5" x14ac:dyDescent="0.3">
      <c r="A1055" s="7"/>
      <c r="B1055" s="7"/>
      <c r="C1055" s="7"/>
      <c r="D1055" s="8"/>
      <c r="E1055" s="7"/>
    </row>
    <row r="1056" spans="1:5" x14ac:dyDescent="0.3">
      <c r="A1056" s="7"/>
      <c r="B1056" s="7"/>
      <c r="C1056" s="7"/>
      <c r="D1056" s="8"/>
      <c r="E1056" s="7"/>
    </row>
    <row r="1057" spans="1:5" x14ac:dyDescent="0.3">
      <c r="A1057" s="7"/>
      <c r="B1057" s="7"/>
      <c r="C1057" s="7"/>
      <c r="D1057" s="8"/>
      <c r="E1057" s="7"/>
    </row>
    <row r="1058" spans="1:5" x14ac:dyDescent="0.3">
      <c r="A1058" s="7"/>
      <c r="B1058" s="7"/>
      <c r="C1058" s="7"/>
      <c r="D1058" s="8"/>
      <c r="E1058" s="7"/>
    </row>
    <row r="1059" spans="1:5" x14ac:dyDescent="0.3">
      <c r="A1059" s="7"/>
      <c r="B1059" s="7"/>
      <c r="C1059" s="7"/>
      <c r="D1059" s="8"/>
      <c r="E1059" s="7"/>
    </row>
    <row r="1060" spans="1:5" x14ac:dyDescent="0.3">
      <c r="A1060" s="7"/>
      <c r="B1060" s="7"/>
      <c r="C1060" s="7"/>
      <c r="D1060" s="8"/>
      <c r="E1060" s="7"/>
    </row>
    <row r="1061" spans="1:5" x14ac:dyDescent="0.3">
      <c r="A1061" s="7"/>
      <c r="B1061" s="7"/>
      <c r="C1061" s="7"/>
      <c r="D1061" s="8"/>
      <c r="E1061" s="7"/>
    </row>
    <row r="1062" spans="1:5" x14ac:dyDescent="0.3">
      <c r="A1062" s="7"/>
      <c r="B1062" s="7"/>
      <c r="C1062" s="7"/>
      <c r="D1062" s="8"/>
      <c r="E1062" s="7"/>
    </row>
    <row r="1063" spans="1:5" x14ac:dyDescent="0.3">
      <c r="A1063" s="7"/>
      <c r="B1063" s="7"/>
      <c r="C1063" s="7"/>
      <c r="D1063" s="8"/>
      <c r="E1063" s="7"/>
    </row>
    <row r="1064" spans="1:5" x14ac:dyDescent="0.3">
      <c r="A1064" s="7"/>
      <c r="B1064" s="7"/>
      <c r="C1064" s="7"/>
      <c r="D1064" s="8"/>
      <c r="E1064" s="7"/>
    </row>
    <row r="1065" spans="1:5" x14ac:dyDescent="0.3">
      <c r="A1065" s="7"/>
      <c r="B1065" s="7"/>
      <c r="C1065" s="7"/>
      <c r="D1065" s="8"/>
      <c r="E1065" s="7"/>
    </row>
    <row r="1066" spans="1:5" x14ac:dyDescent="0.3">
      <c r="A1066" s="7"/>
      <c r="B1066" s="7"/>
      <c r="C1066" s="7"/>
      <c r="D1066" s="8"/>
      <c r="E1066" s="7"/>
    </row>
    <row r="1067" spans="1:5" x14ac:dyDescent="0.3">
      <c r="A1067" s="7"/>
      <c r="B1067" s="7"/>
      <c r="C1067" s="7"/>
      <c r="D1067" s="8"/>
      <c r="E1067" s="7"/>
    </row>
    <row r="1068" spans="1:5" x14ac:dyDescent="0.3">
      <c r="A1068" s="7"/>
      <c r="B1068" s="7"/>
      <c r="C1068" s="7"/>
      <c r="D1068" s="8"/>
      <c r="E1068" s="7"/>
    </row>
    <row r="1069" spans="1:5" x14ac:dyDescent="0.3">
      <c r="A1069" s="7"/>
      <c r="B1069" s="7"/>
      <c r="C1069" s="7"/>
      <c r="D1069" s="8"/>
      <c r="E1069" s="7"/>
    </row>
    <row r="1070" spans="1:5" x14ac:dyDescent="0.3">
      <c r="A1070" s="7"/>
      <c r="B1070" s="7"/>
      <c r="C1070" s="7"/>
      <c r="D1070" s="8"/>
      <c r="E1070" s="7"/>
    </row>
    <row r="1071" spans="1:5" x14ac:dyDescent="0.3">
      <c r="A1071" s="7"/>
      <c r="B1071" s="7"/>
      <c r="C1071" s="7"/>
      <c r="D1071" s="8"/>
      <c r="E1071" s="7"/>
    </row>
    <row r="1072" spans="1:5" x14ac:dyDescent="0.3">
      <c r="A1072" s="7"/>
      <c r="B1072" s="7"/>
      <c r="C1072" s="7"/>
      <c r="D1072" s="8"/>
      <c r="E1072" s="7"/>
    </row>
    <row r="1073" spans="1:5" x14ac:dyDescent="0.3">
      <c r="A1073" s="7"/>
      <c r="B1073" s="7"/>
      <c r="C1073" s="7"/>
      <c r="D1073" s="8"/>
      <c r="E1073" s="7"/>
    </row>
    <row r="1074" spans="1:5" x14ac:dyDescent="0.3">
      <c r="A1074" s="7"/>
      <c r="B1074" s="7"/>
      <c r="C1074" s="7"/>
      <c r="D1074" s="8"/>
      <c r="E1074" s="7"/>
    </row>
    <row r="1075" spans="1:5" x14ac:dyDescent="0.3">
      <c r="A1075" s="7"/>
      <c r="B1075" s="7"/>
      <c r="C1075" s="7"/>
      <c r="D1075" s="8"/>
      <c r="E1075" s="7"/>
    </row>
    <row r="1076" spans="1:5" x14ac:dyDescent="0.3">
      <c r="A1076" s="7"/>
      <c r="B1076" s="7"/>
      <c r="C1076" s="7"/>
      <c r="D1076" s="8"/>
      <c r="E1076" s="7"/>
    </row>
    <row r="1077" spans="1:5" x14ac:dyDescent="0.3">
      <c r="A1077" s="7"/>
      <c r="B1077" s="7"/>
      <c r="C1077" s="7"/>
      <c r="D1077" s="8"/>
      <c r="E1077" s="7"/>
    </row>
    <row r="1078" spans="1:5" x14ac:dyDescent="0.3">
      <c r="A1078" s="7"/>
      <c r="B1078" s="7"/>
      <c r="C1078" s="7"/>
      <c r="D1078" s="8"/>
      <c r="E1078" s="7"/>
    </row>
    <row r="1079" spans="1:5" x14ac:dyDescent="0.3">
      <c r="A1079" s="7"/>
      <c r="B1079" s="7"/>
      <c r="C1079" s="7"/>
      <c r="D1079" s="8"/>
      <c r="E1079" s="7"/>
    </row>
    <row r="1080" spans="1:5" x14ac:dyDescent="0.3">
      <c r="A1080" s="7"/>
      <c r="B1080" s="7"/>
      <c r="C1080" s="7"/>
      <c r="D1080" s="8"/>
      <c r="E1080" s="7"/>
    </row>
    <row r="1081" spans="1:5" x14ac:dyDescent="0.3">
      <c r="A1081" s="7"/>
      <c r="B1081" s="7"/>
      <c r="C1081" s="7"/>
      <c r="D1081" s="8"/>
      <c r="E1081" s="7"/>
    </row>
    <row r="1082" spans="1:5" x14ac:dyDescent="0.3">
      <c r="A1082" s="7"/>
      <c r="B1082" s="7"/>
      <c r="C1082" s="7"/>
      <c r="D1082" s="8"/>
      <c r="E1082" s="7"/>
    </row>
    <row r="1083" spans="1:5" x14ac:dyDescent="0.3">
      <c r="A1083" s="7"/>
      <c r="B1083" s="7"/>
      <c r="C1083" s="7"/>
      <c r="D1083" s="8"/>
      <c r="E1083" s="7"/>
    </row>
    <row r="1084" spans="1:5" x14ac:dyDescent="0.3">
      <c r="A1084" s="7"/>
      <c r="B1084" s="7"/>
      <c r="C1084" s="7"/>
      <c r="D1084" s="8"/>
      <c r="E1084" s="7"/>
    </row>
    <row r="1085" spans="1:5" x14ac:dyDescent="0.3">
      <c r="A1085" s="7"/>
      <c r="B1085" s="7"/>
      <c r="C1085" s="7"/>
      <c r="D1085" s="8"/>
      <c r="E1085" s="7"/>
    </row>
    <row r="1086" spans="1:5" x14ac:dyDescent="0.3">
      <c r="A1086" s="7"/>
      <c r="B1086" s="7"/>
      <c r="C1086" s="7"/>
      <c r="D1086" s="8"/>
      <c r="E1086" s="7"/>
    </row>
    <row r="1087" spans="1:5" x14ac:dyDescent="0.3">
      <c r="A1087" s="7"/>
      <c r="B1087" s="7"/>
      <c r="C1087" s="7"/>
      <c r="D1087" s="8"/>
      <c r="E1087" s="7"/>
    </row>
    <row r="1088" spans="1:5" x14ac:dyDescent="0.3">
      <c r="A1088" s="7"/>
      <c r="B1088" s="7"/>
      <c r="C1088" s="7"/>
      <c r="D1088" s="8"/>
      <c r="E1088" s="7"/>
    </row>
    <row r="1089" spans="1:5" x14ac:dyDescent="0.3">
      <c r="A1089" s="7"/>
      <c r="B1089" s="7"/>
      <c r="C1089" s="7"/>
      <c r="D1089" s="8"/>
      <c r="E1089" s="7"/>
    </row>
    <row r="1090" spans="1:5" x14ac:dyDescent="0.3">
      <c r="A1090" s="7"/>
      <c r="B1090" s="7"/>
      <c r="C1090" s="7"/>
      <c r="D1090" s="8"/>
      <c r="E1090" s="7"/>
    </row>
    <row r="1091" spans="1:5" x14ac:dyDescent="0.3">
      <c r="A1091" s="7"/>
      <c r="B1091" s="7"/>
      <c r="C1091" s="7"/>
      <c r="D1091" s="8"/>
      <c r="E1091" s="7"/>
    </row>
    <row r="1092" spans="1:5" x14ac:dyDescent="0.3">
      <c r="A1092" s="7"/>
      <c r="B1092" s="7"/>
      <c r="C1092" s="7"/>
      <c r="D1092" s="8"/>
      <c r="E1092" s="7"/>
    </row>
    <row r="1093" spans="1:5" x14ac:dyDescent="0.3">
      <c r="A1093" s="7"/>
      <c r="B1093" s="7"/>
      <c r="C1093" s="7"/>
      <c r="D1093" s="8"/>
      <c r="E1093" s="7"/>
    </row>
    <row r="1094" spans="1:5" x14ac:dyDescent="0.3">
      <c r="A1094" s="7"/>
      <c r="B1094" s="7"/>
      <c r="C1094" s="7"/>
      <c r="D1094" s="8"/>
      <c r="E1094" s="7"/>
    </row>
    <row r="1095" spans="1:5" x14ac:dyDescent="0.3">
      <c r="A1095" s="7"/>
      <c r="B1095" s="7"/>
      <c r="C1095" s="7"/>
      <c r="D1095" s="8"/>
      <c r="E1095" s="7"/>
    </row>
    <row r="1096" spans="1:5" x14ac:dyDescent="0.3">
      <c r="A1096" s="7"/>
      <c r="B1096" s="7"/>
      <c r="C1096" s="7"/>
      <c r="D1096" s="8"/>
      <c r="E1096" s="7"/>
    </row>
    <row r="1097" spans="1:5" x14ac:dyDescent="0.3">
      <c r="A1097" s="7"/>
      <c r="B1097" s="7"/>
      <c r="C1097" s="7"/>
      <c r="D1097" s="8"/>
      <c r="E1097" s="7"/>
    </row>
    <row r="1098" spans="1:5" x14ac:dyDescent="0.3">
      <c r="A1098" s="7"/>
      <c r="B1098" s="7"/>
      <c r="C1098" s="7"/>
      <c r="D1098" s="8"/>
      <c r="E1098" s="7"/>
    </row>
    <row r="1099" spans="1:5" x14ac:dyDescent="0.3">
      <c r="A1099" s="7"/>
      <c r="B1099" s="7"/>
      <c r="C1099" s="7"/>
      <c r="D1099" s="8"/>
      <c r="E1099" s="7"/>
    </row>
    <row r="1100" spans="1:5" x14ac:dyDescent="0.3">
      <c r="A1100" s="7"/>
      <c r="B1100" s="7"/>
      <c r="C1100" s="7"/>
      <c r="D1100" s="8"/>
      <c r="E1100" s="7"/>
    </row>
    <row r="1101" spans="1:5" x14ac:dyDescent="0.3">
      <c r="A1101" s="7"/>
      <c r="B1101" s="7"/>
      <c r="C1101" s="7"/>
      <c r="D1101" s="8"/>
      <c r="E1101" s="7"/>
    </row>
    <row r="1102" spans="1:5" x14ac:dyDescent="0.3">
      <c r="A1102" s="7"/>
      <c r="B1102" s="7"/>
      <c r="C1102" s="7"/>
      <c r="D1102" s="8"/>
      <c r="E1102" s="7"/>
    </row>
    <row r="1103" spans="1:5" x14ac:dyDescent="0.3">
      <c r="A1103" s="7"/>
      <c r="B1103" s="7"/>
      <c r="C1103" s="7"/>
      <c r="D1103" s="8"/>
      <c r="E1103" s="7"/>
    </row>
    <row r="1104" spans="1:5" x14ac:dyDescent="0.3">
      <c r="A1104" s="7"/>
      <c r="B1104" s="7"/>
      <c r="C1104" s="7"/>
      <c r="D1104" s="8"/>
      <c r="E1104" s="7"/>
    </row>
    <row r="1105" spans="1:5" x14ac:dyDescent="0.3">
      <c r="A1105" s="7"/>
      <c r="B1105" s="7"/>
      <c r="C1105" s="7"/>
      <c r="D1105" s="8"/>
      <c r="E1105" s="7"/>
    </row>
    <row r="1106" spans="1:5" x14ac:dyDescent="0.3">
      <c r="A1106" s="7"/>
      <c r="B1106" s="7"/>
      <c r="C1106" s="7"/>
      <c r="D1106" s="8"/>
      <c r="E1106" s="7"/>
    </row>
    <row r="1107" spans="1:5" x14ac:dyDescent="0.3">
      <c r="A1107" s="7"/>
      <c r="B1107" s="7"/>
      <c r="C1107" s="7"/>
      <c r="D1107" s="8"/>
      <c r="E1107" s="7"/>
    </row>
    <row r="1108" spans="1:5" x14ac:dyDescent="0.3">
      <c r="A1108" s="7"/>
      <c r="B1108" s="7"/>
      <c r="C1108" s="7"/>
      <c r="D1108" s="8"/>
      <c r="E1108" s="7"/>
    </row>
    <row r="1109" spans="1:5" x14ac:dyDescent="0.3">
      <c r="A1109" s="7"/>
      <c r="B1109" s="7"/>
      <c r="C1109" s="7"/>
      <c r="D1109" s="8"/>
      <c r="E1109" s="7"/>
    </row>
    <row r="1110" spans="1:5" x14ac:dyDescent="0.3">
      <c r="A1110" s="7"/>
      <c r="B1110" s="7"/>
      <c r="C1110" s="7"/>
      <c r="D1110" s="8"/>
      <c r="E1110" s="7"/>
    </row>
    <row r="1111" spans="1:5" x14ac:dyDescent="0.3">
      <c r="A1111" s="7"/>
      <c r="B1111" s="7"/>
      <c r="C1111" s="7"/>
      <c r="D1111" s="8"/>
      <c r="E1111" s="7"/>
    </row>
    <row r="1112" spans="1:5" x14ac:dyDescent="0.3">
      <c r="A1112" s="7"/>
      <c r="B1112" s="7"/>
      <c r="C1112" s="7"/>
      <c r="D1112" s="8"/>
      <c r="E1112" s="7"/>
    </row>
    <row r="1113" spans="1:5" x14ac:dyDescent="0.3">
      <c r="A1113" s="7"/>
      <c r="B1113" s="7"/>
      <c r="C1113" s="7"/>
      <c r="D1113" s="8"/>
      <c r="E1113" s="7"/>
    </row>
    <row r="1114" spans="1:5" x14ac:dyDescent="0.3">
      <c r="A1114" s="7"/>
      <c r="B1114" s="7"/>
      <c r="C1114" s="7"/>
      <c r="D1114" s="8"/>
      <c r="E1114" s="7"/>
    </row>
    <row r="1115" spans="1:5" x14ac:dyDescent="0.3">
      <c r="A1115" s="7"/>
      <c r="B1115" s="7"/>
      <c r="C1115" s="7"/>
      <c r="D1115" s="8"/>
      <c r="E1115" s="7"/>
    </row>
    <row r="1116" spans="1:5" x14ac:dyDescent="0.3">
      <c r="A1116" s="7"/>
      <c r="B1116" s="7"/>
      <c r="C1116" s="7"/>
      <c r="D1116" s="8"/>
      <c r="E1116" s="7"/>
    </row>
    <row r="1117" spans="1:5" x14ac:dyDescent="0.3">
      <c r="A1117" s="7"/>
      <c r="B1117" s="7"/>
      <c r="C1117" s="7"/>
      <c r="D1117" s="8"/>
      <c r="E1117" s="7"/>
    </row>
    <row r="1118" spans="1:5" x14ac:dyDescent="0.3">
      <c r="A1118" s="7"/>
      <c r="B1118" s="7"/>
      <c r="C1118" s="7"/>
      <c r="D1118" s="8"/>
      <c r="E1118" s="7"/>
    </row>
    <row r="1119" spans="1:5" x14ac:dyDescent="0.3">
      <c r="A1119" s="7"/>
      <c r="B1119" s="7"/>
      <c r="C1119" s="7"/>
      <c r="D1119" s="8"/>
      <c r="E1119" s="7"/>
    </row>
    <row r="1120" spans="1:5" x14ac:dyDescent="0.3">
      <c r="A1120" s="7"/>
      <c r="B1120" s="7"/>
      <c r="C1120" s="7"/>
      <c r="D1120" s="8"/>
      <c r="E1120" s="7"/>
    </row>
    <row r="1121" spans="1:5" x14ac:dyDescent="0.3">
      <c r="A1121" s="7"/>
      <c r="B1121" s="7"/>
      <c r="C1121" s="7"/>
      <c r="D1121" s="8"/>
      <c r="E1121" s="7"/>
    </row>
    <row r="1122" spans="1:5" x14ac:dyDescent="0.3">
      <c r="A1122" s="7"/>
      <c r="B1122" s="7"/>
      <c r="C1122" s="7"/>
      <c r="D1122" s="8"/>
      <c r="E1122" s="7"/>
    </row>
    <row r="1123" spans="1:5" x14ac:dyDescent="0.3">
      <c r="A1123" s="7"/>
      <c r="B1123" s="7"/>
      <c r="C1123" s="7"/>
      <c r="D1123" s="8"/>
      <c r="E1123" s="7"/>
    </row>
    <row r="1124" spans="1:5" x14ac:dyDescent="0.3">
      <c r="A1124" s="7"/>
      <c r="B1124" s="7"/>
      <c r="C1124" s="7"/>
      <c r="D1124" s="8"/>
      <c r="E1124" s="7"/>
    </row>
    <row r="1125" spans="1:5" x14ac:dyDescent="0.3">
      <c r="A1125" s="7"/>
      <c r="B1125" s="7"/>
      <c r="C1125" s="7"/>
      <c r="D1125" s="8"/>
      <c r="E1125" s="7"/>
    </row>
    <row r="1126" spans="1:5" x14ac:dyDescent="0.3">
      <c r="A1126" s="7"/>
      <c r="B1126" s="7"/>
      <c r="C1126" s="7"/>
      <c r="D1126" s="8"/>
      <c r="E1126" s="7"/>
    </row>
    <row r="1127" spans="1:5" x14ac:dyDescent="0.3">
      <c r="A1127" s="7"/>
      <c r="B1127" s="7"/>
      <c r="C1127" s="7"/>
      <c r="D1127" s="8"/>
      <c r="E1127" s="7"/>
    </row>
    <row r="1128" spans="1:5" x14ac:dyDescent="0.3">
      <c r="A1128" s="7"/>
      <c r="B1128" s="7"/>
      <c r="C1128" s="7"/>
      <c r="D1128" s="8"/>
      <c r="E1128" s="7"/>
    </row>
    <row r="1129" spans="1:5" x14ac:dyDescent="0.3">
      <c r="A1129" s="7"/>
      <c r="B1129" s="7"/>
      <c r="C1129" s="7"/>
      <c r="D1129" s="8"/>
      <c r="E1129" s="7"/>
    </row>
    <row r="1130" spans="1:5" x14ac:dyDescent="0.3">
      <c r="A1130" s="7"/>
      <c r="B1130" s="7"/>
      <c r="C1130" s="7"/>
      <c r="D1130" s="8"/>
      <c r="E1130" s="7"/>
    </row>
    <row r="1131" spans="1:5" x14ac:dyDescent="0.3">
      <c r="A1131" s="7"/>
      <c r="B1131" s="7"/>
      <c r="C1131" s="7"/>
      <c r="D1131" s="8"/>
      <c r="E1131" s="7"/>
    </row>
    <row r="1132" spans="1:5" x14ac:dyDescent="0.3">
      <c r="A1132" s="7"/>
      <c r="B1132" s="7"/>
      <c r="C1132" s="7"/>
      <c r="D1132" s="8"/>
      <c r="E1132" s="7"/>
    </row>
    <row r="1133" spans="1:5" x14ac:dyDescent="0.3">
      <c r="A1133" s="7"/>
      <c r="B1133" s="7"/>
      <c r="C1133" s="7"/>
      <c r="D1133" s="8"/>
      <c r="E1133" s="7"/>
    </row>
    <row r="1134" spans="1:5" x14ac:dyDescent="0.3">
      <c r="A1134" s="7"/>
      <c r="B1134" s="7"/>
      <c r="C1134" s="7"/>
      <c r="D1134" s="8"/>
      <c r="E1134" s="7"/>
    </row>
    <row r="1135" spans="1:5" x14ac:dyDescent="0.3">
      <c r="A1135" s="7"/>
      <c r="B1135" s="7"/>
      <c r="C1135" s="7"/>
      <c r="D1135" s="8"/>
      <c r="E1135" s="7"/>
    </row>
    <row r="1136" spans="1:5" x14ac:dyDescent="0.3">
      <c r="A1136" s="7"/>
      <c r="B1136" s="7"/>
      <c r="C1136" s="7"/>
      <c r="D1136" s="8"/>
      <c r="E1136" s="7"/>
    </row>
    <row r="1137" spans="1:5" x14ac:dyDescent="0.3">
      <c r="A1137" s="7"/>
      <c r="B1137" s="7"/>
      <c r="C1137" s="7"/>
      <c r="D1137" s="8"/>
      <c r="E1137" s="7"/>
    </row>
    <row r="1138" spans="1:5" x14ac:dyDescent="0.3">
      <c r="A1138" s="7"/>
      <c r="B1138" s="7"/>
      <c r="C1138" s="7"/>
      <c r="D1138" s="8"/>
      <c r="E1138" s="7"/>
    </row>
    <row r="1139" spans="1:5" x14ac:dyDescent="0.3">
      <c r="A1139" s="7"/>
      <c r="B1139" s="7"/>
      <c r="C1139" s="7"/>
      <c r="D1139" s="8"/>
      <c r="E1139" s="7"/>
    </row>
    <row r="1140" spans="1:5" x14ac:dyDescent="0.3">
      <c r="A1140" s="7"/>
      <c r="B1140" s="7"/>
      <c r="C1140" s="7"/>
      <c r="D1140" s="8"/>
      <c r="E1140" s="7"/>
    </row>
    <row r="1141" spans="1:5" x14ac:dyDescent="0.3">
      <c r="A1141" s="7"/>
      <c r="B1141" s="7"/>
      <c r="C1141" s="7"/>
      <c r="D1141" s="8"/>
      <c r="E1141" s="7"/>
    </row>
    <row r="1142" spans="1:5" x14ac:dyDescent="0.3">
      <c r="A1142" s="7"/>
      <c r="B1142" s="7"/>
      <c r="C1142" s="7"/>
      <c r="D1142" s="8"/>
      <c r="E1142" s="7"/>
    </row>
    <row r="1143" spans="1:5" x14ac:dyDescent="0.3">
      <c r="A1143" s="7"/>
      <c r="B1143" s="7"/>
      <c r="C1143" s="7"/>
      <c r="D1143" s="8"/>
      <c r="E1143" s="7"/>
    </row>
    <row r="1144" spans="1:5" x14ac:dyDescent="0.3">
      <c r="A1144" s="7"/>
      <c r="B1144" s="7"/>
      <c r="C1144" s="7"/>
      <c r="D1144" s="8"/>
      <c r="E1144" s="7"/>
    </row>
    <row r="1145" spans="1:5" x14ac:dyDescent="0.3">
      <c r="A1145" s="7"/>
      <c r="B1145" s="7"/>
      <c r="C1145" s="7"/>
      <c r="D1145" s="8"/>
      <c r="E1145" s="7"/>
    </row>
    <row r="1146" spans="1:5" x14ac:dyDescent="0.3">
      <c r="A1146" s="7"/>
      <c r="B1146" s="7"/>
      <c r="C1146" s="7"/>
      <c r="D1146" s="8"/>
      <c r="E1146" s="7"/>
    </row>
    <row r="1147" spans="1:5" x14ac:dyDescent="0.3">
      <c r="A1147" s="7"/>
      <c r="B1147" s="7"/>
      <c r="C1147" s="7"/>
      <c r="D1147" s="8"/>
      <c r="E1147" s="7"/>
    </row>
    <row r="1148" spans="1:5" x14ac:dyDescent="0.3">
      <c r="A1148" s="7"/>
      <c r="B1148" s="7"/>
      <c r="C1148" s="7"/>
      <c r="D1148" s="8"/>
      <c r="E1148" s="7"/>
    </row>
    <row r="1149" spans="1:5" x14ac:dyDescent="0.3">
      <c r="A1149" s="7"/>
      <c r="B1149" s="7"/>
      <c r="C1149" s="7"/>
      <c r="D1149" s="8"/>
      <c r="E1149" s="7"/>
    </row>
    <row r="1150" spans="1:5" x14ac:dyDescent="0.3">
      <c r="A1150" s="7"/>
      <c r="B1150" s="7"/>
      <c r="C1150" s="7"/>
      <c r="D1150" s="8"/>
      <c r="E1150" s="7"/>
    </row>
    <row r="1151" spans="1:5" x14ac:dyDescent="0.3">
      <c r="A1151" s="7"/>
      <c r="B1151" s="7"/>
      <c r="C1151" s="7"/>
      <c r="D1151" s="8"/>
      <c r="E1151" s="7"/>
    </row>
    <row r="1152" spans="1:5" x14ac:dyDescent="0.3">
      <c r="A1152" s="7"/>
      <c r="B1152" s="7"/>
      <c r="C1152" s="7"/>
      <c r="D1152" s="8"/>
      <c r="E1152" s="7"/>
    </row>
    <row r="1153" spans="1:5" x14ac:dyDescent="0.3">
      <c r="A1153" s="7"/>
      <c r="B1153" s="7"/>
      <c r="C1153" s="7"/>
      <c r="D1153" s="8"/>
      <c r="E1153" s="7"/>
    </row>
    <row r="1154" spans="1:5" x14ac:dyDescent="0.3">
      <c r="A1154" s="7"/>
      <c r="B1154" s="7"/>
      <c r="C1154" s="7"/>
      <c r="D1154" s="8"/>
      <c r="E1154" s="7"/>
    </row>
    <row r="1155" spans="1:5" x14ac:dyDescent="0.3">
      <c r="A1155" s="7"/>
      <c r="B1155" s="7"/>
      <c r="C1155" s="7"/>
      <c r="D1155" s="8"/>
      <c r="E1155" s="7"/>
    </row>
    <row r="1156" spans="1:5" x14ac:dyDescent="0.3">
      <c r="A1156" s="7"/>
      <c r="B1156" s="7"/>
      <c r="C1156" s="7"/>
      <c r="D1156" s="8"/>
      <c r="E1156" s="7"/>
    </row>
    <row r="1157" spans="1:5" x14ac:dyDescent="0.3">
      <c r="A1157" s="7"/>
      <c r="B1157" s="7"/>
      <c r="C1157" s="7"/>
      <c r="D1157" s="8"/>
      <c r="E1157" s="7"/>
    </row>
    <row r="1158" spans="1:5" x14ac:dyDescent="0.3">
      <c r="A1158" s="7"/>
      <c r="B1158" s="7"/>
      <c r="C1158" s="7"/>
      <c r="D1158" s="8"/>
      <c r="E1158" s="7"/>
    </row>
    <row r="1159" spans="1:5" x14ac:dyDescent="0.3">
      <c r="A1159" s="7"/>
      <c r="B1159" s="7"/>
      <c r="C1159" s="7"/>
      <c r="D1159" s="8"/>
      <c r="E1159" s="7"/>
    </row>
    <row r="1160" spans="1:5" x14ac:dyDescent="0.3">
      <c r="A1160" s="7"/>
      <c r="B1160" s="7"/>
      <c r="C1160" s="7"/>
      <c r="D1160" s="8"/>
      <c r="E1160" s="7"/>
    </row>
    <row r="1161" spans="1:5" x14ac:dyDescent="0.3">
      <c r="A1161" s="7"/>
      <c r="B1161" s="7"/>
      <c r="C1161" s="7"/>
      <c r="D1161" s="8"/>
      <c r="E1161" s="7"/>
    </row>
    <row r="1162" spans="1:5" x14ac:dyDescent="0.3">
      <c r="A1162" s="7"/>
      <c r="B1162" s="7"/>
      <c r="C1162" s="7"/>
      <c r="D1162" s="8"/>
      <c r="E1162" s="7"/>
    </row>
    <row r="1163" spans="1:5" x14ac:dyDescent="0.3">
      <c r="A1163" s="7"/>
      <c r="B1163" s="7"/>
      <c r="C1163" s="7"/>
      <c r="D1163" s="8"/>
      <c r="E1163" s="7"/>
    </row>
    <row r="1164" spans="1:5" x14ac:dyDescent="0.3">
      <c r="A1164" s="7"/>
      <c r="B1164" s="7"/>
      <c r="C1164" s="7"/>
      <c r="D1164" s="8"/>
      <c r="E1164" s="7"/>
    </row>
    <row r="1165" spans="1:5" x14ac:dyDescent="0.3">
      <c r="A1165" s="7"/>
      <c r="B1165" s="7"/>
      <c r="C1165" s="7"/>
      <c r="D1165" s="8"/>
      <c r="E1165" s="7"/>
    </row>
    <row r="1166" spans="1:5" x14ac:dyDescent="0.3">
      <c r="A1166" s="7"/>
      <c r="B1166" s="7"/>
      <c r="C1166" s="7"/>
      <c r="D1166" s="8"/>
      <c r="E1166" s="7"/>
    </row>
    <row r="1167" spans="1:5" x14ac:dyDescent="0.3">
      <c r="A1167" s="7"/>
      <c r="B1167" s="7"/>
      <c r="C1167" s="7"/>
      <c r="D1167" s="8"/>
      <c r="E1167" s="7"/>
    </row>
    <row r="1168" spans="1:5" x14ac:dyDescent="0.3">
      <c r="A1168" s="7"/>
      <c r="B1168" s="7"/>
      <c r="C1168" s="7"/>
      <c r="D1168" s="8"/>
      <c r="E1168" s="7"/>
    </row>
    <row r="1169" spans="1:5" x14ac:dyDescent="0.3">
      <c r="A1169" s="7"/>
      <c r="B1169" s="7"/>
      <c r="C1169" s="7"/>
      <c r="D1169" s="8"/>
      <c r="E1169" s="7"/>
    </row>
    <row r="1170" spans="1:5" x14ac:dyDescent="0.3">
      <c r="A1170" s="7"/>
      <c r="B1170" s="7"/>
      <c r="C1170" s="7"/>
      <c r="D1170" s="8"/>
      <c r="E1170" s="7"/>
    </row>
    <row r="1171" spans="1:5" x14ac:dyDescent="0.3">
      <c r="A1171" s="7"/>
      <c r="B1171" s="7"/>
      <c r="C1171" s="7"/>
      <c r="D1171" s="8"/>
      <c r="E1171" s="7"/>
    </row>
    <row r="1172" spans="1:5" x14ac:dyDescent="0.3">
      <c r="A1172" s="7"/>
      <c r="B1172" s="7"/>
      <c r="C1172" s="7"/>
      <c r="D1172" s="8"/>
      <c r="E1172" s="7"/>
    </row>
    <row r="1173" spans="1:5" x14ac:dyDescent="0.3">
      <c r="A1173" s="7"/>
      <c r="B1173" s="7"/>
      <c r="C1173" s="7"/>
      <c r="D1173" s="8"/>
      <c r="E1173" s="7"/>
    </row>
    <row r="1174" spans="1:5" x14ac:dyDescent="0.3">
      <c r="A1174" s="7"/>
      <c r="B1174" s="7"/>
      <c r="C1174" s="7"/>
      <c r="D1174" s="8"/>
      <c r="E1174" s="7"/>
    </row>
    <row r="1175" spans="1:5" x14ac:dyDescent="0.3">
      <c r="A1175" s="7"/>
      <c r="B1175" s="7"/>
      <c r="C1175" s="7"/>
      <c r="D1175" s="8"/>
      <c r="E1175" s="7"/>
    </row>
    <row r="1176" spans="1:5" x14ac:dyDescent="0.3">
      <c r="A1176" s="7"/>
      <c r="B1176" s="7"/>
      <c r="C1176" s="7"/>
      <c r="D1176" s="8"/>
      <c r="E1176" s="7"/>
    </row>
    <row r="1177" spans="1:5" x14ac:dyDescent="0.3">
      <c r="A1177" s="7"/>
      <c r="B1177" s="7"/>
      <c r="C1177" s="7"/>
      <c r="D1177" s="8"/>
      <c r="E1177" s="7"/>
    </row>
    <row r="1178" spans="1:5" x14ac:dyDescent="0.3">
      <c r="A1178" s="7"/>
      <c r="B1178" s="7"/>
      <c r="C1178" s="7"/>
      <c r="D1178" s="8"/>
      <c r="E1178" s="7"/>
    </row>
    <row r="1179" spans="1:5" x14ac:dyDescent="0.3">
      <c r="A1179" s="7"/>
      <c r="B1179" s="7"/>
      <c r="C1179" s="7"/>
      <c r="D1179" s="8"/>
      <c r="E1179" s="7"/>
    </row>
    <row r="1180" spans="1:5" x14ac:dyDescent="0.3">
      <c r="A1180" s="7"/>
      <c r="B1180" s="7"/>
      <c r="C1180" s="7"/>
      <c r="D1180" s="8"/>
      <c r="E1180" s="7"/>
    </row>
    <row r="1181" spans="1:5" x14ac:dyDescent="0.3">
      <c r="A1181" s="7"/>
      <c r="B1181" s="7"/>
      <c r="C1181" s="7"/>
      <c r="D1181" s="8"/>
      <c r="E1181" s="7"/>
    </row>
    <row r="1182" spans="1:5" x14ac:dyDescent="0.3">
      <c r="A1182" s="7"/>
      <c r="B1182" s="7"/>
      <c r="C1182" s="7"/>
      <c r="D1182" s="8"/>
      <c r="E1182" s="7"/>
    </row>
    <row r="1183" spans="1:5" x14ac:dyDescent="0.3">
      <c r="A1183" s="7"/>
      <c r="B1183" s="7"/>
      <c r="C1183" s="7"/>
      <c r="D1183" s="8"/>
      <c r="E1183" s="7"/>
    </row>
    <row r="1184" spans="1:5" x14ac:dyDescent="0.3">
      <c r="A1184" s="7"/>
      <c r="B1184" s="7"/>
      <c r="C1184" s="7"/>
      <c r="D1184" s="8"/>
      <c r="E1184" s="7"/>
    </row>
    <row r="1185" spans="1:5" x14ac:dyDescent="0.3">
      <c r="A1185" s="7"/>
      <c r="B1185" s="7"/>
      <c r="C1185" s="7"/>
      <c r="D1185" s="8"/>
      <c r="E1185" s="7"/>
    </row>
    <row r="1186" spans="1:5" x14ac:dyDescent="0.3">
      <c r="A1186" s="7"/>
      <c r="B1186" s="7"/>
      <c r="C1186" s="7"/>
      <c r="D1186" s="8"/>
      <c r="E1186" s="7"/>
    </row>
    <row r="1187" spans="1:5" x14ac:dyDescent="0.3">
      <c r="A1187" s="7"/>
      <c r="B1187" s="7"/>
      <c r="C1187" s="7"/>
      <c r="D1187" s="8"/>
      <c r="E1187" s="7"/>
    </row>
    <row r="1188" spans="1:5" x14ac:dyDescent="0.3">
      <c r="A1188" s="7"/>
      <c r="B1188" s="7"/>
      <c r="C1188" s="7"/>
      <c r="D1188" s="8"/>
      <c r="E1188" s="7"/>
    </row>
    <row r="1189" spans="1:5" x14ac:dyDescent="0.3">
      <c r="A1189" s="7"/>
      <c r="B1189" s="7"/>
      <c r="C1189" s="7"/>
      <c r="D1189" s="8"/>
      <c r="E1189" s="7"/>
    </row>
    <row r="1190" spans="1:5" x14ac:dyDescent="0.3">
      <c r="A1190" s="7"/>
      <c r="B1190" s="7"/>
      <c r="C1190" s="7"/>
      <c r="D1190" s="8"/>
      <c r="E1190" s="7"/>
    </row>
    <row r="1191" spans="1:5" x14ac:dyDescent="0.3">
      <c r="A1191" s="7"/>
      <c r="B1191" s="7"/>
      <c r="C1191" s="7"/>
      <c r="D1191" s="8"/>
      <c r="E1191" s="7"/>
    </row>
    <row r="1192" spans="1:5" x14ac:dyDescent="0.3">
      <c r="A1192" s="7"/>
      <c r="B1192" s="7"/>
      <c r="C1192" s="7"/>
      <c r="D1192" s="8"/>
      <c r="E1192" s="7"/>
    </row>
    <row r="1193" spans="1:5" x14ac:dyDescent="0.3">
      <c r="A1193" s="7"/>
      <c r="B1193" s="7"/>
      <c r="C1193" s="7"/>
      <c r="D1193" s="8"/>
      <c r="E1193" s="7"/>
    </row>
    <row r="1194" spans="1:5" x14ac:dyDescent="0.3">
      <c r="A1194" s="7"/>
      <c r="B1194" s="7"/>
      <c r="C1194" s="7"/>
      <c r="D1194" s="8"/>
      <c r="E1194" s="7"/>
    </row>
    <row r="1195" spans="1:5" x14ac:dyDescent="0.3">
      <c r="A1195" s="7"/>
      <c r="B1195" s="7"/>
      <c r="C1195" s="7"/>
      <c r="D1195" s="8"/>
      <c r="E1195" s="7"/>
    </row>
    <row r="1196" spans="1:5" x14ac:dyDescent="0.3">
      <c r="A1196" s="7"/>
      <c r="B1196" s="7"/>
      <c r="C1196" s="7"/>
      <c r="D1196" s="8"/>
      <c r="E1196" s="7"/>
    </row>
    <row r="1197" spans="1:5" x14ac:dyDescent="0.3">
      <c r="A1197" s="7"/>
      <c r="B1197" s="7"/>
      <c r="C1197" s="7"/>
      <c r="D1197" s="8"/>
      <c r="E1197" s="7"/>
    </row>
    <row r="1198" spans="1:5" x14ac:dyDescent="0.3">
      <c r="A1198" s="7"/>
      <c r="B1198" s="7"/>
      <c r="C1198" s="7"/>
      <c r="D1198" s="8"/>
      <c r="E1198" s="7"/>
    </row>
    <row r="1199" spans="1:5" x14ac:dyDescent="0.3">
      <c r="A1199" s="7"/>
      <c r="B1199" s="7"/>
      <c r="C1199" s="7"/>
      <c r="D1199" s="8"/>
      <c r="E1199" s="7"/>
    </row>
    <row r="1200" spans="1:5" x14ac:dyDescent="0.3">
      <c r="A1200" s="7"/>
      <c r="B1200" s="7"/>
      <c r="C1200" s="7"/>
      <c r="D1200" s="8"/>
      <c r="E1200" s="7"/>
    </row>
    <row r="1201" spans="1:5" x14ac:dyDescent="0.3">
      <c r="A1201" s="7"/>
      <c r="B1201" s="7"/>
      <c r="C1201" s="7"/>
      <c r="D1201" s="8"/>
      <c r="E1201" s="7"/>
    </row>
    <row r="1202" spans="1:5" x14ac:dyDescent="0.3">
      <c r="A1202" s="7"/>
      <c r="B1202" s="7"/>
      <c r="C1202" s="7"/>
      <c r="D1202" s="8"/>
      <c r="E1202" s="7"/>
    </row>
    <row r="1203" spans="1:5" x14ac:dyDescent="0.3">
      <c r="A1203" s="7"/>
      <c r="B1203" s="7"/>
      <c r="C1203" s="7"/>
      <c r="D1203" s="8"/>
      <c r="E1203" s="7"/>
    </row>
    <row r="1204" spans="1:5" x14ac:dyDescent="0.3">
      <c r="A1204" s="7"/>
      <c r="B1204" s="7"/>
      <c r="C1204" s="7"/>
      <c r="D1204" s="8"/>
      <c r="E1204" s="7"/>
    </row>
    <row r="1205" spans="1:5" x14ac:dyDescent="0.3">
      <c r="A1205" s="7"/>
      <c r="B1205" s="7"/>
      <c r="C1205" s="7"/>
      <c r="D1205" s="8"/>
      <c r="E1205" s="7"/>
    </row>
    <row r="1206" spans="1:5" x14ac:dyDescent="0.3">
      <c r="A1206" s="7"/>
      <c r="B1206" s="7"/>
      <c r="C1206" s="7"/>
      <c r="D1206" s="8"/>
      <c r="E1206" s="7"/>
    </row>
    <row r="1207" spans="1:5" x14ac:dyDescent="0.3">
      <c r="A1207" s="7"/>
      <c r="B1207" s="7"/>
      <c r="C1207" s="7"/>
      <c r="D1207" s="8"/>
      <c r="E1207" s="7"/>
    </row>
    <row r="1208" spans="1:5" x14ac:dyDescent="0.3">
      <c r="A1208" s="7"/>
      <c r="B1208" s="7"/>
      <c r="C1208" s="7"/>
      <c r="D1208" s="8"/>
      <c r="E1208" s="7"/>
    </row>
    <row r="1209" spans="1:5" x14ac:dyDescent="0.3">
      <c r="A1209" s="7"/>
      <c r="B1209" s="7"/>
      <c r="C1209" s="7"/>
      <c r="D1209" s="8"/>
      <c r="E1209" s="7"/>
    </row>
    <row r="1210" spans="1:5" x14ac:dyDescent="0.3">
      <c r="A1210" s="7"/>
      <c r="B1210" s="7"/>
      <c r="C1210" s="7"/>
      <c r="D1210" s="7"/>
      <c r="E1210" s="7"/>
    </row>
    <row r="1211" spans="1:5" x14ac:dyDescent="0.3">
      <c r="A1211" s="7"/>
      <c r="B1211" s="7"/>
      <c r="C1211" s="7"/>
      <c r="D1211" s="7"/>
      <c r="E1211" s="7"/>
    </row>
    <row r="1212" spans="1:5" x14ac:dyDescent="0.3">
      <c r="A1212" s="7"/>
      <c r="B1212" s="7"/>
      <c r="C1212" s="7"/>
      <c r="D1212" s="7"/>
      <c r="E1212" s="7"/>
    </row>
    <row r="1213" spans="1:5" x14ac:dyDescent="0.3">
      <c r="A1213" s="7"/>
      <c r="B1213" s="7"/>
      <c r="C1213" s="7"/>
      <c r="D1213" s="8"/>
      <c r="E1213" s="7"/>
    </row>
    <row r="1214" spans="1:5" x14ac:dyDescent="0.3">
      <c r="A1214" s="7"/>
      <c r="B1214" s="7"/>
      <c r="C1214" s="7"/>
      <c r="D1214" s="8"/>
      <c r="E1214" s="7"/>
    </row>
    <row r="1215" spans="1:5" x14ac:dyDescent="0.3">
      <c r="A1215" s="7"/>
      <c r="B1215" s="7"/>
      <c r="C1215" s="7"/>
      <c r="D1215" s="8"/>
      <c r="E1215" s="7"/>
    </row>
    <row r="1216" spans="1:5" x14ac:dyDescent="0.3">
      <c r="A1216" s="7"/>
      <c r="B1216" s="7"/>
      <c r="C1216" s="7"/>
      <c r="D1216" s="8"/>
      <c r="E1216" s="7"/>
    </row>
    <row r="1217" spans="1:5" x14ac:dyDescent="0.3">
      <c r="A1217" s="7"/>
      <c r="B1217" s="7"/>
      <c r="C1217" s="7"/>
      <c r="D1217" s="8"/>
      <c r="E1217" s="7"/>
    </row>
    <row r="1218" spans="1:5" x14ac:dyDescent="0.3">
      <c r="A1218" s="7"/>
      <c r="B1218" s="7"/>
      <c r="C1218" s="7"/>
      <c r="D1218" s="8"/>
      <c r="E1218" s="7"/>
    </row>
    <row r="1219" spans="1:5" x14ac:dyDescent="0.3">
      <c r="A1219" s="7"/>
      <c r="B1219" s="7"/>
      <c r="C1219" s="7"/>
      <c r="D1219" s="8"/>
      <c r="E1219" s="7"/>
    </row>
    <row r="1220" spans="1:5" x14ac:dyDescent="0.3">
      <c r="A1220" s="7"/>
      <c r="B1220" s="7"/>
      <c r="C1220" s="7"/>
      <c r="D1220" s="8"/>
      <c r="E1220" s="7"/>
    </row>
    <row r="1221" spans="1:5" x14ac:dyDescent="0.3">
      <c r="A1221" s="7"/>
      <c r="B1221" s="7"/>
      <c r="C1221" s="7"/>
      <c r="D1221" s="8"/>
      <c r="E1221" s="7"/>
    </row>
    <row r="1222" spans="1:5" x14ac:dyDescent="0.3">
      <c r="A1222" s="7"/>
      <c r="B1222" s="7"/>
      <c r="C1222" s="7"/>
      <c r="D1222" s="8"/>
      <c r="E1222" s="7"/>
    </row>
    <row r="1223" spans="1:5" x14ac:dyDescent="0.3">
      <c r="A1223" s="7"/>
      <c r="B1223" s="7"/>
      <c r="C1223" s="7"/>
      <c r="D1223" s="8"/>
      <c r="E1223" s="7"/>
    </row>
    <row r="1224" spans="1:5" x14ac:dyDescent="0.3">
      <c r="A1224" s="7"/>
      <c r="B1224" s="7"/>
      <c r="C1224" s="7"/>
      <c r="D1224" s="8"/>
      <c r="E1224" s="7"/>
    </row>
    <row r="1225" spans="1:5" x14ac:dyDescent="0.3">
      <c r="A1225" s="7"/>
      <c r="B1225" s="7"/>
      <c r="C1225" s="7"/>
      <c r="D1225" s="8"/>
      <c r="E1225" s="7"/>
    </row>
    <row r="1226" spans="1:5" x14ac:dyDescent="0.3">
      <c r="A1226" s="7"/>
      <c r="B1226" s="7"/>
      <c r="C1226" s="7"/>
      <c r="D1226" s="8"/>
      <c r="E1226" s="7"/>
    </row>
    <row r="1227" spans="1:5" x14ac:dyDescent="0.3">
      <c r="A1227" s="7"/>
      <c r="B1227" s="7"/>
      <c r="C1227" s="7"/>
      <c r="D1227" s="8"/>
      <c r="E1227" s="7"/>
    </row>
    <row r="1228" spans="1:5" x14ac:dyDescent="0.3">
      <c r="A1228" s="7"/>
      <c r="B1228" s="7"/>
      <c r="C1228" s="7"/>
      <c r="D1228" s="8"/>
      <c r="E1228" s="7"/>
    </row>
    <row r="1229" spans="1:5" x14ac:dyDescent="0.3">
      <c r="A1229" s="7"/>
      <c r="B1229" s="7"/>
      <c r="C1229" s="7"/>
      <c r="D1229" s="8"/>
      <c r="E1229" s="7"/>
    </row>
    <row r="1230" spans="1:5" x14ac:dyDescent="0.3">
      <c r="A1230" s="7"/>
      <c r="B1230" s="7"/>
      <c r="C1230" s="7"/>
      <c r="D1230" s="8"/>
      <c r="E1230" s="7"/>
    </row>
    <row r="1231" spans="1:5" x14ac:dyDescent="0.3">
      <c r="A1231" s="7"/>
      <c r="B1231" s="7"/>
      <c r="C1231" s="7"/>
      <c r="D1231" s="8"/>
      <c r="E1231" s="7"/>
    </row>
    <row r="1232" spans="1:5" x14ac:dyDescent="0.3">
      <c r="A1232" s="7"/>
      <c r="B1232" s="7"/>
      <c r="C1232" s="7"/>
      <c r="D1232" s="8"/>
      <c r="E1232" s="7"/>
    </row>
    <row r="1233" spans="1:5" x14ac:dyDescent="0.3">
      <c r="A1233" s="7"/>
      <c r="B1233" s="7"/>
      <c r="C1233" s="7"/>
      <c r="D1233" s="8"/>
      <c r="E1233" s="7"/>
    </row>
    <row r="1234" spans="1:5" x14ac:dyDescent="0.3">
      <c r="A1234" s="7"/>
      <c r="B1234" s="7"/>
      <c r="C1234" s="7"/>
      <c r="D1234" s="8"/>
      <c r="E1234" s="7"/>
    </row>
    <row r="1235" spans="1:5" x14ac:dyDescent="0.3">
      <c r="A1235" s="7"/>
      <c r="B1235" s="7"/>
      <c r="C1235" s="7"/>
      <c r="D1235" s="8"/>
      <c r="E1235" s="7"/>
    </row>
    <row r="1236" spans="1:5" x14ac:dyDescent="0.3">
      <c r="A1236" s="7"/>
      <c r="B1236" s="7"/>
      <c r="C1236" s="7"/>
      <c r="D1236" s="8"/>
      <c r="E1236" s="7"/>
    </row>
    <row r="1237" spans="1:5" x14ac:dyDescent="0.3">
      <c r="A1237" s="7"/>
      <c r="B1237" s="7"/>
      <c r="C1237" s="7"/>
      <c r="D1237" s="8"/>
      <c r="E1237" s="7"/>
    </row>
    <row r="1238" spans="1:5" x14ac:dyDescent="0.3">
      <c r="A1238" s="7"/>
      <c r="B1238" s="7"/>
      <c r="C1238" s="7"/>
      <c r="D1238" s="8"/>
      <c r="E1238" s="7"/>
    </row>
    <row r="1239" spans="1:5" x14ac:dyDescent="0.3">
      <c r="A1239" s="7"/>
      <c r="B1239" s="7"/>
      <c r="C1239" s="7"/>
      <c r="D1239" s="8"/>
      <c r="E1239" s="7"/>
    </row>
    <row r="1240" spans="1:5" x14ac:dyDescent="0.3">
      <c r="A1240" s="7"/>
      <c r="B1240" s="7"/>
      <c r="C1240" s="7"/>
      <c r="D1240" s="8"/>
      <c r="E1240" s="7"/>
    </row>
    <row r="1241" spans="1:5" x14ac:dyDescent="0.3">
      <c r="A1241" s="7"/>
      <c r="B1241" s="7"/>
      <c r="C1241" s="7"/>
      <c r="D1241" s="8"/>
      <c r="E1241" s="7"/>
    </row>
    <row r="1242" spans="1:5" x14ac:dyDescent="0.3">
      <c r="A1242" s="7"/>
      <c r="B1242" s="7"/>
      <c r="C1242" s="7"/>
      <c r="D1242" s="8"/>
      <c r="E1242" s="7"/>
    </row>
    <row r="1243" spans="1:5" x14ac:dyDescent="0.3">
      <c r="A1243" s="7"/>
      <c r="B1243" s="7"/>
      <c r="C1243" s="7"/>
      <c r="D1243" s="8"/>
      <c r="E1243" s="7"/>
    </row>
    <row r="1244" spans="1:5" x14ac:dyDescent="0.3">
      <c r="A1244" s="7"/>
      <c r="B1244" s="7"/>
      <c r="C1244" s="7"/>
      <c r="D1244" s="8"/>
      <c r="E1244" s="7"/>
    </row>
    <row r="1245" spans="1:5" x14ac:dyDescent="0.3">
      <c r="A1245" s="7"/>
      <c r="B1245" s="7"/>
      <c r="C1245" s="7"/>
      <c r="D1245" s="8"/>
      <c r="E1245" s="7"/>
    </row>
    <row r="1246" spans="1:5" x14ac:dyDescent="0.3">
      <c r="A1246" s="7"/>
      <c r="B1246" s="7"/>
      <c r="C1246" s="7"/>
      <c r="D1246" s="8"/>
      <c r="E1246" s="7"/>
    </row>
    <row r="1247" spans="1:5" x14ac:dyDescent="0.3">
      <c r="A1247" s="7"/>
      <c r="B1247" s="7"/>
      <c r="C1247" s="7"/>
      <c r="D1247" s="8"/>
      <c r="E1247" s="7"/>
    </row>
    <row r="1248" spans="1:5" x14ac:dyDescent="0.3">
      <c r="A1248" s="7"/>
      <c r="B1248" s="7"/>
      <c r="C1248" s="7"/>
      <c r="D1248" s="8"/>
      <c r="E1248" s="7"/>
    </row>
    <row r="1249" spans="1:5" x14ac:dyDescent="0.3">
      <c r="A1249" s="7"/>
      <c r="B1249" s="7"/>
      <c r="C1249" s="7"/>
      <c r="D1249" s="8"/>
      <c r="E1249" s="7"/>
    </row>
    <row r="1250" spans="1:5" x14ac:dyDescent="0.3">
      <c r="A1250" s="7"/>
      <c r="B1250" s="7"/>
      <c r="C1250" s="7"/>
      <c r="D1250" s="8"/>
      <c r="E1250" s="7"/>
    </row>
    <row r="1251" spans="1:5" x14ac:dyDescent="0.3">
      <c r="A1251" s="7"/>
      <c r="B1251" s="7"/>
      <c r="C1251" s="7"/>
      <c r="D1251" s="8"/>
      <c r="E1251" s="7"/>
    </row>
    <row r="1252" spans="1:5" x14ac:dyDescent="0.3">
      <c r="A1252" s="7"/>
      <c r="B1252" s="7"/>
      <c r="C1252" s="7"/>
      <c r="D1252" s="8"/>
      <c r="E1252" s="7"/>
    </row>
    <row r="1253" spans="1:5" x14ac:dyDescent="0.3">
      <c r="A1253" s="7"/>
      <c r="B1253" s="7"/>
      <c r="C1253" s="7"/>
      <c r="D1253" s="8"/>
      <c r="E1253" s="7"/>
    </row>
    <row r="1254" spans="1:5" x14ac:dyDescent="0.3">
      <c r="A1254" s="7"/>
      <c r="B1254" s="7"/>
      <c r="C1254" s="7"/>
      <c r="D1254" s="8"/>
      <c r="E1254" s="7"/>
    </row>
    <row r="1255" spans="1:5" x14ac:dyDescent="0.3">
      <c r="A1255" s="7"/>
      <c r="B1255" s="7"/>
      <c r="C1255" s="7"/>
      <c r="D1255" s="8"/>
      <c r="E1255" s="7"/>
    </row>
    <row r="1256" spans="1:5" x14ac:dyDescent="0.3">
      <c r="A1256" s="7"/>
      <c r="B1256" s="7"/>
      <c r="C1256" s="7"/>
      <c r="D1256" s="8"/>
      <c r="E1256" s="7"/>
    </row>
    <row r="1257" spans="1:5" x14ac:dyDescent="0.3">
      <c r="A1257" s="7"/>
      <c r="B1257" s="7"/>
      <c r="C1257" s="7"/>
      <c r="D1257" s="8"/>
      <c r="E1257" s="7"/>
    </row>
    <row r="1258" spans="1:5" x14ac:dyDescent="0.3">
      <c r="A1258" s="7"/>
      <c r="B1258" s="7"/>
      <c r="C1258" s="7"/>
      <c r="D1258" s="8"/>
      <c r="E1258" s="7"/>
    </row>
    <row r="1259" spans="1:5" x14ac:dyDescent="0.3">
      <c r="A1259" s="7"/>
      <c r="B1259" s="7"/>
      <c r="C1259" s="7"/>
      <c r="D1259" s="8"/>
      <c r="E1259" s="7"/>
    </row>
    <row r="1260" spans="1:5" x14ac:dyDescent="0.3">
      <c r="A1260" s="7"/>
      <c r="B1260" s="7"/>
      <c r="C1260" s="7"/>
      <c r="D1260" s="8"/>
      <c r="E1260" s="7"/>
    </row>
    <row r="1261" spans="1:5" x14ac:dyDescent="0.3">
      <c r="A1261" s="7"/>
      <c r="B1261" s="7"/>
      <c r="C1261" s="7"/>
      <c r="D1261" s="8"/>
      <c r="E1261" s="7"/>
    </row>
    <row r="1262" spans="1:5" x14ac:dyDescent="0.3">
      <c r="A1262" s="7"/>
      <c r="B1262" s="7"/>
      <c r="C1262" s="7"/>
      <c r="D1262" s="8"/>
      <c r="E1262" s="7"/>
    </row>
    <row r="1263" spans="1:5" x14ac:dyDescent="0.3">
      <c r="A1263" s="7"/>
      <c r="B1263" s="7"/>
      <c r="C1263" s="7"/>
      <c r="D1263" s="8"/>
      <c r="E1263" s="7"/>
    </row>
    <row r="1264" spans="1:5" x14ac:dyDescent="0.3">
      <c r="A1264" s="7"/>
      <c r="B1264" s="7"/>
      <c r="C1264" s="7"/>
      <c r="D1264" s="8"/>
      <c r="E1264" s="7"/>
    </row>
    <row r="1265" spans="1:5" x14ac:dyDescent="0.3">
      <c r="A1265" s="7"/>
      <c r="B1265" s="7"/>
      <c r="C1265" s="7"/>
      <c r="D1265" s="8"/>
      <c r="E1265" s="7"/>
    </row>
    <row r="1266" spans="1:5" x14ac:dyDescent="0.3">
      <c r="A1266" s="7"/>
      <c r="B1266" s="7"/>
      <c r="C1266" s="7"/>
      <c r="D1266" s="8"/>
      <c r="E1266" s="7"/>
    </row>
    <row r="1267" spans="1:5" x14ac:dyDescent="0.3">
      <c r="A1267" s="7"/>
      <c r="B1267" s="7"/>
      <c r="C1267" s="7"/>
      <c r="D1267" s="8"/>
      <c r="E1267" s="7"/>
    </row>
    <row r="1268" spans="1:5" x14ac:dyDescent="0.3">
      <c r="A1268" s="7"/>
      <c r="B1268" s="7"/>
      <c r="C1268" s="7"/>
      <c r="D1268" s="8"/>
      <c r="E1268" s="7"/>
    </row>
    <row r="1269" spans="1:5" x14ac:dyDescent="0.3">
      <c r="A1269" s="7"/>
      <c r="B1269" s="7"/>
      <c r="C1269" s="7"/>
      <c r="D1269" s="8"/>
      <c r="E1269" s="7"/>
    </row>
    <row r="1270" spans="1:5" x14ac:dyDescent="0.3">
      <c r="A1270" s="7"/>
      <c r="B1270" s="7"/>
      <c r="C1270" s="7"/>
      <c r="D1270" s="8"/>
      <c r="E1270" s="7"/>
    </row>
    <row r="1271" spans="1:5" x14ac:dyDescent="0.3">
      <c r="A1271" s="7"/>
      <c r="B1271" s="7"/>
      <c r="C1271" s="7"/>
      <c r="D1271" s="8"/>
      <c r="E1271" s="7"/>
    </row>
    <row r="1272" spans="1:5" x14ac:dyDescent="0.3">
      <c r="A1272" s="7"/>
      <c r="B1272" s="7"/>
      <c r="C1272" s="7"/>
      <c r="D1272" s="8"/>
      <c r="E1272" s="7"/>
    </row>
    <row r="1273" spans="1:5" x14ac:dyDescent="0.3">
      <c r="A1273" s="7"/>
      <c r="B1273" s="7"/>
      <c r="C1273" s="7"/>
      <c r="D1273" s="8"/>
      <c r="E1273" s="7"/>
    </row>
    <row r="1274" spans="1:5" x14ac:dyDescent="0.3">
      <c r="A1274" s="7"/>
      <c r="B1274" s="7"/>
      <c r="C1274" s="7"/>
      <c r="D1274" s="8"/>
      <c r="E1274" s="7"/>
    </row>
    <row r="1275" spans="1:5" x14ac:dyDescent="0.3">
      <c r="A1275" s="7"/>
      <c r="B1275" s="7"/>
      <c r="C1275" s="7"/>
      <c r="D1275" s="8"/>
      <c r="E1275" s="7"/>
    </row>
    <row r="1276" spans="1:5" x14ac:dyDescent="0.3">
      <c r="A1276" s="7"/>
      <c r="B1276" s="7"/>
      <c r="C1276" s="7"/>
      <c r="D1276" s="8"/>
      <c r="E1276" s="7"/>
    </row>
    <row r="1277" spans="1:5" x14ac:dyDescent="0.3">
      <c r="A1277" s="7"/>
      <c r="B1277" s="7"/>
      <c r="C1277" s="7"/>
      <c r="D1277" s="8"/>
      <c r="E1277" s="7"/>
    </row>
    <row r="1278" spans="1:5" x14ac:dyDescent="0.3">
      <c r="A1278" s="7"/>
      <c r="B1278" s="7"/>
      <c r="C1278" s="7"/>
      <c r="D1278" s="8"/>
      <c r="E1278" s="7"/>
    </row>
    <row r="1279" spans="1:5" x14ac:dyDescent="0.3">
      <c r="A1279" s="7"/>
      <c r="B1279" s="7"/>
      <c r="C1279" s="7"/>
      <c r="D1279" s="8"/>
      <c r="E1279" s="7"/>
    </row>
    <row r="1280" spans="1:5" x14ac:dyDescent="0.3">
      <c r="A1280" s="7"/>
      <c r="B1280" s="7"/>
      <c r="C1280" s="7"/>
      <c r="D1280" s="8"/>
      <c r="E1280" s="7"/>
    </row>
    <row r="1281" spans="1:5" x14ac:dyDescent="0.3">
      <c r="A1281" s="7"/>
      <c r="B1281" s="7"/>
      <c r="C1281" s="7"/>
      <c r="D1281" s="8"/>
      <c r="E1281" s="7"/>
    </row>
    <row r="1282" spans="1:5" x14ac:dyDescent="0.3">
      <c r="A1282" s="7"/>
      <c r="B1282" s="7"/>
      <c r="C1282" s="7"/>
      <c r="D1282" s="8"/>
      <c r="E1282" s="7"/>
    </row>
    <row r="1283" spans="1:5" x14ac:dyDescent="0.3">
      <c r="A1283" s="7"/>
      <c r="B1283" s="7"/>
      <c r="C1283" s="7"/>
      <c r="D1283" s="8"/>
      <c r="E1283" s="7"/>
    </row>
    <row r="1284" spans="1:5" x14ac:dyDescent="0.3">
      <c r="A1284" s="7"/>
      <c r="B1284" s="7"/>
      <c r="C1284" s="7"/>
      <c r="D1284" s="8"/>
      <c r="E1284" s="7"/>
    </row>
    <row r="1285" spans="1:5" x14ac:dyDescent="0.3">
      <c r="A1285" s="7"/>
      <c r="B1285" s="7"/>
      <c r="C1285" s="7"/>
      <c r="D1285" s="8"/>
      <c r="E1285" s="7"/>
    </row>
    <row r="1286" spans="1:5" x14ac:dyDescent="0.3">
      <c r="A1286" s="7"/>
      <c r="B1286" s="7"/>
      <c r="C1286" s="7"/>
      <c r="D1286" s="8"/>
      <c r="E1286" s="7"/>
    </row>
    <row r="1287" spans="1:5" x14ac:dyDescent="0.3">
      <c r="A1287" s="7"/>
      <c r="B1287" s="7"/>
      <c r="C1287" s="7"/>
      <c r="D1287" s="8"/>
      <c r="E1287" s="7"/>
    </row>
    <row r="1288" spans="1:5" x14ac:dyDescent="0.3">
      <c r="A1288" s="7"/>
      <c r="B1288" s="7"/>
      <c r="C1288" s="7"/>
      <c r="D1288" s="8"/>
      <c r="E1288" s="7"/>
    </row>
    <row r="1289" spans="1:5" x14ac:dyDescent="0.3">
      <c r="A1289" s="7"/>
      <c r="B1289" s="7"/>
      <c r="C1289" s="7"/>
      <c r="D1289" s="8"/>
      <c r="E1289" s="7"/>
    </row>
    <row r="1290" spans="1:5" x14ac:dyDescent="0.3">
      <c r="A1290" s="7"/>
      <c r="B1290" s="7"/>
      <c r="C1290" s="7"/>
      <c r="D1290" s="8"/>
      <c r="E1290" s="7"/>
    </row>
    <row r="1291" spans="1:5" x14ac:dyDescent="0.3">
      <c r="A1291" s="7"/>
      <c r="B1291" s="7"/>
      <c r="C1291" s="7"/>
      <c r="D1291" s="8"/>
      <c r="E1291" s="7"/>
    </row>
    <row r="1292" spans="1:5" x14ac:dyDescent="0.3">
      <c r="A1292" s="7"/>
      <c r="B1292" s="7"/>
      <c r="C1292" s="7"/>
      <c r="D1292" s="8"/>
      <c r="E1292" s="7"/>
    </row>
    <row r="1293" spans="1:5" x14ac:dyDescent="0.3">
      <c r="A1293" s="7"/>
      <c r="B1293" s="7"/>
      <c r="C1293" s="7"/>
      <c r="D1293" s="8"/>
      <c r="E1293" s="7"/>
    </row>
    <row r="1294" spans="1:5" x14ac:dyDescent="0.3">
      <c r="A1294" s="7"/>
      <c r="B1294" s="7"/>
      <c r="C1294" s="7"/>
      <c r="D1294" s="8"/>
      <c r="E1294" s="7"/>
    </row>
    <row r="1295" spans="1:5" x14ac:dyDescent="0.3">
      <c r="A1295" s="7"/>
      <c r="B1295" s="7"/>
      <c r="C1295" s="7"/>
      <c r="D1295" s="8"/>
      <c r="E1295" s="7"/>
    </row>
    <row r="1296" spans="1:5" x14ac:dyDescent="0.3">
      <c r="A1296" s="7"/>
      <c r="B1296" s="7"/>
      <c r="C1296" s="7"/>
      <c r="D1296" s="8"/>
      <c r="E1296" s="7"/>
    </row>
    <row r="1297" spans="1:5" x14ac:dyDescent="0.3">
      <c r="A1297" s="7"/>
      <c r="B1297" s="7"/>
      <c r="C1297" s="7"/>
      <c r="D1297" s="8"/>
      <c r="E1297" s="7"/>
    </row>
    <row r="1298" spans="1:5" x14ac:dyDescent="0.3">
      <c r="A1298" s="7"/>
      <c r="B1298" s="7"/>
      <c r="C1298" s="7"/>
      <c r="D1298" s="8"/>
      <c r="E1298" s="7"/>
    </row>
    <row r="1299" spans="1:5" x14ac:dyDescent="0.3">
      <c r="A1299" s="7"/>
      <c r="B1299" s="7"/>
      <c r="C1299" s="7"/>
      <c r="D1299" s="8"/>
      <c r="E1299" s="7"/>
    </row>
    <row r="1300" spans="1:5" x14ac:dyDescent="0.3">
      <c r="A1300" s="7"/>
      <c r="B1300" s="7"/>
      <c r="C1300" s="7"/>
      <c r="D1300" s="8"/>
      <c r="E1300" s="7"/>
    </row>
    <row r="1301" spans="1:5" x14ac:dyDescent="0.3">
      <c r="A1301" s="7"/>
      <c r="B1301" s="7"/>
      <c r="C1301" s="7"/>
      <c r="D1301" s="8"/>
      <c r="E1301" s="7"/>
    </row>
    <row r="1302" spans="1:5" x14ac:dyDescent="0.3">
      <c r="A1302" s="7"/>
      <c r="B1302" s="7"/>
      <c r="C1302" s="7"/>
      <c r="D1302" s="8"/>
      <c r="E1302" s="7"/>
    </row>
    <row r="1303" spans="1:5" x14ac:dyDescent="0.3">
      <c r="A1303" s="7"/>
      <c r="B1303" s="7"/>
      <c r="C1303" s="7"/>
      <c r="D1303" s="8"/>
      <c r="E1303" s="7"/>
    </row>
    <row r="1304" spans="1:5" x14ac:dyDescent="0.3">
      <c r="A1304" s="7"/>
      <c r="B1304" s="7"/>
      <c r="C1304" s="7"/>
      <c r="D1304" s="8"/>
      <c r="E1304" s="7"/>
    </row>
    <row r="1305" spans="1:5" x14ac:dyDescent="0.3">
      <c r="A1305" s="7"/>
      <c r="B1305" s="7"/>
      <c r="C1305" s="7"/>
      <c r="D1305" s="8"/>
      <c r="E1305" s="7"/>
    </row>
    <row r="1306" spans="1:5" x14ac:dyDescent="0.3">
      <c r="A1306" s="7"/>
      <c r="B1306" s="7"/>
      <c r="C1306" s="7"/>
      <c r="D1306" s="8"/>
      <c r="E1306" s="7"/>
    </row>
    <row r="1307" spans="1:5" x14ac:dyDescent="0.3">
      <c r="A1307" s="7"/>
      <c r="B1307" s="7"/>
      <c r="C1307" s="7"/>
      <c r="D1307" s="8"/>
      <c r="E1307" s="7"/>
    </row>
    <row r="1308" spans="1:5" x14ac:dyDescent="0.3">
      <c r="A1308" s="7"/>
      <c r="B1308" s="7"/>
      <c r="C1308" s="7"/>
      <c r="D1308" s="8"/>
      <c r="E1308" s="7"/>
    </row>
    <row r="1309" spans="1:5" x14ac:dyDescent="0.3">
      <c r="A1309" s="7"/>
      <c r="B1309" s="7"/>
      <c r="C1309" s="7"/>
      <c r="D1309" s="8"/>
      <c r="E1309" s="7"/>
    </row>
    <row r="1310" spans="1:5" x14ac:dyDescent="0.3">
      <c r="A1310" s="7"/>
      <c r="B1310" s="7"/>
      <c r="C1310" s="7"/>
      <c r="D1310" s="8"/>
      <c r="E1310" s="7"/>
    </row>
    <row r="1311" spans="1:5" x14ac:dyDescent="0.3">
      <c r="A1311" s="7"/>
      <c r="B1311" s="7"/>
      <c r="C1311" s="7"/>
      <c r="D1311" s="8"/>
      <c r="E1311" s="7"/>
    </row>
    <row r="1312" spans="1:5" x14ac:dyDescent="0.3">
      <c r="A1312" s="7"/>
      <c r="B1312" s="7"/>
      <c r="C1312" s="7"/>
      <c r="D1312" s="8"/>
      <c r="E1312" s="7"/>
    </row>
    <row r="1313" spans="1:5" x14ac:dyDescent="0.3">
      <c r="A1313" s="7"/>
      <c r="B1313" s="7"/>
      <c r="C1313" s="7"/>
      <c r="D1313" s="8"/>
      <c r="E1313" s="7"/>
    </row>
    <row r="1314" spans="1:5" x14ac:dyDescent="0.3">
      <c r="A1314" s="7"/>
      <c r="B1314" s="7"/>
      <c r="C1314" s="7"/>
      <c r="D1314" s="8"/>
      <c r="E1314" s="7"/>
    </row>
    <row r="1315" spans="1:5" x14ac:dyDescent="0.3">
      <c r="A1315" s="7"/>
      <c r="B1315" s="7"/>
      <c r="C1315" s="7"/>
      <c r="D1315" s="8"/>
      <c r="E1315" s="7"/>
    </row>
    <row r="1316" spans="1:5" x14ac:dyDescent="0.3">
      <c r="A1316" s="7"/>
      <c r="B1316" s="7"/>
      <c r="C1316" s="7"/>
      <c r="D1316" s="8"/>
      <c r="E1316" s="7"/>
    </row>
    <row r="1317" spans="1:5" x14ac:dyDescent="0.3">
      <c r="A1317" s="7"/>
      <c r="B1317" s="7"/>
      <c r="C1317" s="7"/>
      <c r="D1317" s="8"/>
      <c r="E1317" s="7"/>
    </row>
    <row r="1318" spans="1:5" x14ac:dyDescent="0.3">
      <c r="A1318" s="7"/>
      <c r="B1318" s="7"/>
      <c r="C1318" s="7"/>
      <c r="D1318" s="8"/>
      <c r="E1318" s="7"/>
    </row>
    <row r="1319" spans="1:5" x14ac:dyDescent="0.3">
      <c r="A1319" s="7"/>
      <c r="B1319" s="7"/>
      <c r="C1319" s="7"/>
      <c r="D1319" s="8"/>
      <c r="E1319" s="7"/>
    </row>
    <row r="1320" spans="1:5" x14ac:dyDescent="0.3">
      <c r="A1320" s="7"/>
      <c r="B1320" s="7"/>
      <c r="C1320" s="7"/>
      <c r="D1320" s="8"/>
      <c r="E1320" s="7"/>
    </row>
    <row r="1321" spans="1:5" x14ac:dyDescent="0.3">
      <c r="A1321" s="7"/>
      <c r="B1321" s="7"/>
      <c r="C1321" s="7"/>
      <c r="D1321" s="8"/>
      <c r="E1321" s="7"/>
    </row>
    <row r="1322" spans="1:5" x14ac:dyDescent="0.3">
      <c r="A1322" s="7"/>
      <c r="B1322" s="7"/>
      <c r="C1322" s="7"/>
      <c r="D1322" s="8"/>
      <c r="E1322" s="7"/>
    </row>
    <row r="1323" spans="1:5" x14ac:dyDescent="0.3">
      <c r="A1323" s="7"/>
      <c r="B1323" s="7"/>
      <c r="C1323" s="7"/>
      <c r="D1323" s="8"/>
      <c r="E1323" s="7"/>
    </row>
    <row r="1324" spans="1:5" x14ac:dyDescent="0.3">
      <c r="A1324" s="7"/>
      <c r="B1324" s="7"/>
      <c r="C1324" s="7"/>
      <c r="D1324" s="8"/>
      <c r="E1324" s="7"/>
    </row>
    <row r="1325" spans="1:5" x14ac:dyDescent="0.3">
      <c r="A1325" s="7"/>
      <c r="B1325" s="7"/>
      <c r="C1325" s="7"/>
      <c r="D1325" s="8"/>
      <c r="E1325" s="7"/>
    </row>
    <row r="1326" spans="1:5" x14ac:dyDescent="0.3">
      <c r="A1326" s="7"/>
      <c r="B1326" s="7"/>
      <c r="C1326" s="7"/>
      <c r="D1326" s="8"/>
      <c r="E1326" s="7"/>
    </row>
    <row r="1327" spans="1:5" x14ac:dyDescent="0.3">
      <c r="A1327" s="7"/>
      <c r="B1327" s="7"/>
      <c r="C1327" s="7"/>
      <c r="D1327" s="8"/>
      <c r="E1327" s="7"/>
    </row>
    <row r="1328" spans="1:5" x14ac:dyDescent="0.3">
      <c r="A1328" s="7"/>
      <c r="B1328" s="7"/>
      <c r="C1328" s="7"/>
      <c r="D1328" s="8"/>
      <c r="E1328" s="7"/>
    </row>
    <row r="1329" spans="1:5" x14ac:dyDescent="0.3">
      <c r="A1329" s="7"/>
      <c r="B1329" s="7"/>
      <c r="C1329" s="7"/>
      <c r="D1329" s="8"/>
      <c r="E1329" s="7"/>
    </row>
    <row r="1330" spans="1:5" x14ac:dyDescent="0.3">
      <c r="A1330" s="7"/>
      <c r="B1330" s="7"/>
      <c r="C1330" s="7"/>
      <c r="D1330" s="8"/>
      <c r="E1330" s="7"/>
    </row>
    <row r="1331" spans="1:5" x14ac:dyDescent="0.3">
      <c r="A1331" s="7"/>
      <c r="B1331" s="7"/>
      <c r="C1331" s="7"/>
      <c r="D1331" s="8"/>
      <c r="E1331" s="7"/>
    </row>
    <row r="1332" spans="1:5" x14ac:dyDescent="0.3">
      <c r="A1332" s="7"/>
      <c r="B1332" s="7"/>
      <c r="C1332" s="7"/>
      <c r="D1332" s="8"/>
      <c r="E1332" s="7"/>
    </row>
    <row r="1333" spans="1:5" x14ac:dyDescent="0.3">
      <c r="A1333" s="7"/>
      <c r="B1333" s="7"/>
      <c r="C1333" s="7"/>
      <c r="D1333" s="8"/>
      <c r="E1333" s="7"/>
    </row>
    <row r="1334" spans="1:5" x14ac:dyDescent="0.3">
      <c r="A1334" s="7"/>
      <c r="B1334" s="7"/>
      <c r="C1334" s="7"/>
      <c r="D1334" s="8"/>
      <c r="E1334" s="7"/>
    </row>
    <row r="1335" spans="1:5" x14ac:dyDescent="0.3">
      <c r="A1335" s="7"/>
      <c r="B1335" s="7"/>
      <c r="C1335" s="7"/>
      <c r="D1335" s="8"/>
      <c r="E1335" s="7"/>
    </row>
    <row r="1336" spans="1:5" x14ac:dyDescent="0.3">
      <c r="A1336" s="7"/>
      <c r="B1336" s="7"/>
      <c r="C1336" s="7"/>
      <c r="D1336" s="8"/>
      <c r="E1336" s="7"/>
    </row>
    <row r="1337" spans="1:5" x14ac:dyDescent="0.3">
      <c r="A1337" s="7"/>
      <c r="B1337" s="7"/>
      <c r="C1337" s="7"/>
      <c r="D1337" s="8"/>
      <c r="E1337" s="7"/>
    </row>
    <row r="1338" spans="1:5" x14ac:dyDescent="0.3">
      <c r="A1338" s="7"/>
      <c r="B1338" s="7"/>
      <c r="C1338" s="7"/>
      <c r="D1338" s="8"/>
      <c r="E1338" s="7"/>
    </row>
    <row r="1339" spans="1:5" x14ac:dyDescent="0.3">
      <c r="A1339" s="7"/>
      <c r="B1339" s="7"/>
      <c r="C1339" s="7"/>
      <c r="D1339" s="8"/>
      <c r="E1339" s="7"/>
    </row>
    <row r="1340" spans="1:5" x14ac:dyDescent="0.3">
      <c r="A1340" s="7"/>
      <c r="B1340" s="7"/>
      <c r="C1340" s="7"/>
      <c r="D1340" s="8"/>
      <c r="E1340" s="7"/>
    </row>
    <row r="1341" spans="1:5" x14ac:dyDescent="0.3">
      <c r="A1341" s="7"/>
      <c r="B1341" s="7"/>
      <c r="C1341" s="7"/>
      <c r="D1341" s="8"/>
      <c r="E1341" s="7"/>
    </row>
    <row r="1342" spans="1:5" x14ac:dyDescent="0.3">
      <c r="A1342" s="7"/>
      <c r="B1342" s="7"/>
      <c r="C1342" s="7"/>
      <c r="D1342" s="8"/>
      <c r="E1342" s="7"/>
    </row>
    <row r="1343" spans="1:5" x14ac:dyDescent="0.3">
      <c r="A1343" s="7"/>
      <c r="B1343" s="7"/>
      <c r="C1343" s="7"/>
      <c r="D1343" s="8"/>
      <c r="E1343" s="7"/>
    </row>
    <row r="1344" spans="1:5" x14ac:dyDescent="0.3">
      <c r="A1344" s="7"/>
      <c r="B1344" s="7"/>
      <c r="C1344" s="7"/>
      <c r="D1344" s="8"/>
      <c r="E1344" s="7"/>
    </row>
    <row r="1345" spans="1:5" x14ac:dyDescent="0.3">
      <c r="A1345" s="7"/>
      <c r="B1345" s="7"/>
      <c r="C1345" s="7"/>
      <c r="D1345" s="8"/>
      <c r="E1345" s="7"/>
    </row>
    <row r="1346" spans="1:5" x14ac:dyDescent="0.3">
      <c r="A1346" s="7"/>
      <c r="B1346" s="7"/>
      <c r="C1346" s="7"/>
      <c r="D1346" s="8"/>
      <c r="E1346" s="7"/>
    </row>
    <row r="1347" spans="1:5" x14ac:dyDescent="0.3">
      <c r="A1347" s="7"/>
      <c r="B1347" s="7"/>
      <c r="C1347" s="7"/>
      <c r="D1347" s="8"/>
      <c r="E1347" s="7"/>
    </row>
    <row r="1348" spans="1:5" x14ac:dyDescent="0.3">
      <c r="A1348" s="7"/>
      <c r="B1348" s="7"/>
      <c r="C1348" s="7"/>
      <c r="D1348" s="8"/>
      <c r="E1348" s="7"/>
    </row>
    <row r="1349" spans="1:5" x14ac:dyDescent="0.3">
      <c r="A1349" s="7"/>
      <c r="B1349" s="7"/>
      <c r="C1349" s="7"/>
      <c r="D1349" s="8"/>
      <c r="E1349" s="7"/>
    </row>
    <row r="1350" spans="1:5" x14ac:dyDescent="0.3">
      <c r="A1350" s="7"/>
      <c r="B1350" s="7"/>
      <c r="C1350" s="7"/>
      <c r="D1350" s="8"/>
      <c r="E1350" s="7"/>
    </row>
    <row r="1351" spans="1:5" x14ac:dyDescent="0.3">
      <c r="A1351" s="7"/>
      <c r="B1351" s="7"/>
      <c r="C1351" s="7"/>
      <c r="D1351" s="8"/>
      <c r="E1351" s="7"/>
    </row>
    <row r="1352" spans="1:5" x14ac:dyDescent="0.3">
      <c r="A1352" s="7"/>
      <c r="B1352" s="7"/>
      <c r="C1352" s="7"/>
      <c r="D1352" s="8"/>
      <c r="E1352" s="7"/>
    </row>
    <row r="1353" spans="1:5" x14ac:dyDescent="0.3">
      <c r="A1353" s="7"/>
      <c r="B1353" s="7"/>
      <c r="C1353" s="7"/>
      <c r="D1353" s="8"/>
      <c r="E1353" s="7"/>
    </row>
    <row r="1354" spans="1:5" x14ac:dyDescent="0.3">
      <c r="A1354" s="7"/>
      <c r="B1354" s="7"/>
      <c r="C1354" s="7"/>
      <c r="D1354" s="8"/>
      <c r="E1354" s="7"/>
    </row>
    <row r="1355" spans="1:5" x14ac:dyDescent="0.3">
      <c r="A1355" s="7"/>
      <c r="B1355" s="7"/>
      <c r="C1355" s="7"/>
      <c r="D1355" s="8"/>
      <c r="E1355" s="7"/>
    </row>
    <row r="1356" spans="1:5" x14ac:dyDescent="0.3">
      <c r="A1356" s="7"/>
      <c r="B1356" s="7"/>
      <c r="C1356" s="7"/>
      <c r="D1356" s="8"/>
      <c r="E1356" s="7"/>
    </row>
    <row r="1357" spans="1:5" x14ac:dyDescent="0.3">
      <c r="A1357" s="7"/>
      <c r="B1357" s="7"/>
      <c r="C1357" s="7"/>
      <c r="D1357" s="8"/>
      <c r="E1357" s="7"/>
    </row>
    <row r="1358" spans="1:5" x14ac:dyDescent="0.3">
      <c r="A1358" s="7"/>
      <c r="B1358" s="7"/>
      <c r="C1358" s="7"/>
      <c r="D1358" s="8"/>
      <c r="E1358" s="7"/>
    </row>
    <row r="1359" spans="1:5" x14ac:dyDescent="0.3">
      <c r="A1359" s="7"/>
      <c r="B1359" s="7"/>
      <c r="C1359" s="7"/>
      <c r="D1359" s="8"/>
      <c r="E1359" s="7"/>
    </row>
    <row r="1360" spans="1:5" x14ac:dyDescent="0.3">
      <c r="A1360" s="7"/>
      <c r="B1360" s="7"/>
      <c r="C1360" s="7"/>
      <c r="D1360" s="8"/>
      <c r="E1360" s="7"/>
    </row>
    <row r="1361" spans="1:5" x14ac:dyDescent="0.3">
      <c r="A1361" s="7"/>
      <c r="B1361" s="7"/>
      <c r="C1361" s="7"/>
      <c r="D1361" s="8"/>
      <c r="E1361" s="7"/>
    </row>
    <row r="1362" spans="1:5" x14ac:dyDescent="0.3">
      <c r="A1362" s="7"/>
      <c r="B1362" s="7"/>
      <c r="C1362" s="7"/>
      <c r="D1362" s="8"/>
      <c r="E1362" s="7"/>
    </row>
    <row r="1363" spans="1:5" x14ac:dyDescent="0.3">
      <c r="A1363" s="7"/>
      <c r="B1363" s="7"/>
      <c r="C1363" s="7"/>
      <c r="D1363" s="8"/>
      <c r="E1363" s="7"/>
    </row>
    <row r="1364" spans="1:5" x14ac:dyDescent="0.3">
      <c r="A1364" s="7"/>
      <c r="B1364" s="7"/>
      <c r="C1364" s="7"/>
      <c r="D1364" s="8"/>
      <c r="E1364" s="7"/>
    </row>
    <row r="1365" spans="1:5" x14ac:dyDescent="0.3">
      <c r="A1365" s="7"/>
      <c r="B1365" s="7"/>
      <c r="C1365" s="7"/>
      <c r="D1365" s="8"/>
      <c r="E1365" s="7"/>
    </row>
    <row r="1366" spans="1:5" x14ac:dyDescent="0.3">
      <c r="A1366" s="7"/>
      <c r="B1366" s="7"/>
      <c r="C1366" s="7"/>
      <c r="D1366" s="8"/>
      <c r="E1366" s="7"/>
    </row>
    <row r="1367" spans="1:5" x14ac:dyDescent="0.3">
      <c r="A1367" s="7"/>
      <c r="B1367" s="7"/>
      <c r="C1367" s="7"/>
      <c r="D1367" s="8"/>
      <c r="E1367" s="7"/>
    </row>
    <row r="1368" spans="1:5" x14ac:dyDescent="0.3">
      <c r="A1368" s="7"/>
      <c r="B1368" s="7"/>
      <c r="C1368" s="7"/>
      <c r="D1368" s="8"/>
      <c r="E1368" s="7"/>
    </row>
    <row r="1369" spans="1:5" x14ac:dyDescent="0.3">
      <c r="A1369" s="7"/>
      <c r="B1369" s="7"/>
      <c r="C1369" s="7"/>
      <c r="D1369" s="8"/>
      <c r="E1369" s="7"/>
    </row>
    <row r="1370" spans="1:5" x14ac:dyDescent="0.3">
      <c r="A1370" s="7"/>
      <c r="B1370" s="7"/>
      <c r="C1370" s="7"/>
      <c r="D1370" s="8"/>
      <c r="E1370" s="7"/>
    </row>
    <row r="1371" spans="1:5" x14ac:dyDescent="0.3">
      <c r="A1371" s="7"/>
      <c r="B1371" s="7"/>
      <c r="C1371" s="7"/>
      <c r="D1371" s="8"/>
      <c r="E1371" s="7"/>
    </row>
    <row r="1372" spans="1:5" x14ac:dyDescent="0.3">
      <c r="A1372" s="7"/>
      <c r="B1372" s="7"/>
      <c r="C1372" s="7"/>
      <c r="D1372" s="8"/>
      <c r="E1372" s="7"/>
    </row>
    <row r="1373" spans="1:5" x14ac:dyDescent="0.3">
      <c r="A1373" s="7"/>
      <c r="B1373" s="7"/>
      <c r="C1373" s="7"/>
      <c r="D1373" s="8"/>
      <c r="E1373" s="7"/>
    </row>
    <row r="1374" spans="1:5" x14ac:dyDescent="0.3">
      <c r="A1374" s="7"/>
      <c r="B1374" s="7"/>
      <c r="C1374" s="7"/>
      <c r="D1374" s="8"/>
      <c r="E1374" s="7"/>
    </row>
    <row r="1375" spans="1:5" x14ac:dyDescent="0.3">
      <c r="A1375" s="7"/>
      <c r="B1375" s="7"/>
      <c r="C1375" s="7"/>
      <c r="D1375" s="8"/>
      <c r="E1375" s="7"/>
    </row>
    <row r="1376" spans="1:5" x14ac:dyDescent="0.3">
      <c r="A1376" s="7"/>
      <c r="B1376" s="7"/>
      <c r="C1376" s="7"/>
      <c r="D1376" s="8"/>
      <c r="E1376" s="7"/>
    </row>
    <row r="1377" spans="1:5" x14ac:dyDescent="0.3">
      <c r="A1377" s="7"/>
      <c r="B1377" s="7"/>
      <c r="C1377" s="7"/>
      <c r="D1377" s="8"/>
      <c r="E1377" s="7"/>
    </row>
    <row r="1378" spans="1:5" x14ac:dyDescent="0.3">
      <c r="A1378" s="7"/>
      <c r="B1378" s="7"/>
      <c r="C1378" s="7"/>
      <c r="D1378" s="8"/>
      <c r="E1378" s="7"/>
    </row>
    <row r="1379" spans="1:5" x14ac:dyDescent="0.3">
      <c r="A1379" s="7"/>
      <c r="B1379" s="7"/>
      <c r="C1379" s="7"/>
      <c r="D1379" s="8"/>
      <c r="E1379" s="7"/>
    </row>
    <row r="1380" spans="1:5" x14ac:dyDescent="0.3">
      <c r="A1380" s="7"/>
      <c r="B1380" s="7"/>
      <c r="C1380" s="7"/>
      <c r="D1380" s="8"/>
      <c r="E1380" s="7"/>
    </row>
    <row r="1381" spans="1:5" x14ac:dyDescent="0.3">
      <c r="A1381" s="7"/>
      <c r="B1381" s="7"/>
      <c r="C1381" s="7"/>
      <c r="D1381" s="8"/>
      <c r="E1381" s="7"/>
    </row>
    <row r="1382" spans="1:5" x14ac:dyDescent="0.3">
      <c r="A1382" s="7"/>
      <c r="B1382" s="7"/>
      <c r="C1382" s="7"/>
      <c r="D1382" s="8"/>
      <c r="E1382" s="7"/>
    </row>
    <row r="1383" spans="1:5" x14ac:dyDescent="0.3">
      <c r="A1383" s="7"/>
      <c r="B1383" s="7"/>
      <c r="C1383" s="7"/>
      <c r="D1383" s="8"/>
      <c r="E1383" s="7"/>
    </row>
    <row r="1384" spans="1:5" x14ac:dyDescent="0.3">
      <c r="A1384" s="7"/>
      <c r="B1384" s="7"/>
      <c r="C1384" s="7"/>
      <c r="D1384" s="8"/>
      <c r="E1384" s="7"/>
    </row>
    <row r="1385" spans="1:5" x14ac:dyDescent="0.3">
      <c r="A1385" s="7"/>
      <c r="B1385" s="7"/>
      <c r="C1385" s="7"/>
      <c r="D1385" s="8"/>
      <c r="E1385" s="7"/>
    </row>
    <row r="1386" spans="1:5" x14ac:dyDescent="0.3">
      <c r="A1386" s="7"/>
      <c r="B1386" s="7"/>
      <c r="C1386" s="7"/>
      <c r="D1386" s="8"/>
      <c r="E1386" s="7"/>
    </row>
    <row r="1387" spans="1:5" x14ac:dyDescent="0.3">
      <c r="A1387" s="7"/>
      <c r="B1387" s="7"/>
      <c r="C1387" s="7"/>
      <c r="D1387" s="8"/>
      <c r="E1387" s="7"/>
    </row>
    <row r="1388" spans="1:5" x14ac:dyDescent="0.3">
      <c r="A1388" s="7"/>
      <c r="B1388" s="7"/>
      <c r="C1388" s="7"/>
      <c r="D1388" s="8"/>
      <c r="E1388" s="7"/>
    </row>
    <row r="1389" spans="1:5" x14ac:dyDescent="0.3">
      <c r="A1389" s="7"/>
      <c r="B1389" s="7"/>
      <c r="C1389" s="7"/>
      <c r="D1389" s="8"/>
      <c r="E1389" s="7"/>
    </row>
    <row r="1390" spans="1:5" x14ac:dyDescent="0.3">
      <c r="A1390" s="7"/>
      <c r="B1390" s="7"/>
      <c r="C1390" s="7"/>
      <c r="D1390" s="8"/>
      <c r="E1390" s="7"/>
    </row>
    <row r="1391" spans="1:5" x14ac:dyDescent="0.3">
      <c r="A1391" s="7"/>
      <c r="B1391" s="7"/>
      <c r="C1391" s="7"/>
      <c r="D1391" s="8"/>
      <c r="E1391" s="7"/>
    </row>
    <row r="1392" spans="1:5" x14ac:dyDescent="0.3">
      <c r="A1392" s="7"/>
      <c r="B1392" s="7"/>
      <c r="C1392" s="7"/>
      <c r="D1392" s="8"/>
      <c r="E1392" s="7"/>
    </row>
    <row r="1393" spans="1:5" x14ac:dyDescent="0.3">
      <c r="A1393" s="7"/>
      <c r="B1393" s="7"/>
      <c r="C1393" s="7"/>
      <c r="D1393" s="8"/>
      <c r="E1393" s="7"/>
    </row>
    <row r="1394" spans="1:5" x14ac:dyDescent="0.3">
      <c r="A1394" s="7"/>
      <c r="B1394" s="7"/>
      <c r="C1394" s="7"/>
      <c r="D1394" s="8"/>
      <c r="E1394" s="7"/>
    </row>
    <row r="1395" spans="1:5" x14ac:dyDescent="0.3">
      <c r="A1395" s="7"/>
      <c r="B1395" s="7"/>
      <c r="C1395" s="7"/>
      <c r="D1395" s="8"/>
      <c r="E1395" s="7"/>
    </row>
    <row r="1396" spans="1:5" x14ac:dyDescent="0.3">
      <c r="A1396" s="7"/>
      <c r="B1396" s="7"/>
      <c r="C1396" s="7"/>
      <c r="D1396" s="8"/>
      <c r="E1396" s="7"/>
    </row>
    <row r="1397" spans="1:5" x14ac:dyDescent="0.3">
      <c r="A1397" s="7"/>
      <c r="B1397" s="7"/>
      <c r="C1397" s="7"/>
      <c r="D1397" s="8"/>
      <c r="E1397" s="7"/>
    </row>
    <row r="1398" spans="1:5" x14ac:dyDescent="0.3">
      <c r="A1398" s="7"/>
      <c r="B1398" s="7"/>
      <c r="C1398" s="7"/>
      <c r="D1398" s="8"/>
      <c r="E1398" s="7"/>
    </row>
    <row r="1399" spans="1:5" x14ac:dyDescent="0.3">
      <c r="A1399" s="7"/>
      <c r="B1399" s="7"/>
      <c r="C1399" s="7"/>
      <c r="D1399" s="8"/>
      <c r="E1399" s="7"/>
    </row>
    <row r="1400" spans="1:5" x14ac:dyDescent="0.3">
      <c r="A1400" s="7"/>
      <c r="B1400" s="7"/>
      <c r="C1400" s="7"/>
      <c r="D1400" s="8"/>
      <c r="E1400" s="7"/>
    </row>
    <row r="1401" spans="1:5" x14ac:dyDescent="0.3">
      <c r="A1401" s="7"/>
      <c r="B1401" s="7"/>
      <c r="C1401" s="7"/>
      <c r="D1401" s="8"/>
      <c r="E1401" s="7"/>
    </row>
    <row r="1402" spans="1:5" x14ac:dyDescent="0.3">
      <c r="A1402" s="7"/>
      <c r="B1402" s="7"/>
      <c r="C1402" s="7"/>
      <c r="D1402" s="8"/>
      <c r="E1402" s="7"/>
    </row>
    <row r="1403" spans="1:5" x14ac:dyDescent="0.3">
      <c r="A1403" s="7"/>
      <c r="B1403" s="7"/>
      <c r="C1403" s="7"/>
      <c r="D1403" s="8"/>
      <c r="E1403" s="7"/>
    </row>
    <row r="1404" spans="1:5" x14ac:dyDescent="0.3">
      <c r="A1404" s="7"/>
      <c r="B1404" s="7"/>
      <c r="C1404" s="7"/>
      <c r="D1404" s="8"/>
      <c r="E1404" s="7"/>
    </row>
    <row r="1405" spans="1:5" x14ac:dyDescent="0.3">
      <c r="A1405" s="7"/>
      <c r="B1405" s="7"/>
      <c r="C1405" s="7"/>
      <c r="D1405" s="8"/>
      <c r="E1405" s="7"/>
    </row>
    <row r="1406" spans="1:5" x14ac:dyDescent="0.3">
      <c r="A1406" s="7"/>
      <c r="B1406" s="7"/>
      <c r="C1406" s="7"/>
      <c r="D1406" s="8"/>
      <c r="E1406" s="7"/>
    </row>
    <row r="1407" spans="1:5" x14ac:dyDescent="0.3">
      <c r="A1407" s="7"/>
      <c r="B1407" s="7"/>
      <c r="C1407" s="7"/>
      <c r="D1407" s="8"/>
      <c r="E1407" s="7"/>
    </row>
    <row r="1408" spans="1:5" x14ac:dyDescent="0.3">
      <c r="A1408" s="7"/>
      <c r="B1408" s="7"/>
      <c r="C1408" s="7"/>
      <c r="D1408" s="8"/>
      <c r="E1408" s="7"/>
    </row>
    <row r="1409" spans="1:5" x14ac:dyDescent="0.3">
      <c r="A1409" s="7"/>
      <c r="B1409" s="7"/>
      <c r="C1409" s="7"/>
      <c r="D1409" s="8"/>
      <c r="E1409" s="7"/>
    </row>
    <row r="1410" spans="1:5" x14ac:dyDescent="0.3">
      <c r="A1410" s="7"/>
      <c r="B1410" s="7"/>
      <c r="C1410" s="7"/>
      <c r="D1410" s="8"/>
      <c r="E1410" s="7"/>
    </row>
    <row r="1411" spans="1:5" x14ac:dyDescent="0.3">
      <c r="A1411" s="7"/>
      <c r="B1411" s="7"/>
      <c r="C1411" s="7"/>
      <c r="D1411" s="8"/>
      <c r="E1411" s="7"/>
    </row>
    <row r="1412" spans="1:5" x14ac:dyDescent="0.3">
      <c r="A1412" s="7"/>
      <c r="B1412" s="7"/>
      <c r="C1412" s="7"/>
      <c r="D1412" s="8"/>
      <c r="E1412" s="7"/>
    </row>
    <row r="1413" spans="1:5" x14ac:dyDescent="0.3">
      <c r="A1413" s="7"/>
      <c r="B1413" s="7"/>
      <c r="C1413" s="7"/>
      <c r="D1413" s="8"/>
      <c r="E1413" s="7"/>
    </row>
    <row r="1414" spans="1:5" x14ac:dyDescent="0.3">
      <c r="A1414" s="7"/>
      <c r="B1414" s="7"/>
      <c r="C1414" s="7"/>
      <c r="D1414" s="8"/>
      <c r="E1414" s="7"/>
    </row>
    <row r="1415" spans="1:5" x14ac:dyDescent="0.3">
      <c r="A1415" s="7"/>
      <c r="B1415" s="7"/>
      <c r="C1415" s="7"/>
      <c r="D1415" s="8"/>
      <c r="E1415" s="7"/>
    </row>
    <row r="1416" spans="1:5" x14ac:dyDescent="0.3">
      <c r="A1416" s="7"/>
      <c r="B1416" s="7"/>
      <c r="C1416" s="7"/>
      <c r="D1416" s="8"/>
      <c r="E1416" s="7"/>
    </row>
    <row r="1417" spans="1:5" x14ac:dyDescent="0.3">
      <c r="A1417" s="7"/>
      <c r="B1417" s="7"/>
      <c r="C1417" s="7"/>
      <c r="D1417" s="8"/>
      <c r="E1417" s="7"/>
    </row>
    <row r="1418" spans="1:5" x14ac:dyDescent="0.3">
      <c r="A1418" s="7"/>
      <c r="B1418" s="7"/>
      <c r="C1418" s="7"/>
      <c r="D1418" s="8"/>
      <c r="E1418" s="7"/>
    </row>
    <row r="1419" spans="1:5" x14ac:dyDescent="0.3">
      <c r="A1419" s="7"/>
      <c r="B1419" s="7"/>
      <c r="C1419" s="7"/>
      <c r="D1419" s="8"/>
      <c r="E1419" s="7"/>
    </row>
    <row r="1420" spans="1:5" x14ac:dyDescent="0.3">
      <c r="A1420" s="7"/>
      <c r="B1420" s="7"/>
      <c r="C1420" s="7"/>
      <c r="D1420" s="8"/>
      <c r="E1420" s="7"/>
    </row>
    <row r="1421" spans="1:5" x14ac:dyDescent="0.3">
      <c r="A1421" s="7"/>
      <c r="B1421" s="7"/>
      <c r="C1421" s="7"/>
      <c r="D1421" s="8"/>
      <c r="E1421" s="7"/>
    </row>
    <row r="1422" spans="1:5" x14ac:dyDescent="0.3">
      <c r="A1422" s="7"/>
      <c r="B1422" s="7"/>
      <c r="C1422" s="7"/>
      <c r="D1422" s="8"/>
      <c r="E1422" s="7"/>
    </row>
    <row r="1423" spans="1:5" x14ac:dyDescent="0.3">
      <c r="A1423" s="7"/>
      <c r="B1423" s="7"/>
      <c r="C1423" s="7"/>
      <c r="D1423" s="8"/>
      <c r="E1423" s="7"/>
    </row>
    <row r="1424" spans="1:5" x14ac:dyDescent="0.3">
      <c r="A1424" s="7"/>
      <c r="B1424" s="7"/>
      <c r="C1424" s="7"/>
      <c r="D1424" s="8"/>
      <c r="E1424" s="7"/>
    </row>
    <row r="1425" spans="1:5" x14ac:dyDescent="0.3">
      <c r="A1425" s="7"/>
      <c r="B1425" s="7"/>
      <c r="C1425" s="7"/>
      <c r="D1425" s="8"/>
      <c r="E1425" s="7"/>
    </row>
    <row r="1426" spans="1:5" x14ac:dyDescent="0.3">
      <c r="A1426" s="7"/>
      <c r="B1426" s="7"/>
      <c r="C1426" s="7"/>
      <c r="D1426" s="8"/>
      <c r="E1426" s="7"/>
    </row>
    <row r="1427" spans="1:5" x14ac:dyDescent="0.3">
      <c r="A1427" s="7"/>
      <c r="B1427" s="7"/>
      <c r="C1427" s="7"/>
      <c r="D1427" s="8"/>
      <c r="E1427" s="7"/>
    </row>
    <row r="1428" spans="1:5" x14ac:dyDescent="0.3">
      <c r="A1428" s="7"/>
      <c r="B1428" s="7"/>
      <c r="C1428" s="7"/>
      <c r="D1428" s="8"/>
      <c r="E1428" s="7"/>
    </row>
    <row r="1429" spans="1:5" x14ac:dyDescent="0.3">
      <c r="A1429" s="7"/>
      <c r="B1429" s="7"/>
      <c r="C1429" s="7"/>
      <c r="D1429" s="8"/>
      <c r="E1429" s="7"/>
    </row>
    <row r="1430" spans="1:5" x14ac:dyDescent="0.3">
      <c r="A1430" s="7"/>
      <c r="B1430" s="7"/>
      <c r="C1430" s="7"/>
      <c r="D1430" s="8"/>
      <c r="E1430" s="7"/>
    </row>
    <row r="1431" spans="1:5" x14ac:dyDescent="0.3">
      <c r="A1431" s="7"/>
      <c r="B1431" s="7"/>
      <c r="C1431" s="7"/>
      <c r="D1431" s="8"/>
      <c r="E1431" s="7"/>
    </row>
    <row r="1432" spans="1:5" x14ac:dyDescent="0.3">
      <c r="A1432" s="7"/>
      <c r="B1432" s="7"/>
      <c r="C1432" s="7"/>
      <c r="D1432" s="8"/>
      <c r="E1432" s="7"/>
    </row>
    <row r="1433" spans="1:5" x14ac:dyDescent="0.3">
      <c r="A1433" s="7"/>
      <c r="B1433" s="7"/>
      <c r="C1433" s="7"/>
      <c r="D1433" s="8"/>
      <c r="E1433" s="7"/>
    </row>
    <row r="1434" spans="1:5" x14ac:dyDescent="0.3">
      <c r="A1434" s="7"/>
      <c r="B1434" s="7"/>
      <c r="C1434" s="7"/>
      <c r="D1434" s="8"/>
      <c r="E1434" s="7"/>
    </row>
    <row r="1435" spans="1:5" x14ac:dyDescent="0.3">
      <c r="A1435" s="7"/>
      <c r="B1435" s="7"/>
      <c r="C1435" s="7"/>
      <c r="D1435" s="8"/>
      <c r="E1435" s="7"/>
    </row>
    <row r="1436" spans="1:5" x14ac:dyDescent="0.3">
      <c r="A1436" s="7"/>
      <c r="B1436" s="7"/>
      <c r="C1436" s="7"/>
      <c r="D1436" s="8"/>
      <c r="E1436" s="7"/>
    </row>
    <row r="1437" spans="1:5" x14ac:dyDescent="0.3">
      <c r="A1437" s="7"/>
      <c r="B1437" s="7"/>
      <c r="C1437" s="7"/>
      <c r="D1437" s="8"/>
      <c r="E1437" s="7"/>
    </row>
    <row r="1438" spans="1:5" x14ac:dyDescent="0.3">
      <c r="A1438" s="7"/>
      <c r="B1438" s="7"/>
      <c r="C1438" s="7"/>
      <c r="D1438" s="8"/>
      <c r="E1438" s="7"/>
    </row>
    <row r="1439" spans="1:5" x14ac:dyDescent="0.3">
      <c r="A1439" s="7"/>
      <c r="B1439" s="7"/>
      <c r="C1439" s="7"/>
      <c r="D1439" s="8"/>
      <c r="E1439" s="7"/>
    </row>
    <row r="1440" spans="1:5" x14ac:dyDescent="0.3">
      <c r="A1440" s="7"/>
      <c r="B1440" s="7"/>
      <c r="C1440" s="7"/>
      <c r="D1440" s="8"/>
      <c r="E1440" s="7"/>
    </row>
    <row r="1441" spans="1:5" x14ac:dyDescent="0.3">
      <c r="A1441" s="7"/>
      <c r="B1441" s="7"/>
      <c r="C1441" s="7"/>
      <c r="D1441" s="8"/>
      <c r="E1441" s="7"/>
    </row>
    <row r="1442" spans="1:5" x14ac:dyDescent="0.3">
      <c r="A1442" s="7"/>
      <c r="B1442" s="7"/>
      <c r="C1442" s="7"/>
      <c r="D1442" s="8"/>
      <c r="E1442" s="7"/>
    </row>
    <row r="1443" spans="1:5" x14ac:dyDescent="0.3">
      <c r="A1443" s="7"/>
      <c r="B1443" s="7"/>
      <c r="C1443" s="7"/>
      <c r="D1443" s="8"/>
      <c r="E1443" s="7"/>
    </row>
    <row r="1444" spans="1:5" x14ac:dyDescent="0.3">
      <c r="A1444" s="7"/>
      <c r="B1444" s="7"/>
      <c r="C1444" s="7"/>
      <c r="D1444" s="8"/>
      <c r="E1444" s="7"/>
    </row>
    <row r="1445" spans="1:5" x14ac:dyDescent="0.3">
      <c r="A1445" s="7"/>
      <c r="B1445" s="7"/>
      <c r="C1445" s="7"/>
      <c r="D1445" s="8"/>
      <c r="E1445" s="7"/>
    </row>
    <row r="1446" spans="1:5" x14ac:dyDescent="0.3">
      <c r="A1446" s="7"/>
      <c r="B1446" s="7"/>
      <c r="C1446" s="7"/>
      <c r="D1446" s="8"/>
      <c r="E1446" s="7"/>
    </row>
    <row r="1447" spans="1:5" x14ac:dyDescent="0.3">
      <c r="A1447" s="7"/>
      <c r="B1447" s="7"/>
      <c r="C1447" s="7"/>
      <c r="D1447" s="8"/>
      <c r="E1447" s="7"/>
    </row>
    <row r="1448" spans="1:5" x14ac:dyDescent="0.3">
      <c r="A1448" s="7"/>
      <c r="B1448" s="7"/>
      <c r="C1448" s="7"/>
      <c r="D1448" s="8"/>
      <c r="E1448" s="7"/>
    </row>
    <row r="1449" spans="1:5" x14ac:dyDescent="0.3">
      <c r="A1449" s="7"/>
      <c r="B1449" s="7"/>
      <c r="C1449" s="7"/>
      <c r="D1449" s="8"/>
      <c r="E1449" s="7"/>
    </row>
    <row r="1450" spans="1:5" x14ac:dyDescent="0.3">
      <c r="A1450" s="7"/>
      <c r="B1450" s="7"/>
      <c r="C1450" s="7"/>
      <c r="D1450" s="8"/>
      <c r="E1450" s="7"/>
    </row>
    <row r="1451" spans="1:5" x14ac:dyDescent="0.3">
      <c r="A1451" s="7"/>
      <c r="B1451" s="7"/>
      <c r="C1451" s="7"/>
      <c r="D1451" s="8"/>
      <c r="E1451" s="7"/>
    </row>
    <row r="1452" spans="1:5" x14ac:dyDescent="0.3">
      <c r="A1452" s="7"/>
      <c r="B1452" s="7"/>
      <c r="C1452" s="7"/>
      <c r="D1452" s="8"/>
      <c r="E1452" s="7"/>
    </row>
    <row r="1453" spans="1:5" x14ac:dyDescent="0.3">
      <c r="A1453" s="7"/>
      <c r="B1453" s="7"/>
      <c r="C1453" s="7"/>
      <c r="D1453" s="8"/>
      <c r="E1453" s="7"/>
    </row>
    <row r="1454" spans="1:5" x14ac:dyDescent="0.3">
      <c r="A1454" s="7"/>
      <c r="B1454" s="7"/>
      <c r="C1454" s="7"/>
      <c r="D1454" s="7"/>
      <c r="E1454" s="7"/>
    </row>
    <row r="1455" spans="1:5" x14ac:dyDescent="0.3">
      <c r="A1455" s="7"/>
      <c r="B1455" s="7"/>
      <c r="C1455" s="7"/>
      <c r="D1455" s="7"/>
      <c r="E1455" s="7"/>
    </row>
    <row r="1456" spans="1:5" x14ac:dyDescent="0.3">
      <c r="A1456" s="7"/>
      <c r="B1456" s="7"/>
      <c r="C1456" s="7"/>
      <c r="D1456" s="7"/>
      <c r="E1456" s="7"/>
    </row>
    <row r="1457" spans="1:5" x14ac:dyDescent="0.3">
      <c r="A1457" s="7"/>
      <c r="B1457" s="7"/>
      <c r="C1457" s="7"/>
      <c r="D1457" s="7"/>
      <c r="E1457" s="7"/>
    </row>
    <row r="1458" spans="1:5" x14ac:dyDescent="0.3">
      <c r="A1458" s="7"/>
      <c r="B1458" s="7"/>
      <c r="C1458" s="7"/>
      <c r="D1458" s="7"/>
      <c r="E1458" s="7"/>
    </row>
    <row r="1459" spans="1:5" x14ac:dyDescent="0.3">
      <c r="A1459" s="7"/>
      <c r="B1459" s="7"/>
      <c r="C1459" s="7"/>
      <c r="D1459" s="7"/>
      <c r="E1459" s="7"/>
    </row>
    <row r="1460" spans="1:5" x14ac:dyDescent="0.3">
      <c r="A1460" s="7"/>
      <c r="B1460" s="7"/>
      <c r="C1460" s="7"/>
      <c r="D1460" s="7"/>
      <c r="E1460" s="7"/>
    </row>
    <row r="1461" spans="1:5" x14ac:dyDescent="0.3">
      <c r="A1461" s="7"/>
      <c r="B1461" s="7"/>
      <c r="C1461" s="7"/>
      <c r="D1461" s="7"/>
      <c r="E1461" s="7"/>
    </row>
    <row r="1462" spans="1:5" x14ac:dyDescent="0.3">
      <c r="A1462" s="7"/>
      <c r="B1462" s="7"/>
      <c r="C1462" s="7"/>
      <c r="D1462" s="7"/>
      <c r="E1462" s="7"/>
    </row>
    <row r="1463" spans="1:5" x14ac:dyDescent="0.3">
      <c r="A1463" s="7"/>
      <c r="B1463" s="7"/>
    </row>
    <row r="1464" spans="1:5" x14ac:dyDescent="0.3">
      <c r="A1464" s="7"/>
      <c r="B1464" s="7"/>
    </row>
    <row r="1465" spans="1:5" x14ac:dyDescent="0.3">
      <c r="A1465" s="7"/>
      <c r="B1465" s="7"/>
    </row>
    <row r="1466" spans="1:5" x14ac:dyDescent="0.3">
      <c r="A1466" s="7"/>
      <c r="B1466" s="7"/>
    </row>
    <row r="1467" spans="1:5" x14ac:dyDescent="0.3">
      <c r="A1467" s="7"/>
      <c r="B1467" s="7"/>
    </row>
    <row r="1468" spans="1:5" x14ac:dyDescent="0.3">
      <c r="A1468" s="7"/>
      <c r="B1468" s="7"/>
    </row>
    <row r="1469" spans="1:5" x14ac:dyDescent="0.3">
      <c r="A1469" s="7"/>
      <c r="B1469" s="7"/>
    </row>
    <row r="1470" spans="1:5" x14ac:dyDescent="0.3">
      <c r="A1470" s="7"/>
      <c r="B1470" s="7"/>
    </row>
    <row r="1471" spans="1:5" x14ac:dyDescent="0.3">
      <c r="A1471" s="7"/>
      <c r="B1471" s="7"/>
    </row>
    <row r="1472" spans="1:5" x14ac:dyDescent="0.3">
      <c r="A1472" s="7"/>
      <c r="B1472" s="7"/>
    </row>
    <row r="1473" spans="1:2" x14ac:dyDescent="0.3">
      <c r="A1473" s="7"/>
      <c r="B1473" s="7"/>
    </row>
    <row r="1474" spans="1:2" x14ac:dyDescent="0.3">
      <c r="A1474" s="7"/>
      <c r="B1474" s="7"/>
    </row>
    <row r="1475" spans="1:2" x14ac:dyDescent="0.3">
      <c r="A1475" s="7"/>
      <c r="B1475" s="7"/>
    </row>
    <row r="1476" spans="1:2" x14ac:dyDescent="0.3">
      <c r="A1476" s="7"/>
      <c r="B1476" s="7"/>
    </row>
    <row r="1477" spans="1:2" x14ac:dyDescent="0.3">
      <c r="A1477" s="7"/>
      <c r="B1477" s="7"/>
    </row>
    <row r="1478" spans="1:2" x14ac:dyDescent="0.3">
      <c r="A1478" s="7"/>
      <c r="B1478" s="7"/>
    </row>
    <row r="1479" spans="1:2" x14ac:dyDescent="0.3">
      <c r="A1479" s="7"/>
      <c r="B1479" s="7"/>
    </row>
    <row r="1480" spans="1:2" x14ac:dyDescent="0.3">
      <c r="A1480" s="7"/>
      <c r="B1480" s="7"/>
    </row>
    <row r="1481" spans="1:2" x14ac:dyDescent="0.3">
      <c r="A1481" s="7"/>
      <c r="B1481" s="7"/>
    </row>
    <row r="1482" spans="1:2" x14ac:dyDescent="0.3">
      <c r="A1482" s="7"/>
      <c r="B1482" s="7"/>
    </row>
    <row r="1483" spans="1:2" x14ac:dyDescent="0.3">
      <c r="A1483" s="7"/>
      <c r="B1483" s="7"/>
    </row>
    <row r="1484" spans="1:2" x14ac:dyDescent="0.3">
      <c r="A1484" s="7"/>
      <c r="B1484" s="7"/>
    </row>
    <row r="1485" spans="1:2" x14ac:dyDescent="0.3">
      <c r="A1485" s="7"/>
      <c r="B1485" s="7"/>
    </row>
    <row r="1486" spans="1:2" x14ac:dyDescent="0.3">
      <c r="A1486" s="7"/>
    </row>
    <row r="1487" spans="1:2" x14ac:dyDescent="0.3">
      <c r="A1487" s="7"/>
    </row>
    <row r="1488" spans="1:2" x14ac:dyDescent="0.3">
      <c r="A1488" s="7"/>
    </row>
    <row r="1489" spans="1:1" x14ac:dyDescent="0.3">
      <c r="A1489" s="7"/>
    </row>
    <row r="1490" spans="1:1" x14ac:dyDescent="0.3">
      <c r="A1490" s="7"/>
    </row>
    <row r="1491" spans="1:1" x14ac:dyDescent="0.3">
      <c r="A1491" s="7"/>
    </row>
    <row r="1492" spans="1:1" x14ac:dyDescent="0.3">
      <c r="A1492" s="7"/>
    </row>
    <row r="1493" spans="1:1" x14ac:dyDescent="0.3">
      <c r="A1493" s="7"/>
    </row>
    <row r="1494" spans="1:1" x14ac:dyDescent="0.3">
      <c r="A1494" s="7"/>
    </row>
    <row r="1495" spans="1:1" x14ac:dyDescent="0.3">
      <c r="A1495" s="7"/>
    </row>
    <row r="1496" spans="1:1" x14ac:dyDescent="0.3">
      <c r="A1496" s="7"/>
    </row>
    <row r="1497" spans="1:1" x14ac:dyDescent="0.3">
      <c r="A1497" s="7"/>
    </row>
    <row r="1498" spans="1:1" x14ac:dyDescent="0.3">
      <c r="A1498" s="7"/>
    </row>
    <row r="1499" spans="1:1" x14ac:dyDescent="0.3">
      <c r="A1499" s="7"/>
    </row>
    <row r="1500" spans="1:1" x14ac:dyDescent="0.3">
      <c r="A1500" s="7"/>
    </row>
    <row r="1501" spans="1:1" x14ac:dyDescent="0.3">
      <c r="A1501" s="7"/>
    </row>
    <row r="1502" spans="1:1" x14ac:dyDescent="0.3">
      <c r="A1502" s="7"/>
    </row>
    <row r="1503" spans="1:1" x14ac:dyDescent="0.3">
      <c r="A1503" s="7"/>
    </row>
    <row r="1504" spans="1:1" x14ac:dyDescent="0.3">
      <c r="A1504" s="7"/>
    </row>
    <row r="1505" spans="1:1" x14ac:dyDescent="0.3">
      <c r="A1505" s="7"/>
    </row>
    <row r="1506" spans="1:1" x14ac:dyDescent="0.3">
      <c r="A1506" s="7"/>
    </row>
    <row r="1507" spans="1:1" x14ac:dyDescent="0.3">
      <c r="A1507" s="7"/>
    </row>
    <row r="1508" spans="1:1" x14ac:dyDescent="0.3">
      <c r="A1508" s="7"/>
    </row>
    <row r="1509" spans="1:1" x14ac:dyDescent="0.3">
      <c r="A1509" s="7"/>
    </row>
    <row r="1510" spans="1:1" x14ac:dyDescent="0.3">
      <c r="A1510" s="7"/>
    </row>
    <row r="1511" spans="1:1" x14ac:dyDescent="0.3">
      <c r="A1511" s="7"/>
    </row>
    <row r="1512" spans="1:1" x14ac:dyDescent="0.3">
      <c r="A1512" s="7"/>
    </row>
    <row r="1513" spans="1:1" x14ac:dyDescent="0.3">
      <c r="A1513" s="7"/>
    </row>
    <row r="1514" spans="1:1" x14ac:dyDescent="0.3">
      <c r="A1514" s="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9E027-07AB-5B4E-B150-E88615AE26EE}">
  <dimension ref="B2:G56"/>
  <sheetViews>
    <sheetView zoomScale="103" workbookViewId="0">
      <selection activeCell="E36" sqref="E36"/>
    </sheetView>
  </sheetViews>
  <sheetFormatPr defaultColWidth="11.19921875" defaultRowHeight="15.6" x14ac:dyDescent="0.3"/>
  <cols>
    <col min="2" max="2" width="33.5" customWidth="1"/>
    <col min="3" max="3" width="21.5" customWidth="1"/>
    <col min="4" max="4" width="40.8984375" customWidth="1"/>
    <col min="5" max="5" width="22.796875" customWidth="1"/>
    <col min="6" max="6" width="16.69921875" bestFit="1" customWidth="1"/>
  </cols>
  <sheetData>
    <row r="2" spans="2:5" x14ac:dyDescent="0.3">
      <c r="B2" s="1" t="s">
        <v>0</v>
      </c>
      <c r="C2" s="1" t="s">
        <v>1</v>
      </c>
      <c r="D2" s="1" t="s">
        <v>11</v>
      </c>
      <c r="E2" s="1" t="s">
        <v>13</v>
      </c>
    </row>
    <row r="4" spans="2:5" x14ac:dyDescent="0.3">
      <c r="B4" t="s">
        <v>670</v>
      </c>
      <c r="C4" t="s">
        <v>239</v>
      </c>
      <c r="D4" t="s">
        <v>760</v>
      </c>
      <c r="E4" s="10">
        <f>SUM(computations!D51:D74)</f>
        <v>52432.396986101347</v>
      </c>
    </row>
    <row r="5" spans="2:5" x14ac:dyDescent="0.3">
      <c r="B5" t="s">
        <v>752</v>
      </c>
      <c r="C5" t="s">
        <v>239</v>
      </c>
      <c r="D5" t="s">
        <v>761</v>
      </c>
      <c r="E5" s="10">
        <f>SUM(computations!D88:D111)</f>
        <v>188022575.59215948</v>
      </c>
    </row>
    <row r="6" spans="2:5" x14ac:dyDescent="0.3">
      <c r="B6" t="s">
        <v>671</v>
      </c>
      <c r="C6" t="s">
        <v>239</v>
      </c>
      <c r="D6" t="s">
        <v>762</v>
      </c>
      <c r="E6" s="10">
        <f>SUM(computations!D75:D87)</f>
        <v>10642.434745116298</v>
      </c>
    </row>
    <row r="7" spans="2:5" x14ac:dyDescent="0.3">
      <c r="B7" t="s">
        <v>753</v>
      </c>
      <c r="C7" t="s">
        <v>239</v>
      </c>
      <c r="D7" t="s">
        <v>763</v>
      </c>
      <c r="E7" s="10">
        <f>SUM(computations!D112:D123)</f>
        <v>22864101.428552121</v>
      </c>
    </row>
    <row r="8" spans="2:5" x14ac:dyDescent="0.3">
      <c r="B8" t="s">
        <v>751</v>
      </c>
      <c r="C8" t="s">
        <v>239</v>
      </c>
      <c r="D8" t="s">
        <v>764</v>
      </c>
      <c r="E8" s="10">
        <f>computations!D87</f>
        <v>4266.5001582361747</v>
      </c>
    </row>
    <row r="9" spans="2:5" x14ac:dyDescent="0.3">
      <c r="B9" t="s">
        <v>754</v>
      </c>
      <c r="C9" t="s">
        <v>239</v>
      </c>
      <c r="D9" t="s">
        <v>765</v>
      </c>
      <c r="E9" s="10">
        <f>computations!D124</f>
        <v>15299669.567434922</v>
      </c>
    </row>
    <row r="10" spans="2:5" x14ac:dyDescent="0.3">
      <c r="B10" t="s">
        <v>756</v>
      </c>
      <c r="C10" t="s">
        <v>239</v>
      </c>
      <c r="D10" t="s">
        <v>766</v>
      </c>
      <c r="E10" s="10">
        <f>SUM(computations!D125:D136)</f>
        <v>682937347.72831833</v>
      </c>
    </row>
    <row r="11" spans="2:5" x14ac:dyDescent="0.3">
      <c r="B11" t="s">
        <v>757</v>
      </c>
      <c r="C11" t="s">
        <v>239</v>
      </c>
      <c r="D11" t="s">
        <v>767</v>
      </c>
      <c r="E11" s="10">
        <f>SUM(computations!D137:D148)</f>
        <v>248117538.77230087</v>
      </c>
    </row>
    <row r="12" spans="2:5" x14ac:dyDescent="0.3">
      <c r="B12" t="s">
        <v>770</v>
      </c>
      <c r="C12" t="s">
        <v>759</v>
      </c>
      <c r="D12" t="s">
        <v>775</v>
      </c>
      <c r="E12" s="10">
        <f>SUM(computations!D355:D499)</f>
        <v>185152.87963093314</v>
      </c>
    </row>
    <row r="13" spans="2:5" hidden="1" x14ac:dyDescent="0.3">
      <c r="B13" t="s">
        <v>770</v>
      </c>
      <c r="C13" t="s">
        <v>759</v>
      </c>
      <c r="D13" t="s">
        <v>776</v>
      </c>
      <c r="E13" s="10"/>
    </row>
    <row r="14" spans="2:5" hidden="1" x14ac:dyDescent="0.3">
      <c r="B14" t="s">
        <v>770</v>
      </c>
      <c r="C14" t="s">
        <v>759</v>
      </c>
      <c r="D14" t="s">
        <v>777</v>
      </c>
      <c r="E14" s="10"/>
    </row>
    <row r="15" spans="2:5" hidden="1" x14ac:dyDescent="0.3">
      <c r="B15" t="s">
        <v>770</v>
      </c>
      <c r="C15" t="s">
        <v>759</v>
      </c>
      <c r="D15" t="s">
        <v>778</v>
      </c>
      <c r="E15" s="10"/>
    </row>
    <row r="16" spans="2:5" hidden="1" x14ac:dyDescent="0.3">
      <c r="B16" t="s">
        <v>770</v>
      </c>
      <c r="C16" t="s">
        <v>759</v>
      </c>
      <c r="D16" t="s">
        <v>779</v>
      </c>
      <c r="E16" s="10"/>
    </row>
    <row r="17" spans="2:7" hidden="1" x14ac:dyDescent="0.3">
      <c r="B17" t="s">
        <v>770</v>
      </c>
      <c r="C17" t="s">
        <v>759</v>
      </c>
      <c r="D17" t="s">
        <v>780</v>
      </c>
      <c r="E17" s="10"/>
    </row>
    <row r="18" spans="2:7" hidden="1" x14ac:dyDescent="0.3">
      <c r="B18" t="s">
        <v>770</v>
      </c>
      <c r="C18" t="s">
        <v>759</v>
      </c>
      <c r="D18" t="s">
        <v>781</v>
      </c>
      <c r="E18" s="10"/>
    </row>
    <row r="19" spans="2:7" hidden="1" x14ac:dyDescent="0.3">
      <c r="B19" t="s">
        <v>770</v>
      </c>
      <c r="C19" t="s">
        <v>759</v>
      </c>
      <c r="D19" t="s">
        <v>782</v>
      </c>
      <c r="E19" s="10"/>
    </row>
    <row r="20" spans="2:7" hidden="1" x14ac:dyDescent="0.3">
      <c r="B20" t="s">
        <v>770</v>
      </c>
      <c r="C20" t="s">
        <v>759</v>
      </c>
      <c r="D20" t="s">
        <v>783</v>
      </c>
      <c r="E20" s="10"/>
    </row>
    <row r="21" spans="2:7" hidden="1" x14ac:dyDescent="0.3">
      <c r="B21" t="s">
        <v>770</v>
      </c>
      <c r="C21" t="s">
        <v>759</v>
      </c>
      <c r="D21" t="s">
        <v>784</v>
      </c>
      <c r="E21" s="10"/>
    </row>
    <row r="22" spans="2:7" hidden="1" x14ac:dyDescent="0.3">
      <c r="B22" t="s">
        <v>770</v>
      </c>
      <c r="C22" t="s">
        <v>759</v>
      </c>
      <c r="D22" t="s">
        <v>785</v>
      </c>
      <c r="E22" s="10"/>
    </row>
    <row r="23" spans="2:7" hidden="1" x14ac:dyDescent="0.3">
      <c r="B23" t="s">
        <v>770</v>
      </c>
      <c r="C23" t="s">
        <v>759</v>
      </c>
      <c r="D23" t="s">
        <v>786</v>
      </c>
      <c r="E23" s="10"/>
    </row>
    <row r="24" spans="2:7" x14ac:dyDescent="0.3">
      <c r="B24" t="s">
        <v>771</v>
      </c>
      <c r="C24" t="s">
        <v>759</v>
      </c>
      <c r="D24" t="s">
        <v>787</v>
      </c>
      <c r="E24" s="10">
        <f>SUM(computations!D500:D644)</f>
        <v>663958226.35652614</v>
      </c>
      <c r="G24" t="s">
        <v>1054</v>
      </c>
    </row>
    <row r="25" spans="2:7" hidden="1" x14ac:dyDescent="0.3">
      <c r="B25" t="s">
        <v>771</v>
      </c>
      <c r="C25" t="s">
        <v>759</v>
      </c>
      <c r="D25" t="s">
        <v>788</v>
      </c>
      <c r="E25" s="10"/>
    </row>
    <row r="26" spans="2:7" hidden="1" x14ac:dyDescent="0.3">
      <c r="B26" t="s">
        <v>771</v>
      </c>
      <c r="C26" t="s">
        <v>759</v>
      </c>
      <c r="D26" t="s">
        <v>789</v>
      </c>
      <c r="E26" s="10"/>
    </row>
    <row r="27" spans="2:7" hidden="1" x14ac:dyDescent="0.3">
      <c r="B27" t="s">
        <v>771</v>
      </c>
      <c r="C27" t="s">
        <v>759</v>
      </c>
      <c r="D27" t="s">
        <v>790</v>
      </c>
      <c r="E27" s="10"/>
    </row>
    <row r="28" spans="2:7" hidden="1" x14ac:dyDescent="0.3">
      <c r="B28" t="s">
        <v>771</v>
      </c>
      <c r="C28" t="s">
        <v>759</v>
      </c>
      <c r="D28" t="s">
        <v>791</v>
      </c>
      <c r="E28" s="10"/>
    </row>
    <row r="29" spans="2:7" hidden="1" x14ac:dyDescent="0.3">
      <c r="B29" t="s">
        <v>771</v>
      </c>
      <c r="C29" t="s">
        <v>759</v>
      </c>
      <c r="D29" t="s">
        <v>792</v>
      </c>
      <c r="E29" s="10"/>
    </row>
    <row r="30" spans="2:7" hidden="1" x14ac:dyDescent="0.3">
      <c r="B30" t="s">
        <v>771</v>
      </c>
      <c r="C30" t="s">
        <v>759</v>
      </c>
      <c r="D30" t="s">
        <v>793</v>
      </c>
      <c r="E30" s="10"/>
    </row>
    <row r="31" spans="2:7" hidden="1" x14ac:dyDescent="0.3">
      <c r="B31" t="s">
        <v>771</v>
      </c>
      <c r="C31" t="s">
        <v>759</v>
      </c>
      <c r="D31" t="s">
        <v>794</v>
      </c>
      <c r="E31" s="10"/>
    </row>
    <row r="32" spans="2:7" hidden="1" x14ac:dyDescent="0.3">
      <c r="B32" t="s">
        <v>771</v>
      </c>
      <c r="C32" t="s">
        <v>759</v>
      </c>
      <c r="D32" t="s">
        <v>795</v>
      </c>
      <c r="E32" s="10"/>
    </row>
    <row r="33" spans="2:7" hidden="1" x14ac:dyDescent="0.3">
      <c r="B33" t="s">
        <v>771</v>
      </c>
      <c r="C33" t="s">
        <v>759</v>
      </c>
      <c r="D33" t="s">
        <v>796</v>
      </c>
      <c r="E33" s="10"/>
    </row>
    <row r="34" spans="2:7" hidden="1" x14ac:dyDescent="0.3">
      <c r="B34" t="s">
        <v>771</v>
      </c>
      <c r="C34" t="s">
        <v>759</v>
      </c>
      <c r="D34" t="s">
        <v>797</v>
      </c>
      <c r="E34" s="10"/>
    </row>
    <row r="35" spans="2:7" hidden="1" x14ac:dyDescent="0.3">
      <c r="B35" t="s">
        <v>771</v>
      </c>
      <c r="C35" t="s">
        <v>759</v>
      </c>
      <c r="D35" t="s">
        <v>798</v>
      </c>
      <c r="E35" s="10"/>
    </row>
    <row r="36" spans="2:7" x14ac:dyDescent="0.3">
      <c r="B36" t="s">
        <v>772</v>
      </c>
      <c r="C36" t="s">
        <v>759</v>
      </c>
      <c r="D36" t="s">
        <v>799</v>
      </c>
      <c r="E36" s="10">
        <f>SUM(computations!D645:D744)</f>
        <v>270652592.81171632</v>
      </c>
      <c r="G36" s="10">
        <f>E7+E5+E9</f>
        <v>226186346.58814651</v>
      </c>
    </row>
    <row r="37" spans="2:7" hidden="1" x14ac:dyDescent="0.3">
      <c r="B37" t="s">
        <v>772</v>
      </c>
      <c r="C37" t="s">
        <v>759</v>
      </c>
      <c r="D37" t="s">
        <v>801</v>
      </c>
      <c r="E37" s="10"/>
    </row>
    <row r="38" spans="2:7" hidden="1" x14ac:dyDescent="0.3">
      <c r="B38" t="s">
        <v>772</v>
      </c>
      <c r="C38" t="s">
        <v>759</v>
      </c>
      <c r="D38" t="s">
        <v>800</v>
      </c>
      <c r="E38" s="10"/>
    </row>
    <row r="39" spans="2:7" hidden="1" x14ac:dyDescent="0.3">
      <c r="B39" t="s">
        <v>772</v>
      </c>
      <c r="C39" t="s">
        <v>759</v>
      </c>
      <c r="D39" t="s">
        <v>802</v>
      </c>
      <c r="E39" s="10"/>
    </row>
    <row r="40" spans="2:7" hidden="1" x14ac:dyDescent="0.3">
      <c r="B40" t="s">
        <v>772</v>
      </c>
      <c r="C40" t="s">
        <v>759</v>
      </c>
      <c r="D40" t="s">
        <v>803</v>
      </c>
      <c r="E40" s="10"/>
    </row>
    <row r="41" spans="2:7" x14ac:dyDescent="0.3">
      <c r="B41" t="s">
        <v>758</v>
      </c>
      <c r="C41" t="s">
        <v>759</v>
      </c>
      <c r="D41" t="s">
        <v>768</v>
      </c>
      <c r="E41" s="10">
        <f>SUM(computations!D745:D751)</f>
        <v>58438963.115779579</v>
      </c>
      <c r="G41" t="s">
        <v>1055</v>
      </c>
    </row>
    <row r="42" spans="2:7" x14ac:dyDescent="0.3">
      <c r="B42" t="s">
        <v>774</v>
      </c>
      <c r="C42" t="s">
        <v>774</v>
      </c>
      <c r="D42" t="s">
        <v>774</v>
      </c>
      <c r="E42" s="10">
        <f>E5+E7+E9+E10+E11</f>
        <v>1157241233.0887659</v>
      </c>
      <c r="G42" s="10">
        <f>E10+E11</f>
        <v>931054886.50061917</v>
      </c>
    </row>
    <row r="43" spans="2:7" x14ac:dyDescent="0.3">
      <c r="B43" t="s">
        <v>773</v>
      </c>
      <c r="C43" t="s">
        <v>773</v>
      </c>
      <c r="D43" t="s">
        <v>773</v>
      </c>
      <c r="E43" s="10">
        <f>E24+E36+E41</f>
        <v>993049782.28402209</v>
      </c>
    </row>
    <row r="44" spans="2:7" x14ac:dyDescent="0.3">
      <c r="B44" t="s">
        <v>774</v>
      </c>
      <c r="C44" t="s">
        <v>774</v>
      </c>
      <c r="D44" t="s">
        <v>804</v>
      </c>
      <c r="E44">
        <f>E42/1000000000</f>
        <v>1.1572412330887658</v>
      </c>
    </row>
    <row r="45" spans="2:7" x14ac:dyDescent="0.3">
      <c r="B45" t="s">
        <v>773</v>
      </c>
      <c r="C45" t="s">
        <v>773</v>
      </c>
      <c r="D45" t="s">
        <v>805</v>
      </c>
      <c r="E45">
        <f>E43/1000000000</f>
        <v>0.99304978228402208</v>
      </c>
    </row>
    <row r="56" spans="2:6" x14ac:dyDescent="0.3">
      <c r="B56" t="s">
        <v>822</v>
      </c>
      <c r="E56" s="10">
        <f>SUM(E5+E7+E9)/1000000</f>
        <v>226.18634658814651</v>
      </c>
      <c r="F56" t="s">
        <v>823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computations</vt:lpstr>
      <vt:lpstr>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Émile DUGNAT</dc:creator>
  <cp:lastModifiedBy>Samuel Stevens</cp:lastModifiedBy>
  <dcterms:created xsi:type="dcterms:W3CDTF">2024-07-15T16:17:17Z</dcterms:created>
  <dcterms:modified xsi:type="dcterms:W3CDTF">2026-01-26T17:57:45Z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ccept_treatment" linkTarget="prop_accept_treatment">
    <vt:lpwstr>#REF!</vt:lpwstr>
  </property>
  <property fmtid="{D5CDD505-2E9C-101B-9397-08002B2CF9AE}" pid="3" name="access_clinics_AN" linkTarget="prop_access_clinics_AN">
    <vt:lpwstr>#REF!</vt:lpwstr>
  </property>
  <property fmtid="{D5CDD505-2E9C-101B-9397-08002B2CF9AE}" pid="4" name="screened_pos_year_1_AN" linkTarget="prop_screened_pos_year_1_AN">
    <vt:lpwstr>#REF!</vt:lpwstr>
  </property>
  <property fmtid="{D5CDD505-2E9C-101B-9397-08002B2CF9AE}" pid="5" name="screened_year_1" linkTarget="prop_screened_year_1">
    <vt:lpwstr>#REF!</vt:lpwstr>
  </property>
</Properties>
</file>