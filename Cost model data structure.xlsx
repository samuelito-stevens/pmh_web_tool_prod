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samst\OneDrive\Documents\Work\Projects\PMH web tool\Thailand\"/>
    </mc:Choice>
  </mc:AlternateContent>
  <xr:revisionPtr revIDLastSave="0" documentId="13_ncr:1_{98AAE66E-EA7B-450B-B252-E44274367420}" xr6:coauthVersionLast="47" xr6:coauthVersionMax="47" xr10:uidLastSave="{00000000-0000-0000-0000-000000000000}"/>
  <bookViews>
    <workbookView xWindow="-108" yWindow="-108" windowWidth="23256" windowHeight="12456" xr2:uid="{0D2E9C17-1371-9741-AFE8-B54FBA3315B4}"/>
  </bookViews>
  <sheets>
    <sheet name="inputs" sheetId="1" r:id="rId1"/>
    <sheet name="computations" sheetId="2" r:id="rId2"/>
    <sheet name="outputs" sheetId="3" r:id="rId3"/>
  </sheets>
  <externalReferences>
    <externalReference r:id="rId4"/>
  </externalReferences>
  <definedNames>
    <definedName name="birth1">'[1]Admin Population'!$C$16</definedName>
    <definedName name="hrs_supervision_after_first_yr">'[1]Admin Training &amp; supervision'!$H$5</definedName>
    <definedName name="MMR">'[1]Admin Population'!$C$12</definedName>
    <definedName name="no_screened_pos_midwives_AN">'[1]Admin Population'!$C$40</definedName>
    <definedName name="No_visits_antenatal_period">'[1]Admin Screening &amp; treatment'!$C$6</definedName>
    <definedName name="Probability_of_still_birth">'[1]Admin Population'!$C$11</definedName>
    <definedName name="prop_accept_treatment">'[1]Admin Population'!$C$63</definedName>
    <definedName name="prop_access_clinics_AN">'[1]Admin Population'!$C$23</definedName>
    <definedName name="prop_screened_pos_year_1_AN">'[1]Admin Population'!$C$42</definedName>
    <definedName name="prop_screened_year_1">'[1]Admin Population'!$C$28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83" i="2" l="1"/>
  <c r="D136" i="2"/>
  <c r="D135" i="2"/>
  <c r="D134" i="2"/>
  <c r="D133" i="2"/>
  <c r="D132" i="2"/>
  <c r="D131" i="2"/>
  <c r="D130" i="2"/>
  <c r="D129" i="2"/>
  <c r="D128" i="2"/>
  <c r="D2" i="2" l="1"/>
  <c r="D50" i="2" s="1"/>
  <c r="E128" i="2"/>
  <c r="D89" i="2" l="1"/>
  <c r="D90" i="2"/>
  <c r="D91" i="2"/>
  <c r="D92" i="2"/>
  <c r="D93" i="2"/>
  <c r="D94" i="2"/>
  <c r="D95" i="2"/>
  <c r="D96" i="2"/>
  <c r="D97" i="2"/>
  <c r="D98" i="2"/>
  <c r="D99" i="2"/>
  <c r="D101" i="2"/>
  <c r="D102" i="2"/>
  <c r="D103" i="2"/>
  <c r="D104" i="2"/>
  <c r="D105" i="2"/>
  <c r="D106" i="2"/>
  <c r="D107" i="2"/>
  <c r="D108" i="2"/>
  <c r="D109" i="2"/>
  <c r="D110" i="2"/>
  <c r="D111" i="2"/>
  <c r="D113" i="2"/>
  <c r="D114" i="2"/>
  <c r="D115" i="2"/>
  <c r="D116" i="2"/>
  <c r="D117" i="2"/>
  <c r="D118" i="2"/>
  <c r="D119" i="2"/>
  <c r="D120" i="2"/>
  <c r="D121" i="2"/>
  <c r="D122" i="2"/>
  <c r="D123" i="2"/>
  <c r="D126" i="2"/>
  <c r="D12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745" i="2" s="1"/>
  <c r="D150" i="2"/>
  <c r="D355" i="2" s="1"/>
  <c r="D500" i="2" s="1"/>
  <c r="D151" i="2"/>
  <c r="D152" i="2"/>
  <c r="D153" i="2"/>
  <c r="D154" i="2"/>
  <c r="D155" i="2"/>
  <c r="D156" i="2"/>
  <c r="D157" i="2"/>
  <c r="D158" i="2"/>
  <c r="D277" i="2" s="1"/>
  <c r="D278" i="2" s="1"/>
  <c r="D279" i="2" s="1"/>
  <c r="D280" i="2" s="1"/>
  <c r="D159" i="2"/>
  <c r="D160" i="2"/>
  <c r="D161" i="2"/>
  <c r="D162" i="2" s="1"/>
  <c r="D163" i="2" s="1"/>
  <c r="D164" i="2" s="1"/>
  <c r="D165" i="2" s="1"/>
  <c r="D166" i="2"/>
  <c r="D167" i="2" s="1"/>
  <c r="D168" i="2" s="1"/>
  <c r="D169" i="2" s="1"/>
  <c r="D170" i="2" s="1"/>
  <c r="D171" i="2" s="1"/>
  <c r="D172" i="2" s="1"/>
  <c r="D173" i="2" s="1"/>
  <c r="D174" i="2" s="1"/>
  <c r="D199" i="2"/>
  <c r="D200" i="2" s="1"/>
  <c r="D201" i="2" s="1"/>
  <c r="D202" i="2" s="1"/>
  <c r="D238" i="2"/>
  <c r="D239" i="2" s="1"/>
  <c r="D240" i="2" s="1"/>
  <c r="D241" i="2" s="1"/>
  <c r="D316" i="2"/>
  <c r="D317" i="2"/>
  <c r="D318" i="2"/>
  <c r="D319" i="2" s="1"/>
  <c r="D747" i="2"/>
  <c r="D748" i="2"/>
  <c r="D749" i="2"/>
  <c r="D750" i="2"/>
  <c r="D751" i="2"/>
  <c r="D645" i="2" l="1"/>
  <c r="D175" i="2"/>
  <c r="D281" i="2"/>
  <c r="D428" i="2"/>
  <c r="D573" i="2" s="1"/>
  <c r="D203" i="2"/>
  <c r="D356" i="2"/>
  <c r="D501" i="2" s="1"/>
  <c r="D392" i="2"/>
  <c r="D537" i="2" s="1"/>
  <c r="D242" i="2"/>
  <c r="D746" i="2"/>
  <c r="D320" i="2"/>
  <c r="D464" i="2"/>
  <c r="D609" i="2" s="1"/>
  <c r="D393" i="2" l="1"/>
  <c r="D538" i="2" s="1"/>
  <c r="D243" i="2"/>
  <c r="D282" i="2"/>
  <c r="D429" i="2"/>
  <c r="D574" i="2" s="1"/>
  <c r="D321" i="2"/>
  <c r="D465" i="2"/>
  <c r="D610" i="2" s="1"/>
  <c r="D176" i="2"/>
  <c r="D646" i="2"/>
  <c r="D204" i="2"/>
  <c r="D357" i="2"/>
  <c r="D502" i="2" s="1"/>
  <c r="D322" i="2" l="1"/>
  <c r="D466" i="2"/>
  <c r="D611" i="2" s="1"/>
  <c r="D283" i="2"/>
  <c r="D430" i="2"/>
  <c r="D575" i="2" s="1"/>
  <c r="D177" i="2"/>
  <c r="D647" i="2"/>
  <c r="D394" i="2"/>
  <c r="D539" i="2" s="1"/>
  <c r="D244" i="2"/>
  <c r="D205" i="2"/>
  <c r="D358" i="2"/>
  <c r="D503" i="2" s="1"/>
  <c r="D395" i="2" l="1"/>
  <c r="D540" i="2" s="1"/>
  <c r="D245" i="2"/>
  <c r="D284" i="2"/>
  <c r="D431" i="2"/>
  <c r="D576" i="2" s="1"/>
  <c r="D648" i="2"/>
  <c r="D178" i="2"/>
  <c r="D359" i="2"/>
  <c r="D504" i="2" s="1"/>
  <c r="D206" i="2"/>
  <c r="D323" i="2"/>
  <c r="D467" i="2"/>
  <c r="D612" i="2" s="1"/>
  <c r="D360" i="2" l="1"/>
  <c r="D505" i="2" s="1"/>
  <c r="D207" i="2"/>
  <c r="D649" i="2"/>
  <c r="D179" i="2"/>
  <c r="D432" i="2"/>
  <c r="D577" i="2" s="1"/>
  <c r="D285" i="2"/>
  <c r="D396" i="2"/>
  <c r="D541" i="2" s="1"/>
  <c r="D246" i="2"/>
  <c r="D324" i="2"/>
  <c r="D468" i="2"/>
  <c r="D613" i="2" s="1"/>
  <c r="D208" i="2" l="1"/>
  <c r="D361" i="2"/>
  <c r="D506" i="2" s="1"/>
  <c r="D397" i="2"/>
  <c r="D542" i="2" s="1"/>
  <c r="D247" i="2"/>
  <c r="D433" i="2"/>
  <c r="D578" i="2" s="1"/>
  <c r="D286" i="2"/>
  <c r="D650" i="2"/>
  <c r="D180" i="2"/>
  <c r="D325" i="2"/>
  <c r="D469" i="2"/>
  <c r="D614" i="2" s="1"/>
  <c r="D651" i="2" l="1"/>
  <c r="D181" i="2"/>
  <c r="D434" i="2"/>
  <c r="D579" i="2" s="1"/>
  <c r="D287" i="2"/>
  <c r="D248" i="2"/>
  <c r="D398" i="2"/>
  <c r="D543" i="2" s="1"/>
  <c r="D326" i="2"/>
  <c r="D470" i="2"/>
  <c r="D615" i="2" s="1"/>
  <c r="D209" i="2"/>
  <c r="D362" i="2"/>
  <c r="D507" i="2" s="1"/>
  <c r="D327" i="2" l="1"/>
  <c r="D471" i="2"/>
  <c r="D616" i="2" s="1"/>
  <c r="D652" i="2"/>
  <c r="D182" i="2"/>
  <c r="D249" i="2"/>
  <c r="D399" i="2"/>
  <c r="D544" i="2" s="1"/>
  <c r="D288" i="2"/>
  <c r="D435" i="2"/>
  <c r="D580" i="2" s="1"/>
  <c r="D210" i="2"/>
  <c r="D363" i="2"/>
  <c r="D508" i="2" s="1"/>
  <c r="D289" i="2" l="1"/>
  <c r="D436" i="2"/>
  <c r="D581" i="2" s="1"/>
  <c r="D400" i="2"/>
  <c r="D545" i="2" s="1"/>
  <c r="D250" i="2"/>
  <c r="D653" i="2"/>
  <c r="D211" i="2"/>
  <c r="D364" i="2"/>
  <c r="D509" i="2" s="1"/>
  <c r="D328" i="2"/>
  <c r="D472" i="2"/>
  <c r="D617" i="2" s="1"/>
  <c r="D184" i="2" l="1"/>
  <c r="D654" i="2"/>
  <c r="D401" i="2"/>
  <c r="D546" i="2" s="1"/>
  <c r="D251" i="2"/>
  <c r="D212" i="2"/>
  <c r="D365" i="2"/>
  <c r="D510" i="2" s="1"/>
  <c r="D329" i="2"/>
  <c r="D473" i="2"/>
  <c r="D618" i="2" s="1"/>
  <c r="D290" i="2"/>
  <c r="D437" i="2"/>
  <c r="D582" i="2" s="1"/>
  <c r="D330" i="2" l="1"/>
  <c r="D474" i="2"/>
  <c r="D619" i="2" s="1"/>
  <c r="D213" i="2"/>
  <c r="D366" i="2"/>
  <c r="D511" i="2" s="1"/>
  <c r="D402" i="2"/>
  <c r="D547" i="2" s="1"/>
  <c r="D252" i="2"/>
  <c r="D291" i="2"/>
  <c r="D438" i="2"/>
  <c r="D583" i="2" s="1"/>
  <c r="D185" i="2"/>
  <c r="D655" i="2"/>
  <c r="D403" i="2" l="1"/>
  <c r="D548" i="2" s="1"/>
  <c r="D253" i="2"/>
  <c r="D670" i="2"/>
  <c r="D367" i="2"/>
  <c r="D512" i="2" s="1"/>
  <c r="D214" i="2"/>
  <c r="D292" i="2"/>
  <c r="D439" i="2"/>
  <c r="D584" i="2" s="1"/>
  <c r="D695" i="2"/>
  <c r="D656" i="2"/>
  <c r="D186" i="2"/>
  <c r="D720" i="2"/>
  <c r="D331" i="2"/>
  <c r="D475" i="2"/>
  <c r="D620" i="2" s="1"/>
  <c r="D721" i="2" l="1"/>
  <c r="D332" i="2"/>
  <c r="D476" i="2"/>
  <c r="D621" i="2" s="1"/>
  <c r="D368" i="2"/>
  <c r="D513" i="2" s="1"/>
  <c r="D215" i="2"/>
  <c r="D657" i="2"/>
  <c r="D187" i="2"/>
  <c r="D404" i="2"/>
  <c r="D549" i="2" s="1"/>
  <c r="D671" i="2"/>
  <c r="D254" i="2"/>
  <c r="D440" i="2"/>
  <c r="D585" i="2" s="1"/>
  <c r="D696" i="2"/>
  <c r="D293" i="2"/>
  <c r="D188" i="2" l="1"/>
  <c r="D658" i="2"/>
  <c r="D697" i="2"/>
  <c r="D441" i="2"/>
  <c r="D586" i="2" s="1"/>
  <c r="D294" i="2"/>
  <c r="D216" i="2"/>
  <c r="D369" i="2"/>
  <c r="D514" i="2" s="1"/>
  <c r="D672" i="2"/>
  <c r="D405" i="2"/>
  <c r="D550" i="2" s="1"/>
  <c r="D255" i="2"/>
  <c r="D333" i="2"/>
  <c r="D477" i="2"/>
  <c r="D622" i="2" s="1"/>
  <c r="D722" i="2"/>
  <c r="D442" i="2" l="1"/>
  <c r="D587" i="2" s="1"/>
  <c r="D295" i="2"/>
  <c r="D698" i="2"/>
  <c r="D256" i="2"/>
  <c r="D673" i="2"/>
  <c r="D406" i="2"/>
  <c r="D551" i="2" s="1"/>
  <c r="D217" i="2"/>
  <c r="D370" i="2"/>
  <c r="D515" i="2" s="1"/>
  <c r="D723" i="2"/>
  <c r="D334" i="2"/>
  <c r="D478" i="2"/>
  <c r="D623" i="2" s="1"/>
  <c r="D659" i="2"/>
  <c r="D189" i="2"/>
  <c r="D218" i="2" l="1"/>
  <c r="D371" i="2"/>
  <c r="D516" i="2" s="1"/>
  <c r="D257" i="2"/>
  <c r="D407" i="2"/>
  <c r="D552" i="2" s="1"/>
  <c r="D674" i="2"/>
  <c r="D724" i="2"/>
  <c r="D335" i="2"/>
  <c r="D479" i="2"/>
  <c r="D624" i="2" s="1"/>
  <c r="D296" i="2"/>
  <c r="D443" i="2"/>
  <c r="D588" i="2" s="1"/>
  <c r="D699" i="2"/>
  <c r="D660" i="2"/>
  <c r="D190" i="2"/>
  <c r="D408" i="2" l="1"/>
  <c r="D553" i="2" s="1"/>
  <c r="D258" i="2"/>
  <c r="D675" i="2"/>
  <c r="D336" i="2"/>
  <c r="D480" i="2"/>
  <c r="D625" i="2" s="1"/>
  <c r="D725" i="2"/>
  <c r="D661" i="2"/>
  <c r="D191" i="2"/>
  <c r="D297" i="2"/>
  <c r="D444" i="2"/>
  <c r="D589" i="2" s="1"/>
  <c r="D700" i="2"/>
  <c r="D219" i="2"/>
  <c r="D372" i="2"/>
  <c r="D517" i="2" s="1"/>
  <c r="D220" i="2" l="1"/>
  <c r="D373" i="2"/>
  <c r="D518" i="2" s="1"/>
  <c r="D409" i="2"/>
  <c r="D554" i="2" s="1"/>
  <c r="D259" i="2"/>
  <c r="D676" i="2"/>
  <c r="D192" i="2"/>
  <c r="D662" i="2"/>
  <c r="D337" i="2"/>
  <c r="D481" i="2"/>
  <c r="D626" i="2" s="1"/>
  <c r="D726" i="2"/>
  <c r="D298" i="2"/>
  <c r="D445" i="2"/>
  <c r="D590" i="2" s="1"/>
  <c r="D701" i="2"/>
  <c r="D338" i="2" l="1"/>
  <c r="D482" i="2"/>
  <c r="D627" i="2" s="1"/>
  <c r="D727" i="2"/>
  <c r="D410" i="2"/>
  <c r="D555" i="2" s="1"/>
  <c r="D260" i="2"/>
  <c r="D677" i="2"/>
  <c r="D193" i="2"/>
  <c r="D663" i="2"/>
  <c r="D299" i="2"/>
  <c r="D446" i="2"/>
  <c r="D591" i="2" s="1"/>
  <c r="D702" i="2"/>
  <c r="D221" i="2"/>
  <c r="D374" i="2"/>
  <c r="D519" i="2" s="1"/>
  <c r="D664" i="2" l="1"/>
  <c r="D194" i="2"/>
  <c r="D411" i="2"/>
  <c r="D556" i="2" s="1"/>
  <c r="D261" i="2"/>
  <c r="D678" i="2"/>
  <c r="D375" i="2"/>
  <c r="D520" i="2" s="1"/>
  <c r="D222" i="2"/>
  <c r="D300" i="2"/>
  <c r="D447" i="2"/>
  <c r="D592" i="2" s="1"/>
  <c r="D703" i="2"/>
  <c r="D728" i="2"/>
  <c r="D339" i="2"/>
  <c r="D483" i="2"/>
  <c r="D628" i="2" s="1"/>
  <c r="D448" i="2" l="1"/>
  <c r="D593" i="2" s="1"/>
  <c r="D704" i="2"/>
  <c r="D301" i="2"/>
  <c r="D376" i="2"/>
  <c r="D521" i="2" s="1"/>
  <c r="D223" i="2"/>
  <c r="D412" i="2"/>
  <c r="D557" i="2" s="1"/>
  <c r="D679" i="2"/>
  <c r="D262" i="2"/>
  <c r="D665" i="2"/>
  <c r="D195" i="2"/>
  <c r="D729" i="2"/>
  <c r="D340" i="2"/>
  <c r="D484" i="2"/>
  <c r="D629" i="2" s="1"/>
  <c r="D224" i="2" l="1"/>
  <c r="D377" i="2"/>
  <c r="D522" i="2" s="1"/>
  <c r="D449" i="2"/>
  <c r="D594" i="2" s="1"/>
  <c r="D705" i="2"/>
  <c r="D302" i="2"/>
  <c r="D680" i="2"/>
  <c r="D413" i="2"/>
  <c r="D558" i="2" s="1"/>
  <c r="D263" i="2"/>
  <c r="D341" i="2"/>
  <c r="D485" i="2"/>
  <c r="D630" i="2" s="1"/>
  <c r="D730" i="2"/>
  <c r="D196" i="2"/>
  <c r="D666" i="2"/>
  <c r="D264" i="2" l="1"/>
  <c r="D681" i="2"/>
  <c r="D414" i="2"/>
  <c r="D559" i="2" s="1"/>
  <c r="D450" i="2"/>
  <c r="D595" i="2" s="1"/>
  <c r="D303" i="2"/>
  <c r="D706" i="2"/>
  <c r="D667" i="2"/>
  <c r="D197" i="2"/>
  <c r="D731" i="2"/>
  <c r="D342" i="2"/>
  <c r="D486" i="2"/>
  <c r="D631" i="2" s="1"/>
  <c r="D225" i="2"/>
  <c r="D378" i="2"/>
  <c r="D523" i="2" s="1"/>
  <c r="D668" i="2" l="1"/>
  <c r="D198" i="2"/>
  <c r="D669" i="2" s="1"/>
  <c r="D732" i="2"/>
  <c r="D343" i="2"/>
  <c r="D487" i="2"/>
  <c r="D632" i="2" s="1"/>
  <c r="D304" i="2"/>
  <c r="D451" i="2"/>
  <c r="D596" i="2" s="1"/>
  <c r="D707" i="2"/>
  <c r="D226" i="2"/>
  <c r="D379" i="2"/>
  <c r="D524" i="2" s="1"/>
  <c r="D265" i="2"/>
  <c r="D415" i="2"/>
  <c r="D560" i="2" s="1"/>
  <c r="D682" i="2"/>
  <c r="D305" i="2" l="1"/>
  <c r="D452" i="2"/>
  <c r="D597" i="2" s="1"/>
  <c r="D708" i="2"/>
  <c r="D416" i="2"/>
  <c r="D561" i="2" s="1"/>
  <c r="D266" i="2"/>
  <c r="D683" i="2"/>
  <c r="D344" i="2"/>
  <c r="D488" i="2"/>
  <c r="D633" i="2" s="1"/>
  <c r="D733" i="2"/>
  <c r="D227" i="2"/>
  <c r="D380" i="2"/>
  <c r="D525" i="2" s="1"/>
  <c r="D345" i="2" l="1"/>
  <c r="D489" i="2"/>
  <c r="D634" i="2" s="1"/>
  <c r="D734" i="2"/>
  <c r="D417" i="2"/>
  <c r="D562" i="2" s="1"/>
  <c r="D267" i="2"/>
  <c r="D684" i="2"/>
  <c r="D228" i="2"/>
  <c r="D381" i="2"/>
  <c r="D526" i="2" s="1"/>
  <c r="D306" i="2"/>
  <c r="D453" i="2"/>
  <c r="D598" i="2" s="1"/>
  <c r="D709" i="2"/>
  <c r="D229" i="2" l="1"/>
  <c r="D382" i="2"/>
  <c r="D527" i="2" s="1"/>
  <c r="D418" i="2"/>
  <c r="D563" i="2" s="1"/>
  <c r="D268" i="2"/>
  <c r="D685" i="2"/>
  <c r="D307" i="2"/>
  <c r="D710" i="2"/>
  <c r="D454" i="2"/>
  <c r="D599" i="2" s="1"/>
  <c r="D346" i="2"/>
  <c r="D490" i="2"/>
  <c r="D635" i="2" s="1"/>
  <c r="D735" i="2"/>
  <c r="D308" i="2" l="1"/>
  <c r="D455" i="2"/>
  <c r="D600" i="2" s="1"/>
  <c r="D711" i="2"/>
  <c r="D419" i="2"/>
  <c r="D564" i="2" s="1"/>
  <c r="D269" i="2"/>
  <c r="D686" i="2"/>
  <c r="D736" i="2"/>
  <c r="D347" i="2"/>
  <c r="D491" i="2"/>
  <c r="D636" i="2" s="1"/>
  <c r="D383" i="2"/>
  <c r="D528" i="2" s="1"/>
  <c r="D230" i="2"/>
  <c r="D737" i="2" l="1"/>
  <c r="D348" i="2"/>
  <c r="D492" i="2"/>
  <c r="D637" i="2" s="1"/>
  <c r="D420" i="2"/>
  <c r="D565" i="2" s="1"/>
  <c r="D687" i="2"/>
  <c r="D270" i="2"/>
  <c r="D384" i="2"/>
  <c r="D529" i="2" s="1"/>
  <c r="D231" i="2"/>
  <c r="D456" i="2"/>
  <c r="D601" i="2" s="1"/>
  <c r="D712" i="2"/>
  <c r="D309" i="2"/>
  <c r="D232" i="2" l="1"/>
  <c r="D385" i="2"/>
  <c r="D530" i="2" s="1"/>
  <c r="D688" i="2"/>
  <c r="D421" i="2"/>
  <c r="D566" i="2" s="1"/>
  <c r="D271" i="2"/>
  <c r="D457" i="2"/>
  <c r="D602" i="2" s="1"/>
  <c r="D713" i="2"/>
  <c r="D310" i="2"/>
  <c r="D349" i="2"/>
  <c r="D493" i="2"/>
  <c r="D638" i="2" s="1"/>
  <c r="D738" i="2"/>
  <c r="D272" i="2" l="1"/>
  <c r="D689" i="2"/>
  <c r="D422" i="2"/>
  <c r="D567" i="2" s="1"/>
  <c r="D458" i="2"/>
  <c r="D603" i="2" s="1"/>
  <c r="D311" i="2"/>
  <c r="D714" i="2"/>
  <c r="D739" i="2"/>
  <c r="D350" i="2"/>
  <c r="D494" i="2"/>
  <c r="D639" i="2" s="1"/>
  <c r="D233" i="2"/>
  <c r="D386" i="2"/>
  <c r="D531" i="2" s="1"/>
  <c r="D740" i="2" l="1"/>
  <c r="D351" i="2"/>
  <c r="D495" i="2"/>
  <c r="D640" i="2" s="1"/>
  <c r="D312" i="2"/>
  <c r="D459" i="2"/>
  <c r="D604" i="2" s="1"/>
  <c r="D715" i="2"/>
  <c r="D234" i="2"/>
  <c r="D387" i="2"/>
  <c r="D532" i="2" s="1"/>
  <c r="D273" i="2"/>
  <c r="D423" i="2"/>
  <c r="D568" i="2" s="1"/>
  <c r="D690" i="2"/>
  <c r="D235" i="2" l="1"/>
  <c r="D388" i="2"/>
  <c r="D533" i="2" s="1"/>
  <c r="D313" i="2"/>
  <c r="D460" i="2"/>
  <c r="D605" i="2" s="1"/>
  <c r="D716" i="2"/>
  <c r="D352" i="2"/>
  <c r="D496" i="2"/>
  <c r="D641" i="2" s="1"/>
  <c r="D741" i="2"/>
  <c r="D424" i="2"/>
  <c r="D569" i="2" s="1"/>
  <c r="D274" i="2"/>
  <c r="D691" i="2"/>
  <c r="D353" i="2" l="1"/>
  <c r="D497" i="2"/>
  <c r="D642" i="2" s="1"/>
  <c r="D742" i="2"/>
  <c r="D314" i="2"/>
  <c r="D461" i="2"/>
  <c r="D606" i="2" s="1"/>
  <c r="D717" i="2"/>
  <c r="D425" i="2"/>
  <c r="D570" i="2" s="1"/>
  <c r="D275" i="2"/>
  <c r="D692" i="2"/>
  <c r="D236" i="2"/>
  <c r="D389" i="2"/>
  <c r="D534" i="2" s="1"/>
  <c r="D426" i="2" l="1"/>
  <c r="D571" i="2" s="1"/>
  <c r="D276" i="2"/>
  <c r="D693" i="2"/>
  <c r="D315" i="2"/>
  <c r="D462" i="2"/>
  <c r="D607" i="2" s="1"/>
  <c r="D718" i="2"/>
  <c r="D237" i="2"/>
  <c r="D391" i="2" s="1"/>
  <c r="D536" i="2" s="1"/>
  <c r="D390" i="2"/>
  <c r="D535" i="2" s="1"/>
  <c r="D354" i="2"/>
  <c r="D498" i="2"/>
  <c r="D643" i="2" s="1"/>
  <c r="D743" i="2"/>
  <c r="D463" i="2" l="1"/>
  <c r="D608" i="2" s="1"/>
  <c r="D719" i="2"/>
  <c r="D427" i="2"/>
  <c r="D572" i="2" s="1"/>
  <c r="D694" i="2"/>
  <c r="D744" i="2"/>
  <c r="D499" i="2"/>
  <c r="D644" i="2" s="1"/>
  <c r="E22" i="1" l="1"/>
  <c r="E23" i="1" s="1"/>
  <c r="E21" i="1"/>
  <c r="E30" i="1"/>
  <c r="E80" i="1"/>
  <c r="E81" i="1"/>
  <c r="E84" i="1"/>
  <c r="E85" i="1"/>
  <c r="E83" i="1"/>
  <c r="E82" i="1"/>
  <c r="E702" i="2"/>
  <c r="E687" i="2"/>
  <c r="E741" i="2"/>
  <c r="E735" i="2"/>
  <c r="E708" i="2"/>
  <c r="E734" i="2"/>
  <c r="E671" i="2"/>
  <c r="E704" i="2"/>
  <c r="E709" i="2"/>
  <c r="E696" i="2"/>
  <c r="E732" i="2"/>
  <c r="E695" i="2"/>
  <c r="E678" i="2"/>
  <c r="E2" i="2"/>
  <c r="E676" i="2"/>
  <c r="E716" i="2"/>
  <c r="E690" i="2"/>
  <c r="E685" i="2"/>
  <c r="E723" i="2"/>
  <c r="E715" i="2"/>
  <c r="E679" i="2"/>
  <c r="E731" i="2"/>
  <c r="E691" i="2"/>
  <c r="E688" i="2"/>
  <c r="E672" i="2"/>
  <c r="E724" i="2"/>
  <c r="E728" i="2"/>
  <c r="E355" i="2"/>
  <c r="E151" i="2"/>
  <c r="E681" i="2"/>
  <c r="E705" i="2"/>
  <c r="E717" i="2"/>
  <c r="E712" i="2"/>
  <c r="E428" i="2"/>
  <c r="E720" i="2"/>
  <c r="E701" i="2"/>
  <c r="E713" i="2"/>
  <c r="E674" i="2"/>
  <c r="E698" i="2"/>
  <c r="E740" i="2"/>
  <c r="E673" i="2"/>
  <c r="E686" i="2"/>
  <c r="E714" i="2"/>
  <c r="E700" i="2"/>
  <c r="E675" i="2"/>
  <c r="E742" i="2"/>
  <c r="E727" i="2"/>
  <c r="E160" i="2"/>
  <c r="E719" i="2"/>
  <c r="E680" i="2"/>
  <c r="E729" i="2"/>
  <c r="E682" i="2"/>
  <c r="E683" i="2"/>
  <c r="E697" i="2"/>
  <c r="E737" i="2"/>
  <c r="E743" i="2"/>
  <c r="E733" i="2"/>
  <c r="E707" i="2"/>
  <c r="E722" i="2"/>
  <c r="E710" i="2"/>
  <c r="E706" i="2"/>
  <c r="E699" i="2"/>
  <c r="E730" i="2"/>
  <c r="E726" i="2"/>
  <c r="E736" i="2"/>
  <c r="E744" i="2"/>
  <c r="E670" i="2"/>
  <c r="E703" i="2"/>
  <c r="E694" i="2"/>
  <c r="E738" i="2"/>
  <c r="E677" i="2"/>
  <c r="E711" i="2"/>
  <c r="E692" i="2"/>
  <c r="E739" i="2"/>
  <c r="E725" i="2"/>
  <c r="E693" i="2"/>
  <c r="E684" i="2"/>
  <c r="E718" i="2"/>
  <c r="E689" i="2"/>
  <c r="E721" i="2"/>
  <c r="D3" i="2" l="1"/>
  <c r="D4" i="2" l="1"/>
  <c r="D16" i="2" s="1"/>
  <c r="D53" i="2" s="1"/>
  <c r="D14" i="2"/>
  <c r="D15" i="2"/>
  <c r="D87" i="2"/>
  <c r="D124" i="2" s="1"/>
  <c r="D26" i="2"/>
  <c r="D63" i="2" s="1"/>
  <c r="D100" i="2" s="1"/>
  <c r="D27" i="2"/>
  <c r="D38" i="2"/>
  <c r="D137" i="2" s="1"/>
  <c r="D39" i="2"/>
  <c r="D125" i="2" l="1"/>
  <c r="D51" i="2"/>
  <c r="D88" i="2" s="1"/>
  <c r="E9" i="3"/>
  <c r="E8" i="3"/>
  <c r="D5" i="2"/>
  <c r="D41" i="2" s="1"/>
  <c r="D78" i="2" s="1"/>
  <c r="D28" i="2"/>
  <c r="D65" i="2" s="1"/>
  <c r="D40" i="2"/>
  <c r="D76" i="2"/>
  <c r="D75" i="2"/>
  <c r="D112" i="2" s="1"/>
  <c r="D52" i="2"/>
  <c r="D64" i="2"/>
  <c r="E41" i="3" l="1"/>
  <c r="D17" i="2"/>
  <c r="D54" i="2" s="1"/>
  <c r="D29" i="2"/>
  <c r="D66" i="2" s="1"/>
  <c r="D77" i="2"/>
  <c r="D6" i="2"/>
  <c r="D30" i="2" s="1"/>
  <c r="D67" i="2" s="1"/>
  <c r="E10" i="3" l="1"/>
  <c r="D18" i="2"/>
  <c r="D55" i="2" s="1"/>
  <c r="D7" i="2"/>
  <c r="D31" i="2" s="1"/>
  <c r="D68" i="2" s="1"/>
  <c r="D42" i="2"/>
  <c r="D79" i="2" s="1"/>
  <c r="D8" i="2" l="1"/>
  <c r="D32" i="2" s="1"/>
  <c r="D69" i="2" s="1"/>
  <c r="D19" i="2"/>
  <c r="D56" i="2" s="1"/>
  <c r="D43" i="2"/>
  <c r="D80" i="2" s="1"/>
  <c r="D9" i="2" l="1"/>
  <c r="D10" i="2" s="1"/>
  <c r="D34" i="2" s="1"/>
  <c r="D71" i="2" s="1"/>
  <c r="D20" i="2"/>
  <c r="D57" i="2" s="1"/>
  <c r="D44" i="2"/>
  <c r="D81" i="2" s="1"/>
  <c r="D45" i="2" l="1"/>
  <c r="D82" i="2" s="1"/>
  <c r="D22" i="2"/>
  <c r="D59" i="2" s="1"/>
  <c r="D11" i="2"/>
  <c r="D35" i="2" s="1"/>
  <c r="D72" i="2" s="1"/>
  <c r="D21" i="2"/>
  <c r="D58" i="2" s="1"/>
  <c r="D33" i="2"/>
  <c r="D70" i="2" s="1"/>
  <c r="D46" i="2"/>
  <c r="D83" i="2" s="1"/>
  <c r="D47" i="2" l="1"/>
  <c r="D84" i="2" s="1"/>
  <c r="D12" i="2"/>
  <c r="D36" i="2" s="1"/>
  <c r="D73" i="2" s="1"/>
  <c r="D23" i="2"/>
  <c r="D60" i="2" s="1"/>
  <c r="D13" i="2" l="1"/>
  <c r="D49" i="2" s="1"/>
  <c r="D86" i="2" s="1"/>
  <c r="D24" i="2"/>
  <c r="D61" i="2" s="1"/>
  <c r="D48" i="2"/>
  <c r="D85" i="2" s="1"/>
  <c r="E7" i="3" l="1"/>
  <c r="E6" i="3"/>
  <c r="D37" i="2"/>
  <c r="D74" i="2" s="1"/>
  <c r="D25" i="2"/>
  <c r="D62" i="2" s="1"/>
  <c r="E139" i="2"/>
  <c r="E300" i="2"/>
  <c r="E578" i="2"/>
  <c r="E641" i="2"/>
  <c r="E632" i="2"/>
  <c r="E419" i="2"/>
  <c r="E528" i="2"/>
  <c r="E148" i="2"/>
  <c r="E254" i="2"/>
  <c r="E230" i="2"/>
  <c r="E80" i="2"/>
  <c r="E187" i="2"/>
  <c r="E526" i="2"/>
  <c r="E201" i="2"/>
  <c r="E170" i="2"/>
  <c r="E643" i="2"/>
  <c r="E439" i="2"/>
  <c r="E11" i="2"/>
  <c r="E619" i="2"/>
  <c r="E317" i="2"/>
  <c r="E505" i="2"/>
  <c r="E537" i="2"/>
  <c r="E44" i="2"/>
  <c r="E269" i="2"/>
  <c r="E749" i="2"/>
  <c r="E649" i="2"/>
  <c r="E238" i="2"/>
  <c r="E247" i="2"/>
  <c r="E358" i="2"/>
  <c r="E196" i="2"/>
  <c r="E460" i="2"/>
  <c r="E313" i="2"/>
  <c r="E55" i="2"/>
  <c r="E648" i="2"/>
  <c r="E116" i="2"/>
  <c r="E644" i="2"/>
  <c r="E482" i="2"/>
  <c r="E544" i="2"/>
  <c r="E252" i="2"/>
  <c r="E588" i="2"/>
  <c r="E302" i="2"/>
  <c r="E130" i="2"/>
  <c r="E432" i="2"/>
  <c r="E555" i="2"/>
  <c r="E15" i="2"/>
  <c r="E435" i="2"/>
  <c r="E466" i="2"/>
  <c r="E534" i="2"/>
  <c r="E433" i="2"/>
  <c r="E545" i="2"/>
  <c r="E25" i="2"/>
  <c r="E281" i="2"/>
  <c r="E181" i="2"/>
  <c r="E393" i="2"/>
  <c r="E291" i="2"/>
  <c r="E484" i="2"/>
  <c r="E557" i="2"/>
  <c r="E568" i="2"/>
  <c r="E617" i="2"/>
  <c r="E303" i="2"/>
  <c r="E208" i="2"/>
  <c r="E576" i="2"/>
  <c r="E629" i="2"/>
  <c r="E443" i="2"/>
  <c r="E515" i="2"/>
  <c r="E390" i="2"/>
  <c r="E243" i="2"/>
  <c r="E411" i="2"/>
  <c r="E200" i="2"/>
  <c r="E569" i="2"/>
  <c r="E264" i="2"/>
  <c r="E273" i="2"/>
  <c r="E23" i="2"/>
  <c r="E150" i="2"/>
  <c r="E142" i="2"/>
  <c r="E640" i="2"/>
  <c r="E483" i="2"/>
  <c r="E554" i="2"/>
  <c r="E514" i="2"/>
  <c r="E309" i="2"/>
  <c r="E221" i="2"/>
  <c r="E225" i="2"/>
  <c r="E387" i="2"/>
  <c r="E58" i="2"/>
  <c r="E475" i="2"/>
  <c r="E607" i="2"/>
  <c r="E538" i="2"/>
  <c r="E638" i="2"/>
  <c r="E4" i="2"/>
  <c r="E625" i="2"/>
  <c r="E563" i="2"/>
  <c r="E104" i="2"/>
  <c r="E86" i="2"/>
  <c r="E384" i="2"/>
  <c r="E75" i="2"/>
  <c r="E268" i="2"/>
  <c r="E564" i="2"/>
  <c r="E597" i="2"/>
  <c r="E42" i="2"/>
  <c r="E177" i="2"/>
  <c r="E98" i="2"/>
  <c r="E349" i="2"/>
  <c r="E161" i="2"/>
  <c r="E203" i="2"/>
  <c r="E654" i="2"/>
  <c r="E620" i="2"/>
  <c r="E121" i="2"/>
  <c r="E236" i="2"/>
  <c r="E64" i="2"/>
  <c r="E558" i="2"/>
  <c r="E123" i="2"/>
  <c r="E162" i="2"/>
  <c r="E66" i="2"/>
  <c r="E114" i="2"/>
  <c r="E586" i="2"/>
  <c r="E143" i="2"/>
  <c r="E22" i="2"/>
  <c r="E132" i="2"/>
  <c r="E222" i="2"/>
  <c r="E532" i="2"/>
  <c r="E100" i="2"/>
  <c r="E628" i="2"/>
  <c r="E486" i="2"/>
  <c r="E508" i="2"/>
  <c r="E415" i="2"/>
  <c r="E115" i="2"/>
  <c r="E668" i="2"/>
  <c r="E84" i="2"/>
  <c r="E524" i="2"/>
  <c r="E551" i="2"/>
  <c r="E262" i="2"/>
  <c r="E53" i="2"/>
  <c r="E747" i="2"/>
  <c r="E297" i="2"/>
  <c r="E436" i="2"/>
  <c r="E669" i="2"/>
  <c r="E113" i="2"/>
  <c r="E667" i="2"/>
  <c r="E242" i="2"/>
  <c r="E48" i="2"/>
  <c r="E315" i="2"/>
  <c r="E209" i="2"/>
  <c r="E487" i="2"/>
  <c r="E571" i="2"/>
  <c r="E352" i="2"/>
  <c r="E603" i="2"/>
  <c r="E229" i="2"/>
  <c r="E71" i="2"/>
  <c r="E14" i="2"/>
  <c r="E92" i="2"/>
  <c r="E369" i="2"/>
  <c r="E580" i="2"/>
  <c r="E68" i="2"/>
  <c r="E546" i="2"/>
  <c r="E413" i="2"/>
  <c r="E62" i="2"/>
  <c r="E599" i="2"/>
  <c r="E646" i="2"/>
  <c r="E192" i="2"/>
  <c r="E610" i="2"/>
  <c r="E359" i="2"/>
  <c r="E285" i="2"/>
  <c r="E540" i="2"/>
  <c r="E335" i="2"/>
  <c r="E473" i="2"/>
  <c r="E462" i="2"/>
  <c r="E7" i="2"/>
  <c r="E397" i="2"/>
  <c r="E477" i="2"/>
  <c r="E624" i="2"/>
  <c r="E458" i="2"/>
  <c r="E145" i="2"/>
  <c r="E305" i="2"/>
  <c r="E193" i="2"/>
  <c r="E404" i="2"/>
  <c r="E492" i="2"/>
  <c r="E446" i="2"/>
  <c r="E79" i="2"/>
  <c r="E310" i="2"/>
  <c r="E748" i="2"/>
  <c r="E666" i="2"/>
  <c r="E506" i="2"/>
  <c r="E750" i="2"/>
  <c r="E322" i="2"/>
  <c r="E59" i="2"/>
  <c r="E26" i="2"/>
  <c r="E663" i="2"/>
  <c r="E184" i="2"/>
  <c r="E69" i="2"/>
  <c r="E108" i="2"/>
  <c r="E272" i="2"/>
  <c r="E660" i="2"/>
  <c r="E163" i="2"/>
  <c r="E216" i="2"/>
  <c r="E274" i="2"/>
  <c r="E120" i="2"/>
  <c r="E441" i="2"/>
  <c r="E321" i="2"/>
  <c r="E241" i="2"/>
  <c r="E136" i="2"/>
  <c r="E188" i="2"/>
  <c r="E367" i="2"/>
  <c r="E541" i="2"/>
  <c r="E284" i="2"/>
  <c r="E507" i="2"/>
  <c r="E141" i="2"/>
  <c r="E375" i="2"/>
  <c r="E314" i="2"/>
  <c r="E567" i="2"/>
  <c r="E579" i="2"/>
  <c r="E308" i="2"/>
  <c r="E232" i="2"/>
  <c r="E489" i="2"/>
  <c r="E117" i="2"/>
  <c r="E342" i="2"/>
  <c r="E347" i="2"/>
  <c r="E81" i="2"/>
  <c r="E547" i="2"/>
  <c r="E109" i="2"/>
  <c r="E661" i="2"/>
  <c r="E248" i="2"/>
  <c r="E60" i="2"/>
  <c r="E396" i="2"/>
  <c r="E452" i="2"/>
  <c r="E639" i="2"/>
  <c r="E372" i="2"/>
  <c r="E421" i="2"/>
  <c r="E138" i="2"/>
  <c r="E156" i="2"/>
  <c r="E631" i="2"/>
  <c r="E614" i="2"/>
  <c r="E647" i="2"/>
  <c r="E8" i="2"/>
  <c r="E501" i="2"/>
  <c r="E340" i="2"/>
  <c r="E431" i="2"/>
  <c r="E294" i="2"/>
  <c r="E212" i="2"/>
  <c r="E467" i="2"/>
  <c r="E442" i="2"/>
  <c r="E438" i="2"/>
  <c r="E634" i="2"/>
  <c r="E520" i="2"/>
  <c r="E412" i="2"/>
  <c r="E562" i="2"/>
  <c r="E149" i="2"/>
  <c r="E593" i="2"/>
  <c r="E353" i="2"/>
  <c r="E373" i="2"/>
  <c r="E194" i="2"/>
  <c r="E234" i="2"/>
  <c r="E82" i="2"/>
  <c r="E329" i="2"/>
  <c r="E251" i="2"/>
  <c r="E420" i="2"/>
  <c r="E240" i="2"/>
  <c r="E87" i="2"/>
  <c r="E351" i="2"/>
  <c r="E451" i="2"/>
  <c r="E382" i="2"/>
  <c r="E124" i="2"/>
  <c r="E147" i="2"/>
  <c r="E265" i="2"/>
  <c r="E479" i="2"/>
  <c r="E38" i="2"/>
  <c r="E332" i="2"/>
  <c r="E406" i="2"/>
  <c r="E658" i="2"/>
  <c r="E444" i="2"/>
  <c r="E253" i="2"/>
  <c r="E282" i="2"/>
  <c r="E527" i="2"/>
  <c r="E348" i="2"/>
  <c r="E293" i="2"/>
  <c r="E437" i="2"/>
  <c r="E50" i="2"/>
  <c r="E559" i="2"/>
  <c r="E448" i="2"/>
  <c r="E630" i="2"/>
  <c r="E190" i="2"/>
  <c r="E46" i="2"/>
  <c r="E111" i="2"/>
  <c r="E621" i="2"/>
  <c r="E531" i="2"/>
  <c r="E425" i="2"/>
  <c r="E626" i="2"/>
  <c r="E360" i="2"/>
  <c r="E199" i="2"/>
  <c r="E270" i="2"/>
  <c r="E57" i="2"/>
  <c r="E286" i="2"/>
  <c r="E49" i="2"/>
  <c r="E51" i="2"/>
  <c r="E73" i="2"/>
  <c r="E154" i="2"/>
  <c r="E590" i="2"/>
  <c r="E374" i="2"/>
  <c r="E434" i="2"/>
  <c r="E522" i="2"/>
  <c r="E327" i="2"/>
  <c r="E392" i="2"/>
  <c r="E751" i="2"/>
  <c r="E430" i="2"/>
  <c r="E278" i="2"/>
  <c r="E328" i="2"/>
  <c r="E260" i="2"/>
  <c r="E339" i="2"/>
  <c r="E496" i="2"/>
  <c r="E449" i="2"/>
  <c r="E745" i="2"/>
  <c r="E618" i="2"/>
  <c r="E169" i="2"/>
  <c r="E662" i="2"/>
  <c r="E3" i="2"/>
  <c r="E584" i="2"/>
  <c r="E118" i="2"/>
  <c r="E144" i="2"/>
  <c r="E601" i="2"/>
  <c r="E223" i="2"/>
  <c r="E106" i="2"/>
  <c r="E350" i="2"/>
  <c r="E35" i="2"/>
  <c r="E228" i="2"/>
  <c r="E207" i="2"/>
  <c r="E271" i="2"/>
  <c r="E306" i="2"/>
  <c r="E292" i="2"/>
  <c r="E197" i="2"/>
  <c r="E365" i="2"/>
  <c r="E613" i="2"/>
  <c r="E70" i="2"/>
  <c r="E320" i="2"/>
  <c r="E655" i="2"/>
  <c r="E503" i="2"/>
  <c r="E498" i="2"/>
  <c r="E323" i="2"/>
  <c r="E168" i="2"/>
  <c r="E119" i="2"/>
  <c r="E174" i="2"/>
  <c r="E103" i="2"/>
  <c r="E587" i="2"/>
  <c r="E357" i="2"/>
  <c r="E615" i="2"/>
  <c r="E394" i="2"/>
  <c r="E592" i="2"/>
  <c r="E37" i="2"/>
  <c r="E536" i="2"/>
  <c r="E338" i="2"/>
  <c r="E530" i="2"/>
  <c r="E89" i="2"/>
  <c r="E454" i="2"/>
  <c r="E570" i="2"/>
  <c r="E485" i="2"/>
  <c r="E598" i="2"/>
  <c r="E582" i="2"/>
  <c r="E513" i="2"/>
  <c r="E611" i="2"/>
  <c r="E43" i="2"/>
  <c r="E354" i="2"/>
  <c r="E227" i="2"/>
  <c r="E652" i="2"/>
  <c r="E642" i="2"/>
  <c r="E41" i="2"/>
  <c r="E219" i="2"/>
  <c r="E140" i="2"/>
  <c r="E453" i="2"/>
  <c r="E389" i="2"/>
  <c r="E182" i="2"/>
  <c r="E574" i="2"/>
  <c r="E246" i="2"/>
  <c r="E298" i="2"/>
  <c r="E517" i="2"/>
  <c r="E364" i="2"/>
  <c r="E283" i="2"/>
  <c r="E220" i="2"/>
  <c r="E90" i="2"/>
  <c r="E560" i="2"/>
  <c r="E172" i="2"/>
  <c r="E176" i="2"/>
  <c r="E521" i="2"/>
  <c r="E645" i="2"/>
  <c r="E386" i="2"/>
  <c r="E218" i="2"/>
  <c r="E402" i="2"/>
  <c r="E468" i="2"/>
  <c r="E165" i="2"/>
  <c r="E33" i="2"/>
  <c r="E478" i="2"/>
  <c r="E379" i="2"/>
  <c r="E18" i="2"/>
  <c r="E409" i="2"/>
  <c r="E380" i="2"/>
  <c r="E13" i="2"/>
  <c r="E210" i="2"/>
  <c r="E455" i="2"/>
  <c r="E289" i="2"/>
  <c r="E301" i="2"/>
  <c r="E173" i="2"/>
  <c r="E529" i="2"/>
  <c r="E175" i="2"/>
  <c r="E385" i="2"/>
  <c r="E54" i="2"/>
  <c r="E19" i="2"/>
  <c r="E255" i="2"/>
  <c r="E167" i="2"/>
  <c r="E311" i="2"/>
  <c r="E231" i="2"/>
  <c r="E440" i="2"/>
  <c r="E464" i="2"/>
  <c r="E88" i="2"/>
  <c r="E95" i="2"/>
  <c r="E266" i="2"/>
  <c r="E575" i="2"/>
  <c r="E418" i="2"/>
  <c r="E336" i="2"/>
  <c r="E399" i="2"/>
  <c r="E343" i="2"/>
  <c r="E491" i="2"/>
  <c r="E319" i="2"/>
  <c r="E511" i="2"/>
  <c r="E474" i="2"/>
  <c r="E608" i="2"/>
  <c r="E93" i="2"/>
  <c r="E414" i="2"/>
  <c r="E427" i="2"/>
  <c r="E416" i="2"/>
  <c r="E548" i="2"/>
  <c r="E257" i="2"/>
  <c r="E450" i="2"/>
  <c r="E370" i="2"/>
  <c r="E134" i="2"/>
  <c r="E61" i="2"/>
  <c r="E376" i="2"/>
  <c r="E539" i="2"/>
  <c r="E512" i="2"/>
  <c r="E334" i="2"/>
  <c r="E573" i="2"/>
  <c r="E408" i="2"/>
  <c r="E422" i="2"/>
  <c r="E233" i="2"/>
  <c r="E602" i="2"/>
  <c r="E101" i="2"/>
  <c r="E470" i="2"/>
  <c r="E635" i="2"/>
  <c r="E195" i="2"/>
  <c r="E24" i="2"/>
  <c r="E388" i="2"/>
  <c r="E237" i="2"/>
  <c r="E324" i="2"/>
  <c r="E76" i="2"/>
  <c r="E29" i="2"/>
  <c r="E459" i="2"/>
  <c r="E287" i="2"/>
  <c r="E290" i="2"/>
  <c r="E480" i="2"/>
  <c r="E280" i="2"/>
  <c r="E366" i="2"/>
  <c r="E65" i="2"/>
  <c r="E622" i="2"/>
  <c r="E72" i="2"/>
  <c r="E594" i="2"/>
  <c r="E213" i="2"/>
  <c r="E523" i="2"/>
  <c r="E606" i="2"/>
  <c r="E326" i="2"/>
  <c r="E591" i="2"/>
  <c r="E45" i="2"/>
  <c r="E152" i="2"/>
  <c r="E296" i="2"/>
  <c r="E410" i="2"/>
  <c r="E589" i="2"/>
  <c r="E395" i="2"/>
  <c r="E316" i="2"/>
  <c r="E256" i="2"/>
  <c r="E20" i="2"/>
  <c r="E171" i="2"/>
  <c r="E202" i="2"/>
  <c r="E28" i="2"/>
  <c r="E127" i="2"/>
  <c r="E67" i="2"/>
  <c r="E330" i="2"/>
  <c r="E40" i="2"/>
  <c r="E56" i="2"/>
  <c r="E572" i="2"/>
  <c r="E307" i="2"/>
  <c r="E417" i="2"/>
  <c r="E525" i="2"/>
  <c r="E299" i="2"/>
  <c r="E368" i="2"/>
  <c r="E636" i="2"/>
  <c r="E6" i="2"/>
  <c r="E155" i="2"/>
  <c r="E91" i="2"/>
  <c r="E9" i="2"/>
  <c r="E157" i="2"/>
  <c r="E553" i="2"/>
  <c r="E153" i="2"/>
  <c r="E585" i="2"/>
  <c r="E12" i="2"/>
  <c r="E556" i="2"/>
  <c r="E331" i="2"/>
  <c r="E99" i="2"/>
  <c r="E34" i="2"/>
  <c r="E346" i="2"/>
  <c r="E612" i="2"/>
  <c r="E502" i="2"/>
  <c r="E463" i="2"/>
  <c r="E565" i="2"/>
  <c r="E581" i="2"/>
  <c r="E504" i="2"/>
  <c r="E604" i="2"/>
  <c r="E469" i="2"/>
  <c r="E552" i="2"/>
  <c r="E27" i="2"/>
  <c r="E36" i="2"/>
  <c r="E10" i="2"/>
  <c r="E267" i="2"/>
  <c r="E659" i="2"/>
  <c r="E214" i="2"/>
  <c r="E637" i="2"/>
  <c r="E561" i="2"/>
  <c r="E32" i="2"/>
  <c r="E488" i="2"/>
  <c r="E495" i="2"/>
  <c r="E481" i="2"/>
  <c r="E362" i="2"/>
  <c r="E400" i="2"/>
  <c r="E325" i="2"/>
  <c r="E653" i="2"/>
  <c r="E133" i="2"/>
  <c r="E457" i="2"/>
  <c r="E224" i="2"/>
  <c r="E361" i="2"/>
  <c r="E74" i="2"/>
  <c r="E259" i="2"/>
  <c r="E401" i="2"/>
  <c r="E94" i="2"/>
  <c r="E533" i="2"/>
  <c r="E429" i="2"/>
  <c r="E276" i="2"/>
  <c r="E426" i="2"/>
  <c r="E549" i="2"/>
  <c r="E131" i="2"/>
  <c r="E651" i="2"/>
  <c r="E494" i="2"/>
  <c r="E363" i="2"/>
  <c r="E318" i="2"/>
  <c r="E83" i="2"/>
  <c r="E476" i="2"/>
  <c r="E295" i="2"/>
  <c r="E664" i="2"/>
  <c r="E656" i="2"/>
  <c r="E78" i="2"/>
  <c r="E77" i="2"/>
  <c r="E627" i="2"/>
  <c r="E105" i="2"/>
  <c r="E471" i="2"/>
  <c r="E125" i="2"/>
  <c r="E52" i="2"/>
  <c r="E609" i="2"/>
  <c r="E746" i="2"/>
  <c r="E198" i="2"/>
  <c r="E85" i="2"/>
  <c r="E17" i="2"/>
  <c r="E535" i="2"/>
  <c r="E185" i="2"/>
  <c r="E456" i="2"/>
  <c r="E122" i="2"/>
  <c r="E424" i="2"/>
  <c r="E499" i="2"/>
  <c r="E398" i="2"/>
  <c r="E288" i="2"/>
  <c r="E423" i="2"/>
  <c r="E215" i="2"/>
  <c r="E542" i="2"/>
  <c r="E509" i="2"/>
  <c r="E665" i="2"/>
  <c r="E47" i="2"/>
  <c r="E516" i="2"/>
  <c r="E377" i="2"/>
  <c r="E239" i="2"/>
  <c r="E391" i="2"/>
  <c r="E21" i="2"/>
  <c r="E39" i="2"/>
  <c r="E112" i="2"/>
  <c r="E226" i="2"/>
  <c r="E63" i="2"/>
  <c r="E96" i="2"/>
  <c r="E623" i="2"/>
  <c r="E657" i="2"/>
  <c r="E407" i="2"/>
  <c r="E600" i="2"/>
  <c r="E577" i="2"/>
  <c r="E146" i="2"/>
  <c r="E383" i="2"/>
  <c r="E183" i="2"/>
  <c r="E179" i="2"/>
  <c r="E137" i="2"/>
  <c r="E333" i="2"/>
  <c r="E107" i="2"/>
  <c r="E189" i="2"/>
  <c r="E178" i="2"/>
  <c r="E206" i="2"/>
  <c r="E102" i="2"/>
  <c r="E261" i="2"/>
  <c r="E164" i="2"/>
  <c r="E166" i="2"/>
  <c r="E341" i="2"/>
  <c r="E191" i="2"/>
  <c r="E31" i="2"/>
  <c r="E344" i="2"/>
  <c r="E650" i="2"/>
  <c r="E605" i="2"/>
  <c r="E97" i="2"/>
  <c r="E596" i="2"/>
  <c r="E211" i="2"/>
  <c r="E249" i="2"/>
  <c r="E616" i="2"/>
  <c r="E217" i="2"/>
  <c r="E465" i="2"/>
  <c r="E633" i="2"/>
  <c r="E518" i="2"/>
  <c r="E277" i="2"/>
  <c r="E158" i="2"/>
  <c r="E129" i="2"/>
  <c r="E405" i="2"/>
  <c r="E345" i="2"/>
  <c r="E312" i="2"/>
  <c r="E250" i="2"/>
  <c r="E497" i="2"/>
  <c r="E445" i="2"/>
  <c r="E356" i="2"/>
  <c r="E543" i="2"/>
  <c r="E244" i="2"/>
  <c r="E381" i="2"/>
  <c r="E279" i="2"/>
  <c r="E403" i="2"/>
  <c r="E461" i="2"/>
  <c r="E245" i="2"/>
  <c r="E595" i="2"/>
  <c r="E263" i="2"/>
  <c r="E447" i="2"/>
  <c r="E275" i="2"/>
  <c r="E490" i="2"/>
  <c r="E30" i="2"/>
  <c r="E204" i="2"/>
  <c r="E472" i="2"/>
  <c r="E378" i="2"/>
  <c r="E258" i="2"/>
  <c r="E493" i="2"/>
  <c r="E519" i="2"/>
  <c r="E205" i="2"/>
  <c r="E304" i="2"/>
  <c r="E186" i="2"/>
  <c r="E5" i="2"/>
  <c r="E583" i="2"/>
  <c r="E510" i="2"/>
  <c r="E566" i="2"/>
  <c r="E371" i="2"/>
  <c r="E550" i="2"/>
  <c r="E180" i="2"/>
  <c r="E135" i="2"/>
  <c r="E126" i="2"/>
  <c r="E16" i="2"/>
  <c r="E110" i="2"/>
  <c r="E159" i="2"/>
  <c r="E500" i="2"/>
  <c r="E337" i="2"/>
  <c r="E235" i="2"/>
  <c r="E5" i="3" l="1"/>
  <c r="E4" i="3"/>
  <c r="E11" i="3"/>
  <c r="G42" i="3" s="1"/>
  <c r="E56" i="3" l="1"/>
  <c r="E42" i="3"/>
  <c r="E44" i="3" s="1"/>
  <c r="G36" i="3"/>
  <c r="E36" i="3" l="1"/>
  <c r="E24" i="3"/>
  <c r="E12" i="3"/>
  <c r="E43" i="3" l="1"/>
  <c r="E45" i="3" s="1"/>
</calcChain>
</file>

<file path=xl/sharedStrings.xml><?xml version="1.0" encoding="utf-8"?>
<sst xmlns="http://schemas.openxmlformats.org/spreadsheetml/2006/main" count="3497" uniqueCount="1056">
  <si>
    <t>Section</t>
  </si>
  <si>
    <t>Subsection</t>
  </si>
  <si>
    <t>Variable name</t>
  </si>
  <si>
    <t>Is Tunable By User?</t>
  </si>
  <si>
    <t>Min range</t>
  </si>
  <si>
    <t>Max range</t>
  </si>
  <si>
    <t>Unit</t>
  </si>
  <si>
    <t>Default Value</t>
  </si>
  <si>
    <t>Comments (note on the value, source of the default, etc.)</t>
  </si>
  <si>
    <t>No</t>
  </si>
  <si>
    <t>Yes</t>
  </si>
  <si>
    <t>Variable Name</t>
  </si>
  <si>
    <t>must be unique</t>
  </si>
  <si>
    <t>Formula</t>
  </si>
  <si>
    <t>optional</t>
  </si>
  <si>
    <t>only if tunable</t>
  </si>
  <si>
    <t>Mother impact</t>
  </si>
  <si>
    <t>Cohort</t>
  </si>
  <si>
    <t xml:space="preserve">With ongoing mental health problems </t>
  </si>
  <si>
    <t xml:space="preserve">Disability Adjusted Life Years </t>
  </si>
  <si>
    <t>Duration of perinatal mental health problems</t>
  </si>
  <si>
    <t>Yrs</t>
  </si>
  <si>
    <t>Disability weight for moderate depression</t>
  </si>
  <si>
    <t xml:space="preserve">Disability weight for severe depression </t>
  </si>
  <si>
    <t>Disability weight for moderate anxiety</t>
  </si>
  <si>
    <t>Years of Life Lost</t>
  </si>
  <si>
    <t>Number</t>
  </si>
  <si>
    <t>Percentage</t>
  </si>
  <si>
    <t>Weight</t>
  </si>
  <si>
    <t>Rate</t>
  </si>
  <si>
    <t>Weight for valuing DALY with GDP per capita</t>
  </si>
  <si>
    <t>Disability Adjusted Life Years</t>
  </si>
  <si>
    <t>Children impact</t>
  </si>
  <si>
    <t>Mortality probability (women aged 15 to 39yrs)</t>
  </si>
  <si>
    <t xml:space="preserve">Mortality probability during / after birth </t>
  </si>
  <si>
    <t>Number of women antenatal period</t>
  </si>
  <si>
    <t>Number of women postnatal period</t>
  </si>
  <si>
    <t>Number of women Year + 1</t>
  </si>
  <si>
    <t>Number of women Year + 2</t>
  </si>
  <si>
    <t>Number of women Year + 3</t>
  </si>
  <si>
    <t>Number of women Year + 4</t>
  </si>
  <si>
    <t>Number of women Year + 5</t>
  </si>
  <si>
    <t>Number of women Year + 6</t>
  </si>
  <si>
    <t>Number of women Year + 7</t>
  </si>
  <si>
    <t>Number of women Year + 8</t>
  </si>
  <si>
    <t>Number of women Year + 9</t>
  </si>
  <si>
    <t>Number of women Year + 10</t>
  </si>
  <si>
    <t xml:space="preserve">Women with moderate depression </t>
  </si>
  <si>
    <t xml:space="preserve">Number women moderately depressed antenatal </t>
  </si>
  <si>
    <t xml:space="preserve">Number women moderately depressed postnatal </t>
  </si>
  <si>
    <t>Number women moderately depressed Year +1</t>
  </si>
  <si>
    <t>Number women moderately depressed Year +2</t>
  </si>
  <si>
    <t>Number women moderately depressed Year +3</t>
  </si>
  <si>
    <t>Number women moderately depressed Year +4</t>
  </si>
  <si>
    <t>Number women moderately depressed Year +5</t>
  </si>
  <si>
    <t>Number women moderately depressed Year +6</t>
  </si>
  <si>
    <t>Number women moderately depressed Year +7</t>
  </si>
  <si>
    <t>Number women moderately depressed Year +8</t>
  </si>
  <si>
    <t>Number women moderately depressed Year +9</t>
  </si>
  <si>
    <t xml:space="preserve">Women with severe depression </t>
  </si>
  <si>
    <t>Prevalence postnatal depression (moderate or severe)</t>
  </si>
  <si>
    <t xml:space="preserve">Number women severely depressed antenatal </t>
  </si>
  <si>
    <t xml:space="preserve">Number women severly depressed postnatal </t>
  </si>
  <si>
    <t>Women with anxiety</t>
  </si>
  <si>
    <t>Number women anxious antenatal</t>
  </si>
  <si>
    <t>Number women anxious postnatal</t>
  </si>
  <si>
    <t>DALYs women moderately depresssed antenatal</t>
  </si>
  <si>
    <t>DALYs women moderately depresssed postnatal</t>
  </si>
  <si>
    <t>Discount rate +1</t>
  </si>
  <si>
    <t>DALYs women severely depresssed postnatal</t>
  </si>
  <si>
    <t>DALYs women severely depresssed Year +1</t>
  </si>
  <si>
    <t>DALYs women severely depresssed antenatal</t>
  </si>
  <si>
    <t>DALYs women anxious antenatal</t>
  </si>
  <si>
    <t>DALYs women anxious postnatal</t>
  </si>
  <si>
    <t>DALYs women anxious Year +1</t>
  </si>
  <si>
    <t>DALYs women anxious Year +2</t>
  </si>
  <si>
    <t>DALYs women anxious Year +3</t>
  </si>
  <si>
    <t>DALYs women anxious Year +4</t>
  </si>
  <si>
    <t>DALYs women anxious Year +5</t>
  </si>
  <si>
    <t>DALYs women anxious Year +6</t>
  </si>
  <si>
    <t>DALYs women anxious Year +7</t>
  </si>
  <si>
    <t>DALYs women anxious Year +8</t>
  </si>
  <si>
    <t>DALYs women anxious Year +9</t>
  </si>
  <si>
    <t>DALYs women anxious Year +10</t>
  </si>
  <si>
    <t>DALYs in USD</t>
  </si>
  <si>
    <t>DALYs women moderately depresssed antenatal, in USD</t>
  </si>
  <si>
    <t>DALYs women moderately depresssed postnatal, in USD</t>
  </si>
  <si>
    <t>DALYs women severely depresssed antenatal, in USD</t>
  </si>
  <si>
    <t>DALYs women severely depresssed postnatal, in USD</t>
  </si>
  <si>
    <t>DALYs women severely depresssed Year +1, in USD</t>
  </si>
  <si>
    <t>DALYs women anxious antenatal, in USD</t>
  </si>
  <si>
    <t>DALYs women anxious postnatal, in USD</t>
  </si>
  <si>
    <t>DALYs women anxious Year +1, in USD</t>
  </si>
  <si>
    <t>DALYs women anxious Year +2, in USD</t>
  </si>
  <si>
    <t>DALYs women anxious Year +3, in USD</t>
  </si>
  <si>
    <t>DALYs women anxious Year +4, in USD</t>
  </si>
  <si>
    <t>DALYs women anxious Year +5, in USD</t>
  </si>
  <si>
    <t>DALYs women anxious Year +6, in USD</t>
  </si>
  <si>
    <t>DALYs women anxious Year +7, in USD</t>
  </si>
  <si>
    <t>DALYs women anxious Year +8, in USD</t>
  </si>
  <si>
    <t>DALYs women anxious Year +9, in USD</t>
  </si>
  <si>
    <t>DALYs women anxious Year +10, in USD</t>
  </si>
  <si>
    <t>Discounting</t>
  </si>
  <si>
    <t xml:space="preserve">Mortality </t>
  </si>
  <si>
    <t>Mortality</t>
  </si>
  <si>
    <t>Probability</t>
  </si>
  <si>
    <t>GDP per capita (all)</t>
  </si>
  <si>
    <t xml:space="preserve">Women committing suicide </t>
  </si>
  <si>
    <t>Years of Life Lost due to suicide</t>
  </si>
  <si>
    <t>Suicide rate ante- and postnatal period (per 100,000)</t>
  </si>
  <si>
    <t>Number women moderately depressed Year +10</t>
  </si>
  <si>
    <t>Number women severly depressed Year +1</t>
  </si>
  <si>
    <t>Number women severly depressed Year +2</t>
  </si>
  <si>
    <t>Number women severly depressed Year +3</t>
  </si>
  <si>
    <t>Number women severly depressed Year +4</t>
  </si>
  <si>
    <t>Number women severly depressed Year +5</t>
  </si>
  <si>
    <t>Number women severly depressed Year +6</t>
  </si>
  <si>
    <t>Number women severly depressed Year +7</t>
  </si>
  <si>
    <t>Number women severly depressed Year +8</t>
  </si>
  <si>
    <t>Number women severly depressed Year +9</t>
  </si>
  <si>
    <t>Number women severly depressed Year +10</t>
  </si>
  <si>
    <t>Number women anxious Year +1</t>
  </si>
  <si>
    <t>Number women anxious Year +2</t>
  </si>
  <si>
    <t>Number women anxious Year +3</t>
  </si>
  <si>
    <t>Number women anxious Year +4</t>
  </si>
  <si>
    <t>Number women anxious Year +5</t>
  </si>
  <si>
    <t>Number women anxious Year +6</t>
  </si>
  <si>
    <t>Number women anxious Year +7</t>
  </si>
  <si>
    <t>Number women anxious Year +8</t>
  </si>
  <si>
    <t>Number women anxious Year +9</t>
  </si>
  <si>
    <t>Number women anxious Year +10</t>
  </si>
  <si>
    <t>Income loss women anxiety antenatal</t>
  </si>
  <si>
    <t>Income loss women anxiety postnatal</t>
  </si>
  <si>
    <t>Income loss women anxiety Year +1</t>
  </si>
  <si>
    <t>Income loss women anxiety Year +2</t>
  </si>
  <si>
    <t>Income loss women anxiety Year +3</t>
  </si>
  <si>
    <t>Income loss women anxiety Year +4</t>
  </si>
  <si>
    <t>Income loss women anxiety Year +5</t>
  </si>
  <si>
    <t>Income loss women anxiety Year +6</t>
  </si>
  <si>
    <t>Income loss women anxiety Year +7</t>
  </si>
  <si>
    <t>Income loss women anxiety Year +8</t>
  </si>
  <si>
    <t>Income loss women anxiety Year +9</t>
  </si>
  <si>
    <t>Income loss women anxiety Year +10</t>
  </si>
  <si>
    <t>Formula expanded</t>
  </si>
  <si>
    <t>Proportion of antenatal depression that is moderate depression</t>
  </si>
  <si>
    <t>Proportion of antenatal depression that is severe depression</t>
  </si>
  <si>
    <t>Proportion of postnatal depression that is moderate depression</t>
  </si>
  <si>
    <t>Proportion of postnatal depression that is severe depression</t>
  </si>
  <si>
    <t xml:space="preserve">Prevalence / probability ongoing depression </t>
  </si>
  <si>
    <t>Value for quality of life loss</t>
  </si>
  <si>
    <t>Number women committing suicide ante- and postnatal</t>
  </si>
  <si>
    <t>DALYs women moderately depresssed Year +1</t>
  </si>
  <si>
    <t>DALYs women moderately depresssed Year +2</t>
  </si>
  <si>
    <t>DALYs women committing suicide ante and postnatal</t>
  </si>
  <si>
    <t>DALYs women severely depresssed Year +2, in USD</t>
  </si>
  <si>
    <t>DALYs women severely depresssed Year +3, in USD</t>
  </si>
  <si>
    <t>DALYs women severely depresssed Year +4, in USD</t>
  </si>
  <si>
    <t>DALYs women severely depresssed Year +5, in USD</t>
  </si>
  <si>
    <t>DALYs women severely depresssed Year +6, in USD</t>
  </si>
  <si>
    <t>DALYs women severely depresssed Year +7, in USD</t>
  </si>
  <si>
    <t>DALYs women severely depresssed Year +8, in USD</t>
  </si>
  <si>
    <t>DALYs women severely depresssed Year +9, in USD</t>
  </si>
  <si>
    <t>DALYs women severely depresssed Year +10, in USD</t>
  </si>
  <si>
    <t>DALYs women moderately depresssed Year +1, in USD</t>
  </si>
  <si>
    <t>DALYs women severely depresssed Year +2</t>
  </si>
  <si>
    <t>DALYs women severely depresssed Year +3</t>
  </si>
  <si>
    <t>DALYs women moderately depresssed Year +3</t>
  </si>
  <si>
    <t>DALYs women moderately depresssed Year +4</t>
  </si>
  <si>
    <t>DALYs women moderately depresssed Year +5</t>
  </si>
  <si>
    <t>DALYs women moderately depresssed Year +6</t>
  </si>
  <si>
    <t>DALYs women moderately depresssed Year +7</t>
  </si>
  <si>
    <t>DALYs women moderately depresssed Year +8</t>
  </si>
  <si>
    <t>DALYs women moderately depresssed Year +9</t>
  </si>
  <si>
    <t>DALYs women moderately depresssed Year +10</t>
  </si>
  <si>
    <t>DALYs women severely depresssed Year +4</t>
  </si>
  <si>
    <t>DALYs women severely depresssed Year +5</t>
  </si>
  <si>
    <t>DALYs women severely depresssed Year +6</t>
  </si>
  <si>
    <t>DALYs women severely depresssed Year +7</t>
  </si>
  <si>
    <t>DALYs women severely depresssed Year +8</t>
  </si>
  <si>
    <t>DALYs women severely depresssed Year +9</t>
  </si>
  <si>
    <t>DALYs women severely depresssed Year +10</t>
  </si>
  <si>
    <t>DALYs women moderately depresssed Year +2, in USD</t>
  </si>
  <si>
    <t>DALYs women moderately depresssed Year +3, in USD</t>
  </si>
  <si>
    <t>DALYs women moderately depresssed Year +4, in USD</t>
  </si>
  <si>
    <t>DALYs women moderately depresssed Year +5, in USD</t>
  </si>
  <si>
    <t>DALYs women moderately depresssed Year +6, in USD</t>
  </si>
  <si>
    <t>DALYs women moderately depresssed Year +7, in USD</t>
  </si>
  <si>
    <t>DALYs women moderately depresssed Year +8, in USD</t>
  </si>
  <si>
    <t>DALYs women moderately depresssed Year +9, in USD</t>
  </si>
  <si>
    <t>DALYs women moderately depresssed Year +10, in USD</t>
  </si>
  <si>
    <t>DALYs discounted</t>
  </si>
  <si>
    <t>Income loss depression discounted</t>
  </si>
  <si>
    <t>Income loss anxiety discounted</t>
  </si>
  <si>
    <t>Years for calculating child impact</t>
  </si>
  <si>
    <t>Life year 1</t>
  </si>
  <si>
    <t>Life year 2</t>
  </si>
  <si>
    <t>Life year 3</t>
  </si>
  <si>
    <t>Life year 4</t>
  </si>
  <si>
    <t>Life year 5</t>
  </si>
  <si>
    <t>Life year 6</t>
  </si>
  <si>
    <t>Life year 7</t>
  </si>
  <si>
    <t>Life year 8</t>
  </si>
  <si>
    <t>Life year 9</t>
  </si>
  <si>
    <t>Life year 10</t>
  </si>
  <si>
    <t>Life year 11</t>
  </si>
  <si>
    <t>Life year 12</t>
  </si>
  <si>
    <t>Life year 13</t>
  </si>
  <si>
    <t>Life year 14</t>
  </si>
  <si>
    <t>Life year 15</t>
  </si>
  <si>
    <t>Life year 16</t>
  </si>
  <si>
    <t>Life year 17</t>
  </si>
  <si>
    <t>Life year 18</t>
  </si>
  <si>
    <t>Life year 19</t>
  </si>
  <si>
    <t>Life year 20</t>
  </si>
  <si>
    <t>Life year 21</t>
  </si>
  <si>
    <t>Life year 22</t>
  </si>
  <si>
    <t>Life year 23</t>
  </si>
  <si>
    <t>Life year 24</t>
  </si>
  <si>
    <t>Life year 25</t>
  </si>
  <si>
    <t>Life year 26</t>
  </si>
  <si>
    <t>Life year 27</t>
  </si>
  <si>
    <t>Life year 28</t>
  </si>
  <si>
    <t>Life year 29</t>
  </si>
  <si>
    <t>Life year 30</t>
  </si>
  <si>
    <t>Life year 31</t>
  </si>
  <si>
    <t>Life year 32</t>
  </si>
  <si>
    <t>Life year 33</t>
  </si>
  <si>
    <t>Life year 34</t>
  </si>
  <si>
    <t>Life year 35</t>
  </si>
  <si>
    <t>Life year 36</t>
  </si>
  <si>
    <t>Life year 37</t>
  </si>
  <si>
    <t>Life year 38</t>
  </si>
  <si>
    <t>Life year 39</t>
  </si>
  <si>
    <t>Life year 40</t>
  </si>
  <si>
    <t>Year</t>
  </si>
  <si>
    <t xml:space="preserve">Quality Adjusted Life Years </t>
  </si>
  <si>
    <t>we can't derive this</t>
  </si>
  <si>
    <t>Income decrement depression women per year, in USD</t>
  </si>
  <si>
    <t>Income decrement anxiety women per year, in USD</t>
  </si>
  <si>
    <t>Mothers impact</t>
  </si>
  <si>
    <t>Mothers + children impact</t>
  </si>
  <si>
    <t>Health utility weight for moderate depression</t>
  </si>
  <si>
    <t xml:space="preserve">Health utility weight for severe depression </t>
  </si>
  <si>
    <t>Exchange rate Thai Bat USD</t>
  </si>
  <si>
    <t>Exchange rate</t>
  </si>
  <si>
    <t>e.g., Calculated by muliplying birth rate w population</t>
  </si>
  <si>
    <t>Still birth rate (per 1,000)</t>
  </si>
  <si>
    <t>Health utility weight for moderate anxiety</t>
  </si>
  <si>
    <t>Exposure</t>
  </si>
  <si>
    <t>Valuing quality of life loss, in USD</t>
  </si>
  <si>
    <t>Valuing productivity loss, in USD</t>
  </si>
  <si>
    <t>GDP per capita</t>
  </si>
  <si>
    <t>Number of additional children outcome 1 Age 0 - 1</t>
  </si>
  <si>
    <t>Prevalence of perinatal mental health condition impacting on child outcome 1 PRTB</t>
  </si>
  <si>
    <t>Prevalence of perinatal mental health condition impacting on child outcome 3 HOSP</t>
  </si>
  <si>
    <t>Prevalence of perinatal mental health condition impacting on child outcome 5 ASTH</t>
  </si>
  <si>
    <t>Prevalence of perinatal mental health condition impacting on child outcome 4 DIARRH</t>
  </si>
  <si>
    <t>Prevalence of perinatal mental health condition impacting on child outcome 6 LRTI</t>
  </si>
  <si>
    <t>Prevalence of perinatal mental health condition impacting on child outcome 7 STUNT</t>
  </si>
  <si>
    <t>Prevalence of perinatal mental health condition impacting on child outcome 8 WAST</t>
  </si>
  <si>
    <t>Prevalence of perinatal mental health condition impacting on child outcome 9 CD</t>
  </si>
  <si>
    <t>Prevalence of perinatal mental health condition impacting on child outcome 10 AD</t>
  </si>
  <si>
    <t>Prevalence of perinatal mental health condition impacting on child outcome 11 ED</t>
  </si>
  <si>
    <t>PRTB = pre-term birth</t>
  </si>
  <si>
    <t>LBW = low birth weight</t>
  </si>
  <si>
    <t>HOSP = hospitalisation</t>
  </si>
  <si>
    <t>DIARRH = diarrhoea</t>
  </si>
  <si>
    <t>ASTH = asthma/ severe recurring wheezing</t>
  </si>
  <si>
    <t>LRTI = lower respiratory tract infections</t>
  </si>
  <si>
    <t>STUNT = stunting</t>
  </si>
  <si>
    <t>WAST = wasting</t>
  </si>
  <si>
    <t>CD = conduct disorder</t>
  </si>
  <si>
    <t>AD = attention disorder</t>
  </si>
  <si>
    <t>ED = emotional disorder</t>
  </si>
  <si>
    <t>Prevalence of perinatal mental health condition impacting on child outcome 2 LBW</t>
  </si>
  <si>
    <t>Disability weight outcome 5 ASTH</t>
  </si>
  <si>
    <t>Income decrement outcomes 9 to 11</t>
  </si>
  <si>
    <t>QALYs loss lifetime total outcome 2 LBW</t>
  </si>
  <si>
    <t>DALYs lifetime total outcome 2 LBW</t>
  </si>
  <si>
    <t>Number of additional children outcome 2 Age 0 - 1</t>
  </si>
  <si>
    <t>Number of additional children outcome 3 Age 0 - 1</t>
  </si>
  <si>
    <t>Number of additional children outcome 4 Age 0 -1</t>
  </si>
  <si>
    <t>Number of additional children outcome 5 Age 0 - 1</t>
  </si>
  <si>
    <t>Number of additional children outcome 6 Age 0 - 1</t>
  </si>
  <si>
    <t>Number of additional children outcome 7 Age 0 - 1</t>
  </si>
  <si>
    <t>Number of additional children outcome 8 Age 0 - 1</t>
  </si>
  <si>
    <t>Number of additional children outcome 9 Age 0 - 1</t>
  </si>
  <si>
    <t>Number of additional children outcome 10 Age 0 - 1</t>
  </si>
  <si>
    <t>Number of additional children outcome 11 Age 0 - 1</t>
  </si>
  <si>
    <t xml:space="preserve">Children 0 to 1 with problems due to exposure </t>
  </si>
  <si>
    <t xml:space="preserve">Children 1 onwards with problems due to exposure </t>
  </si>
  <si>
    <t>Number of additional children outcome 7 Age 2</t>
  </si>
  <si>
    <t>Number of additional children outcome 7 Age 3</t>
  </si>
  <si>
    <t>Number of additional children outcome 7 Age 4</t>
  </si>
  <si>
    <t>Number of additional children outcome 7 Age 5</t>
  </si>
  <si>
    <t>Number of additional children outcome 7 Age 6</t>
  </si>
  <si>
    <t>Number of additional children outcome 7 Age 7</t>
  </si>
  <si>
    <t>Number of additional children outcome 7 Age 8</t>
  </si>
  <si>
    <t>Number of additional children outcome 7 Age 9</t>
  </si>
  <si>
    <t>Number of additional children outcome 7 Age 10</t>
  </si>
  <si>
    <t>Number of additional children outcome 7 Age 11</t>
  </si>
  <si>
    <t>Number of additional children outcome 7 Age 12</t>
  </si>
  <si>
    <t>Number of additional children outcome 7 Age 13</t>
  </si>
  <si>
    <t>Number of additional children outcome 7 Age 14</t>
  </si>
  <si>
    <t>Number of additional children outcome 7 Age 15</t>
  </si>
  <si>
    <t>Number of additional children outcome 7 Age 16</t>
  </si>
  <si>
    <t>Number of additional children outcome 7 Age 17</t>
  </si>
  <si>
    <t>Number of additional children outcome 7 Age 18</t>
  </si>
  <si>
    <t>Number of additional children outcome 7 Age 19</t>
  </si>
  <si>
    <t>Number of additional children outcome 7 Age 20</t>
  </si>
  <si>
    <t>Number of additional children outcome 7 Age 21</t>
  </si>
  <si>
    <t>Number of additional children outcome 7 Age 22</t>
  </si>
  <si>
    <t>Number of additional children outcome 7 Age 23</t>
  </si>
  <si>
    <t>Number of additional children outcome 7 Age 24</t>
  </si>
  <si>
    <t>Number of additional children outcome 7 Age 25</t>
  </si>
  <si>
    <t>Number of additional children outcome 7 Age 26</t>
  </si>
  <si>
    <t>Number of additional children outcome 7 Age 27</t>
  </si>
  <si>
    <t>Number of additional children outcome 7 Age 28</t>
  </si>
  <si>
    <t>Number of additional children outcome 7 Age 29</t>
  </si>
  <si>
    <t>Number of additional children outcome 7 Age 30</t>
  </si>
  <si>
    <t>Number of additional children outcome 7 Age 31</t>
  </si>
  <si>
    <t>Number of additional children outcome 7 Age 32</t>
  </si>
  <si>
    <t>Number of additional children outcome 7 Age 33</t>
  </si>
  <si>
    <t>Number of additional children outcome 7 Age 34</t>
  </si>
  <si>
    <t>Number of additional children outcome 7 Age 35</t>
  </si>
  <si>
    <t>Number of additional children outcome 7 Age 36</t>
  </si>
  <si>
    <t>Number of additional children outcome 7 Age 37</t>
  </si>
  <si>
    <t>Number of additional children outcome 7 Age 38</t>
  </si>
  <si>
    <t>Number of additional children outcome 7 Age 39</t>
  </si>
  <si>
    <t>Number of additional children outcome 7 Age 40</t>
  </si>
  <si>
    <t>Number of additional children outcome 8 Age 2</t>
  </si>
  <si>
    <t>Number of additional children outcome 8 Age 3</t>
  </si>
  <si>
    <t>Number of additional children outcome 8 Age 4</t>
  </si>
  <si>
    <t>Number of additional children outcome 8 Age 5</t>
  </si>
  <si>
    <t>Number of additional children outcome 8 Age 6</t>
  </si>
  <si>
    <t>Number of additional children outcome 8 Age 7</t>
  </si>
  <si>
    <t>Number of additional children outcome 8 Age 8</t>
  </si>
  <si>
    <t>Number of additional children outcome 8 Age 9</t>
  </si>
  <si>
    <t>Number of additional children outcome 8 Age 10</t>
  </si>
  <si>
    <t>Number of additional children outcome 8 Age 11</t>
  </si>
  <si>
    <t>Number of additional children outcome 8 Age 12</t>
  </si>
  <si>
    <t>Number of additional children outcome 8 Age 13</t>
  </si>
  <si>
    <t>Number of additional children outcome 8 Age 14</t>
  </si>
  <si>
    <t>Number of additional children outcome 8 Age 15</t>
  </si>
  <si>
    <t>Number of additional children outcome 8 Age 16</t>
  </si>
  <si>
    <t>Number of additional children outcome 8 Age 17</t>
  </si>
  <si>
    <t>Number of additional children outcome 8 Age 18</t>
  </si>
  <si>
    <t>Number of additional children outcome 8 Age 19</t>
  </si>
  <si>
    <t>Number of additional children outcome 8 Age 20</t>
  </si>
  <si>
    <t>Number of additional children outcome 8 Age 21</t>
  </si>
  <si>
    <t>Number of additional children outcome 8 Age 22</t>
  </si>
  <si>
    <t>Number of additional children outcome 8 Age 23</t>
  </si>
  <si>
    <t>Number of additional children outcome 8 Age 24</t>
  </si>
  <si>
    <t>Number of additional children outcome 8 Age 25</t>
  </si>
  <si>
    <t>Number of additional children outcome 8 Age 26</t>
  </si>
  <si>
    <t>Number of additional children outcome 8 Age 27</t>
  </si>
  <si>
    <t>Number of additional children outcome 8 Age 28</t>
  </si>
  <si>
    <t>Number of additional children outcome 8 Age 29</t>
  </si>
  <si>
    <t>Number of additional children outcome 8 Age 30</t>
  </si>
  <si>
    <t>Number of additional children outcome 8 Age 31</t>
  </si>
  <si>
    <t>Number of additional children outcome 8 Age 32</t>
  </si>
  <si>
    <t>Number of additional children outcome 8 Age 33</t>
  </si>
  <si>
    <t>Number of additional children outcome 8 Age 34</t>
  </si>
  <si>
    <t>Number of additional children outcome 8 Age 35</t>
  </si>
  <si>
    <t>Number of additional children outcome 8 Age 36</t>
  </si>
  <si>
    <t>Number of additional children outcome 8 Age 37</t>
  </si>
  <si>
    <t>Number of additional children outcome 8 Age 38</t>
  </si>
  <si>
    <t>Number of additional children outcome 8 Age 39</t>
  </si>
  <si>
    <t>Number of additional children outcome 8 Age 40</t>
  </si>
  <si>
    <t>Number of additional children outcome 9 Age 2</t>
  </si>
  <si>
    <t>Number of additional children outcome 9 Age 3</t>
  </si>
  <si>
    <t>Number of additional children outcome 9 Age 4</t>
  </si>
  <si>
    <t>Number of additional children outcome 9 Age 5</t>
  </si>
  <si>
    <t>Number of additional children outcome 9 Age 6</t>
  </si>
  <si>
    <t>Number of additional children outcome 9 Age 7</t>
  </si>
  <si>
    <t>Number of additional children outcome 9 Age 8</t>
  </si>
  <si>
    <t>Number of additional children outcome 9 Age 9</t>
  </si>
  <si>
    <t>Number of additional children outcome 9 Age 10</t>
  </si>
  <si>
    <t>Number of additional children outcome 9 Age 11</t>
  </si>
  <si>
    <t>Number of additional children outcome 9 Age 12</t>
  </si>
  <si>
    <t>Number of additional children outcome 9 Age 13</t>
  </si>
  <si>
    <t>Number of additional children outcome 9 Age 14</t>
  </si>
  <si>
    <t>Number of additional children outcome 9 Age 15</t>
  </si>
  <si>
    <t>Number of additional children outcome 9 Age 16</t>
  </si>
  <si>
    <t>Number of additional children outcome 9 Age 17</t>
  </si>
  <si>
    <t>Number of additional children outcome 9 Age 18</t>
  </si>
  <si>
    <t>Number of additional children outcome 9 Age 19</t>
  </si>
  <si>
    <t>Number of additional children outcome 9 Age 20</t>
  </si>
  <si>
    <t>Number of additional children outcome 9 Age 21</t>
  </si>
  <si>
    <t>Number of additional children outcome 9 Age 22</t>
  </si>
  <si>
    <t>Number of additional children outcome 9 Age 23</t>
  </si>
  <si>
    <t>Number of additional children outcome 9 Age 24</t>
  </si>
  <si>
    <t>Number of additional children outcome 9 Age 25</t>
  </si>
  <si>
    <t>Number of additional children outcome 9 Age 26</t>
  </si>
  <si>
    <t>Number of additional children outcome 9 Age 27</t>
  </si>
  <si>
    <t>Number of additional children outcome 9 Age 28</t>
  </si>
  <si>
    <t>Number of additional children outcome 9 Age 29</t>
  </si>
  <si>
    <t>Number of additional children outcome 9 Age 30</t>
  </si>
  <si>
    <t>Number of additional children outcome 9 Age 31</t>
  </si>
  <si>
    <t>Number of additional children outcome 9 Age 32</t>
  </si>
  <si>
    <t>Number of additional children outcome 9 Age 33</t>
  </si>
  <si>
    <t>Number of additional children outcome 9 Age 34</t>
  </si>
  <si>
    <t>Number of additional children outcome 9 Age 35</t>
  </si>
  <si>
    <t>Number of additional children outcome 9 Age 36</t>
  </si>
  <si>
    <t>Number of additional children outcome 9 Age 37</t>
  </si>
  <si>
    <t>Number of additional children outcome 9 Age 38</t>
  </si>
  <si>
    <t>Number of additional children outcome 9 Age 39</t>
  </si>
  <si>
    <t>Number of additional children outcome 9 Age 40</t>
  </si>
  <si>
    <t>Number of additional children outcome 10 Age 2</t>
  </si>
  <si>
    <t>Number of additional children outcome 10 Age 3</t>
  </si>
  <si>
    <t>Number of additional children outcome 10 Age 4</t>
  </si>
  <si>
    <t>Number of additional children outcome 10 Age 5</t>
  </si>
  <si>
    <t>Number of additional children outcome 10 Age 6</t>
  </si>
  <si>
    <t>Number of additional children outcome 10 Age 7</t>
  </si>
  <si>
    <t>Number of additional children outcome 10 Age 8</t>
  </si>
  <si>
    <t>Number of additional children outcome 10 Age 9</t>
  </si>
  <si>
    <t>Number of additional children outcome 10 Age 10</t>
  </si>
  <si>
    <t>Number of additional children outcome 10 Age 11</t>
  </si>
  <si>
    <t>Number of additional children outcome 10 Age 12</t>
  </si>
  <si>
    <t>Number of additional children outcome 10 Age 13</t>
  </si>
  <si>
    <t>Number of additional children outcome 10 Age 14</t>
  </si>
  <si>
    <t>Number of additional children outcome 10 Age 15</t>
  </si>
  <si>
    <t>Number of additional children outcome 10 Age 16</t>
  </si>
  <si>
    <t>Number of additional children outcome 10 Age 17</t>
  </si>
  <si>
    <t>Number of additional children outcome 10 Age 18</t>
  </si>
  <si>
    <t>Number of additional children outcome 10 Age 19</t>
  </si>
  <si>
    <t>Number of additional children outcome 10 Age 20</t>
  </si>
  <si>
    <t>Number of additional children outcome 10 Age 21</t>
  </si>
  <si>
    <t>Number of additional children outcome 10 Age 22</t>
  </si>
  <si>
    <t>Number of additional children outcome 10 Age 23</t>
  </si>
  <si>
    <t>Number of additional children outcome 10 Age 24</t>
  </si>
  <si>
    <t>Number of additional children outcome 10 Age 25</t>
  </si>
  <si>
    <t>Number of additional children outcome 10 Age 26</t>
  </si>
  <si>
    <t>Number of additional children outcome 10 Age 27</t>
  </si>
  <si>
    <t>Number of additional children outcome 10 Age 28</t>
  </si>
  <si>
    <t>Number of additional children outcome 10 Age 29</t>
  </si>
  <si>
    <t>Number of additional children outcome 10 Age 30</t>
  </si>
  <si>
    <t>Number of additional children outcome 10 Age 31</t>
  </si>
  <si>
    <t>Number of additional children outcome 10 Age 32</t>
  </si>
  <si>
    <t>Number of additional children outcome 10 Age 33</t>
  </si>
  <si>
    <t>Number of additional children outcome 10 Age 34</t>
  </si>
  <si>
    <t>Number of additional children outcome 10 Age 35</t>
  </si>
  <si>
    <t>Number of additional children outcome 10 Age 36</t>
  </si>
  <si>
    <t>Number of additional children outcome 10 Age 37</t>
  </si>
  <si>
    <t>Number of additional children outcome 10 Age 38</t>
  </si>
  <si>
    <t>Number of additional children outcome 10 Age 39</t>
  </si>
  <si>
    <t>Number of additional children outcome 10 Age 40</t>
  </si>
  <si>
    <t>Number of additional children outcome 11 Age 2</t>
  </si>
  <si>
    <t>Number of additional children outcome 11 Age 3</t>
  </si>
  <si>
    <t>Number of additional children outcome 11 Age 4</t>
  </si>
  <si>
    <t>Number of additional children outcome 11 Age 5</t>
  </si>
  <si>
    <t>Number of additional children outcome 11 Age 6</t>
  </si>
  <si>
    <t>Number of additional children outcome 11 Age 7</t>
  </si>
  <si>
    <t>Number of additional children outcome 11 Age 8</t>
  </si>
  <si>
    <t>Number of additional children outcome 11 Age 9</t>
  </si>
  <si>
    <t>Number of additional children outcome 11 Age 10</t>
  </si>
  <si>
    <t>Number of additional children outcome 11 Age 11</t>
  </si>
  <si>
    <t>Number of additional children outcome 11 Age 12</t>
  </si>
  <si>
    <t>Number of additional children outcome 11 Age 13</t>
  </si>
  <si>
    <t>Number of additional children outcome 11 Age 14</t>
  </si>
  <si>
    <t>Number of additional children outcome 11 Age 15</t>
  </si>
  <si>
    <t>Number of additional children outcome 11 Age 16</t>
  </si>
  <si>
    <t>Number of additional children outcome 11 Age 17</t>
  </si>
  <si>
    <t>Number of additional children outcome 11 Age 18</t>
  </si>
  <si>
    <t>Number of additional children outcome 11 Age 19</t>
  </si>
  <si>
    <t>Number of additional children outcome 11 Age 20</t>
  </si>
  <si>
    <t>Number of additional children outcome 11 Age 21</t>
  </si>
  <si>
    <t>Number of additional children outcome 11 Age 22</t>
  </si>
  <si>
    <t>Number of additional children outcome 11 Age 23</t>
  </si>
  <si>
    <t>Number of additional children outcome 11 Age 24</t>
  </si>
  <si>
    <t>Number of additional children outcome 11 Age 25</t>
  </si>
  <si>
    <t>Number of additional children outcome 11 Age 26</t>
  </si>
  <si>
    <t>Number of additional children outcome 11 Age 27</t>
  </si>
  <si>
    <t>Number of additional children outcome 11 Age 28</t>
  </si>
  <si>
    <t>Number of additional children outcome 11 Age 29</t>
  </si>
  <si>
    <t>Number of additional children outcome 11 Age 30</t>
  </si>
  <si>
    <t>Number of additional children outcome 11 Age 31</t>
  </si>
  <si>
    <t>Number of additional children outcome 11 Age 32</t>
  </si>
  <si>
    <t>Number of additional children outcome 11 Age 33</t>
  </si>
  <si>
    <t>Number of additional children outcome 11 Age 34</t>
  </si>
  <si>
    <t>Number of additional children outcome 11 Age 35</t>
  </si>
  <si>
    <t>Number of additional children outcome 11 Age 36</t>
  </si>
  <si>
    <t>Number of additional children outcome 11 Age 37</t>
  </si>
  <si>
    <t>Number of additional children outcome 11 Age 38</t>
  </si>
  <si>
    <t>Number of additional children outcome 11 Age 39</t>
  </si>
  <si>
    <t>Number of additional children outcome 11 Age 40</t>
  </si>
  <si>
    <t>refers to short-term costs in 1st year per average child with that problem (i.e. reflects a probabilty that child is being treated fore the problem)</t>
  </si>
  <si>
    <t>Health utility weight (HUW) outcome 5 ASTH</t>
  </si>
  <si>
    <t>Health utility weight outcome 6 LRTI</t>
  </si>
  <si>
    <t>Health utility weight outcome 8 WAST</t>
  </si>
  <si>
    <t>Health utility weight outcome 9 CD</t>
  </si>
  <si>
    <t>Health utility weight outcome 10 AD</t>
  </si>
  <si>
    <t>Health utility weight outcome 11 ED</t>
  </si>
  <si>
    <t>Disability weight outcome 6 LRTI</t>
  </si>
  <si>
    <t>DALYs children outcome 2 LBW Lifetime</t>
  </si>
  <si>
    <t xml:space="preserve">Children impact </t>
  </si>
  <si>
    <t>DALYs children  outcome 8 Age 5</t>
  </si>
  <si>
    <t>DALYs children  outcome 8 Age 6</t>
  </si>
  <si>
    <t>DALYs children  outcome 8 Age 7</t>
  </si>
  <si>
    <t>DALYs children  outcome 8 Age 8</t>
  </si>
  <si>
    <t>DALYs children  outcome 8 Age 9</t>
  </si>
  <si>
    <t>DALYs children  outcome 8 Age 10</t>
  </si>
  <si>
    <t>DALYs children  outcome 8 Age 11</t>
  </si>
  <si>
    <t>DALYs children  outcome 8 Age 12</t>
  </si>
  <si>
    <t>DALYs children  outcome 8 Age 13</t>
  </si>
  <si>
    <t>DALYs children  outcome 8 Age 14</t>
  </si>
  <si>
    <t>DALYs children  outcome 8 Age 15</t>
  </si>
  <si>
    <t>DALYs children  outcome 8 Age 16</t>
  </si>
  <si>
    <t>DALYs children  outcome 8 Age 17</t>
  </si>
  <si>
    <t>DALYs children  outcome 8 Age 18</t>
  </si>
  <si>
    <t>DALYs children  outcome 8 Age 19</t>
  </si>
  <si>
    <t>DALYs children  outcome 8 Age 20</t>
  </si>
  <si>
    <t>DALYs children  outcome 8 Age 21</t>
  </si>
  <si>
    <t>DALYs children  outcome 8 Age 22</t>
  </si>
  <si>
    <t>DALYs children  outcome 8 Age 23</t>
  </si>
  <si>
    <t>DALYs children  outcome 8 Age 24</t>
  </si>
  <si>
    <t>DALYs children  outcome 8 Age 25</t>
  </si>
  <si>
    <t>DALYs children  outcome 8 Age 26</t>
  </si>
  <si>
    <t>DALYs children  outcome 8 Age 27</t>
  </si>
  <si>
    <t>DALYs children  outcome 8 Age 28</t>
  </si>
  <si>
    <t>DALYs children  outcome 8 Age 29</t>
  </si>
  <si>
    <t>DALYs children  outcome 8 Age 30</t>
  </si>
  <si>
    <t>DALYs children  outcome 8 Age 31</t>
  </si>
  <si>
    <t>DALYs children  outcome 8 Age 32</t>
  </si>
  <si>
    <t>DALYs children  outcome 8 Age 33</t>
  </si>
  <si>
    <t>DALYs children  outcome 8 Age 34</t>
  </si>
  <si>
    <t>DALYs children  outcome 8 Age 35</t>
  </si>
  <si>
    <t>DALYs children  outcome 8 Age 36</t>
  </si>
  <si>
    <t>DALYs children  outcome 8 Age 37</t>
  </si>
  <si>
    <t>DALYs children  outcome 8 Age 38</t>
  </si>
  <si>
    <t>DALYs children  outcome 8 Age 39</t>
  </si>
  <si>
    <t>DALYs children  outcome 8 Age 40</t>
  </si>
  <si>
    <t>Income loss children outcome 7 Age 16</t>
  </si>
  <si>
    <t>Income loss children outcome 7 Age 17</t>
  </si>
  <si>
    <t>Income loss children outcome 7 Age 18</t>
  </si>
  <si>
    <t>Income loss children outcome 7 Age 19</t>
  </si>
  <si>
    <t>Income loss children outcome 7 Age 20</t>
  </si>
  <si>
    <t>Income loss children outcome 7 Age 21</t>
  </si>
  <si>
    <t>Income loss children outcome 7 Age 22</t>
  </si>
  <si>
    <t>Income loss children outcome 7 Age 23</t>
  </si>
  <si>
    <t>Income loss children outcome 7 Age 24</t>
  </si>
  <si>
    <t>Income loss children outcome 7 Age 25</t>
  </si>
  <si>
    <t>Income loss children outcome 7 Age 26</t>
  </si>
  <si>
    <t>Income loss children outcome 7 Age 27</t>
  </si>
  <si>
    <t>Income loss children outcome 7 Age 28</t>
  </si>
  <si>
    <t>Income loss children outcome 7 Age 29</t>
  </si>
  <si>
    <t>Income loss children outcome 7 Age 30</t>
  </si>
  <si>
    <t>Income loss children outcome 7 Age 31</t>
  </si>
  <si>
    <t>Income loss children outcome 7 Age 32</t>
  </si>
  <si>
    <t>Income loss children outcome 7 Age 33</t>
  </si>
  <si>
    <t>Income loss children outcome 7 Age 34</t>
  </si>
  <si>
    <t>Income loss children outcome 7 Age 35</t>
  </si>
  <si>
    <t>Income loss children outcome 7 Age 36</t>
  </si>
  <si>
    <t>Income loss children outcome 7 Age 37</t>
  </si>
  <si>
    <t>Income loss children outcome 7 Age 38</t>
  </si>
  <si>
    <t>Income loss children outcome 7 Age 39</t>
  </si>
  <si>
    <t>Income loss children outcome 7 Age 40</t>
  </si>
  <si>
    <t>DALYs children  outcome 9 Age 5</t>
  </si>
  <si>
    <t>DALYs children  outcome 9 Age 6</t>
  </si>
  <si>
    <t>DALYs children  outcome 9 Age 7</t>
  </si>
  <si>
    <t>DALYs children  outcome 9 Age 8</t>
  </si>
  <si>
    <t>DALYs children  outcome 9 Age 9</t>
  </si>
  <si>
    <t>DALYs children  outcome 9 Age 10</t>
  </si>
  <si>
    <t>DALYs children  outcome 9 Age 11</t>
  </si>
  <si>
    <t>DALYs children  outcome 9 Age 12</t>
  </si>
  <si>
    <t>DALYs children  outcome 9 Age 13</t>
  </si>
  <si>
    <t>DALYs children  outcome 9 Age 14</t>
  </si>
  <si>
    <t>DALYs children  outcome 9 Age 15</t>
  </si>
  <si>
    <t>DALYs children  outcome 9 Age 16</t>
  </si>
  <si>
    <t>DALYs children  outcome 9 Age 17</t>
  </si>
  <si>
    <t>DALYs children  outcome 9 Age 18</t>
  </si>
  <si>
    <t>DALYs children  outcome 9 Age 19</t>
  </si>
  <si>
    <t>DALYs children  outcome 9 Age 20</t>
  </si>
  <si>
    <t>DALYs children  outcome 9 Age 21</t>
  </si>
  <si>
    <t>DALYs children  outcome 9 Age 22</t>
  </si>
  <si>
    <t>DALYs children  outcome 9 Age 23</t>
  </si>
  <si>
    <t>DALYs children  outcome 9 Age 24</t>
  </si>
  <si>
    <t>DALYs children  outcome 9 Age 25</t>
  </si>
  <si>
    <t>DALYs children  outcome 9 Age 26</t>
  </si>
  <si>
    <t>DALYs children  outcome 9 Age 27</t>
  </si>
  <si>
    <t>DALYs children  outcome 9 Age 28</t>
  </si>
  <si>
    <t>DALYs children  outcome 9 Age 29</t>
  </si>
  <si>
    <t>DALYs children  outcome 9 Age 30</t>
  </si>
  <si>
    <t>DALYs children  outcome 9 Age 31</t>
  </si>
  <si>
    <t>DALYs children  outcome 9 Age 32</t>
  </si>
  <si>
    <t>DALYs children  outcome 9 Age 33</t>
  </si>
  <si>
    <t>DALYs children  outcome 9 Age 34</t>
  </si>
  <si>
    <t>DALYs children  outcome 9 Age 35</t>
  </si>
  <si>
    <t>DALYs children  outcome 9 Age 36</t>
  </si>
  <si>
    <t>DALYs children  outcome 9 Age 37</t>
  </si>
  <si>
    <t>DALYs children  outcome 9 Age 38</t>
  </si>
  <si>
    <t>DALYs children  outcome 9 Age 39</t>
  </si>
  <si>
    <t>DALYs children  outcome 9 Age 40</t>
  </si>
  <si>
    <t>DALYs children  outcome 10 Age 5</t>
  </si>
  <si>
    <t>DALYs children  outcome 10 Age 6</t>
  </si>
  <si>
    <t>DALYs children  outcome 10 Age 7</t>
  </si>
  <si>
    <t>DALYs children  outcome 10 Age 8</t>
  </si>
  <si>
    <t>DALYs children  outcome 10 Age 9</t>
  </si>
  <si>
    <t>DALYs children  outcome 10 Age 10</t>
  </si>
  <si>
    <t>DALYs children  outcome 10 Age 11</t>
  </si>
  <si>
    <t>DALYs children  outcome 10 Age 12</t>
  </si>
  <si>
    <t>DALYs children  outcome 10 Age 13</t>
  </si>
  <si>
    <t>DALYs children  outcome 10 Age 14</t>
  </si>
  <si>
    <t>DALYs children  outcome 10 Age 15</t>
  </si>
  <si>
    <t>DALYs children  outcome 10 Age 16</t>
  </si>
  <si>
    <t>DALYs children  outcome 10 Age 17</t>
  </si>
  <si>
    <t>DALYs children  outcome 10 Age 18</t>
  </si>
  <si>
    <t>DALYs children  outcome 10 Age 19</t>
  </si>
  <si>
    <t>DALYs children  outcome 10 Age 20</t>
  </si>
  <si>
    <t>DALYs children  outcome 10 Age 21</t>
  </si>
  <si>
    <t>DALYs children  outcome 10 Age 22</t>
  </si>
  <si>
    <t>DALYs children  outcome 10 Age 23</t>
  </si>
  <si>
    <t>DALYs children  outcome 10 Age 24</t>
  </si>
  <si>
    <t>DALYs children  outcome 10 Age 25</t>
  </si>
  <si>
    <t>DALYs children  outcome 10 Age 26</t>
  </si>
  <si>
    <t>DALYs children  outcome 10 Age 27</t>
  </si>
  <si>
    <t>DALYs children  outcome 10 Age 28</t>
  </si>
  <si>
    <t>DALYs children  outcome 10 Age 29</t>
  </si>
  <si>
    <t>DALYs children  outcome 10 Age 30</t>
  </si>
  <si>
    <t>DALYs children  outcome 10 Age 31</t>
  </si>
  <si>
    <t>DALYs children  outcome 10 Age 32</t>
  </si>
  <si>
    <t>DALYs children  outcome 10 Age 33</t>
  </si>
  <si>
    <t>DALYs children  outcome 10 Age 34</t>
  </si>
  <si>
    <t>DALYs children  outcome 10 Age 35</t>
  </si>
  <si>
    <t>DALYs children  outcome 10 Age 36</t>
  </si>
  <si>
    <t>DALYs children  outcome 10 Age 37</t>
  </si>
  <si>
    <t>DALYs children  outcome 10 Age 38</t>
  </si>
  <si>
    <t>DALYs children  outcome 10 Age 39</t>
  </si>
  <si>
    <t>DALYs children  outcome 10 Age 40</t>
  </si>
  <si>
    <t>DALYs children  outcome 11 Age 40</t>
  </si>
  <si>
    <t>DALYs children  outcome 11 Age 5</t>
  </si>
  <si>
    <t>DALYs children  outcome 11 Age 6</t>
  </si>
  <si>
    <t>DALYs children  outcome 11 Age 7</t>
  </si>
  <si>
    <t>DALYs children  outcome 11 Age 8</t>
  </si>
  <si>
    <t>DALYs children  outcome 11 Age 9</t>
  </si>
  <si>
    <t>DALYs children  outcome 11 Age 10</t>
  </si>
  <si>
    <t>DALYs children  outcome 11 Age 11</t>
  </si>
  <si>
    <t>DALYs children  outcome 11 Age 12</t>
  </si>
  <si>
    <t>DALYs children  outcome 11 Age 13</t>
  </si>
  <si>
    <t>DALYs children  outcome 11 Age 14</t>
  </si>
  <si>
    <t>DALYs children  outcome 11 Age 15</t>
  </si>
  <si>
    <t>DALYs children  outcome 11 Age 16</t>
  </si>
  <si>
    <t>DALYs children  outcome 11 Age 17</t>
  </si>
  <si>
    <t>DALYs children  outcome 11 Age 18</t>
  </si>
  <si>
    <t>DALYs children  outcome 11 Age 19</t>
  </si>
  <si>
    <t>DALYs children  outcome 11 Age 20</t>
  </si>
  <si>
    <t>DALYs children  outcome 11 Age 21</t>
  </si>
  <si>
    <t>DALYs children  outcome 11 Age 22</t>
  </si>
  <si>
    <t>DALYs children  outcome 11 Age 23</t>
  </si>
  <si>
    <t>DALYs children  outcome 11 Age 24</t>
  </si>
  <si>
    <t>DALYs children  outcome 11 Age 25</t>
  </si>
  <si>
    <t>DALYs children  outcome 11 Age 26</t>
  </si>
  <si>
    <t>DALYs children  outcome 11 Age 27</t>
  </si>
  <si>
    <t>DALYs children  outcome 11 Age 28</t>
  </si>
  <si>
    <t>DALYs children  outcome 11 Age 29</t>
  </si>
  <si>
    <t>DALYs children  outcome 11 Age 30</t>
  </si>
  <si>
    <t>DALYs children  outcome 11 Age 31</t>
  </si>
  <si>
    <t>DALYs children  outcome 11 Age 32</t>
  </si>
  <si>
    <t>DALYs children  outcome 11 Age 33</t>
  </si>
  <si>
    <t>DALYs children  outcome 11 Age 34</t>
  </si>
  <si>
    <t>DALYs children  outcome 11 Age 35</t>
  </si>
  <si>
    <t>DALYs children  outcome 11 Age 36</t>
  </si>
  <si>
    <t>DALYs children  outcome 11 Age 37</t>
  </si>
  <si>
    <t>DALYs children  outcome 11 Age 38</t>
  </si>
  <si>
    <t>DALYs children  outcome 11 Age 39</t>
  </si>
  <si>
    <t>Hospital cost outcome 1 Age 0 to 1</t>
  </si>
  <si>
    <t>Hospital cost outcome 2 Age 0 to 1</t>
  </si>
  <si>
    <t>Hospital cost outcome 4 Age 0 to 1</t>
  </si>
  <si>
    <t>Hospital cost outcome 5 Age 0 to 1</t>
  </si>
  <si>
    <t>Hospital cost outcome 6 Age 0 to 1</t>
  </si>
  <si>
    <t xml:space="preserve">DALY loss Mothers depression </t>
  </si>
  <si>
    <t>DALY loss Mothers anxiety</t>
  </si>
  <si>
    <t>Hospital cost outcome 7 Age 0 to 1</t>
  </si>
  <si>
    <t>Hospital cost outcome 8 Age 0 to 1</t>
  </si>
  <si>
    <t>Income loss children outcome 9 Age 16</t>
  </si>
  <si>
    <t>Income loss children outcome 9 Age 17</t>
  </si>
  <si>
    <t>Income loss children outcome 9 Age 18</t>
  </si>
  <si>
    <t>Income loss children outcome 9 Age 19</t>
  </si>
  <si>
    <t>Income loss children outcome 9 Age 20</t>
  </si>
  <si>
    <t>Income loss children outcome 9 Age 21</t>
  </si>
  <si>
    <t>Income loss children outcome 9 Age 22</t>
  </si>
  <si>
    <t>Income loss children outcome 9 Age 23</t>
  </si>
  <si>
    <t>Income loss children outcome 9 Age 24</t>
  </si>
  <si>
    <t>Income loss children outcome 9 Age 25</t>
  </si>
  <si>
    <t>Income loss children outcome 9 Age 26</t>
  </si>
  <si>
    <t>Income loss children outcome 9 Age 27</t>
  </si>
  <si>
    <t>Income loss children outcome 9 Age 28</t>
  </si>
  <si>
    <t>Income loss children outcome 9 Age 29</t>
  </si>
  <si>
    <t>Income loss children outcome 9 Age 30</t>
  </si>
  <si>
    <t>Income loss children outcome 9 Age 31</t>
  </si>
  <si>
    <t>Income loss children outcome 9 Age 32</t>
  </si>
  <si>
    <t>Income loss children outcome 9 Age 33</t>
  </si>
  <si>
    <t>Income loss children outcome 9 Age 34</t>
  </si>
  <si>
    <t>Income loss children outcome 9 Age 35</t>
  </si>
  <si>
    <t>Income loss children outcome 9 Age 36</t>
  </si>
  <si>
    <t>Income loss children outcome 9 Age 37</t>
  </si>
  <si>
    <t>Income loss children outcome 9 Age 38</t>
  </si>
  <si>
    <t>Income loss children outcome 9 Age 39</t>
  </si>
  <si>
    <t>Income loss children outcome 9 Age 40</t>
  </si>
  <si>
    <t>Income loss children outcome 10 Age 16</t>
  </si>
  <si>
    <t>Income loss children outcome 10 Age 17</t>
  </si>
  <si>
    <t>Income loss children outcome 10 Age 18</t>
  </si>
  <si>
    <t>Income loss children outcome 10 Age 19</t>
  </si>
  <si>
    <t>Income loss children outcome 10 Age 20</t>
  </si>
  <si>
    <t>Income loss children outcome 10 Age 21</t>
  </si>
  <si>
    <t>Income loss children outcome 10 Age 22</t>
  </si>
  <si>
    <t>Income loss children outcome 10 Age 23</t>
  </si>
  <si>
    <t>Income loss children outcome 10 Age 24</t>
  </si>
  <si>
    <t>Income loss children outcome 10 Age 25</t>
  </si>
  <si>
    <t>Income loss children outcome 10 Age 26</t>
  </si>
  <si>
    <t>Income loss children outcome 10 Age 27</t>
  </si>
  <si>
    <t>Income loss children outcome 10 Age 28</t>
  </si>
  <si>
    <t>Income loss children outcome 10 Age 29</t>
  </si>
  <si>
    <t>Income loss children outcome 10 Age 30</t>
  </si>
  <si>
    <t>Income loss children outcome 10 Age 31</t>
  </si>
  <si>
    <t>Income loss children outcome 10 Age 32</t>
  </si>
  <si>
    <t>Income loss children outcome 10 Age 33</t>
  </si>
  <si>
    <t>Income loss children outcome 10 Age 34</t>
  </si>
  <si>
    <t>Income loss children outcome 10 Age 35</t>
  </si>
  <si>
    <t>Income loss children outcome 10 Age 36</t>
  </si>
  <si>
    <t>Income loss children outcome 10 Age 37</t>
  </si>
  <si>
    <t>Income loss children outcome 10 Age 38</t>
  </si>
  <si>
    <t>Income loss children outcome 10 Age 39</t>
  </si>
  <si>
    <t>Income loss children outcome 10 Age 40</t>
  </si>
  <si>
    <t>Income loss children outcome 11 Age 16</t>
  </si>
  <si>
    <t>Income loss children outcome 11 Age 17</t>
  </si>
  <si>
    <t>Income loss children outcome 11 Age 18</t>
  </si>
  <si>
    <t>Income loss children outcome 11 Age 19</t>
  </si>
  <si>
    <t>Income loss children outcome 11 Age 20</t>
  </si>
  <si>
    <t>Income loss children outcome 11 Age 21</t>
  </si>
  <si>
    <t>Income loss children outcome 11 Age 22</t>
  </si>
  <si>
    <t>Income loss children outcome 11 Age 23</t>
  </si>
  <si>
    <t>Income loss children outcome 11 Age 24</t>
  </si>
  <si>
    <t>Income loss children outcome 11 Age 25</t>
  </si>
  <si>
    <t>Income loss children outcome 11 Age 26</t>
  </si>
  <si>
    <t>Income loss children outcome 11 Age 27</t>
  </si>
  <si>
    <t>Income loss children outcome 11 Age 28</t>
  </si>
  <si>
    <t>Income loss children outcome 11 Age 29</t>
  </si>
  <si>
    <t>Income loss children outcome 11 Age 30</t>
  </si>
  <si>
    <t>Income loss children outcome 11 Age 31</t>
  </si>
  <si>
    <t>Income loss children outcome 11 Age 32</t>
  </si>
  <si>
    <t>Income loss children outcome 11 Age 33</t>
  </si>
  <si>
    <t>Income loss children outcome 11 Age 34</t>
  </si>
  <si>
    <t>Income loss children outcome 11 Age 35</t>
  </si>
  <si>
    <t>Income loss children outcome 11 Age 36</t>
  </si>
  <si>
    <t>Income loss children outcome 11 Age 37</t>
  </si>
  <si>
    <t>Income loss children outcome 11 Age 38</t>
  </si>
  <si>
    <t>Income loss children outcome 11 Age 39</t>
  </si>
  <si>
    <t>Income loss children outcome 11 Age 40</t>
  </si>
  <si>
    <t>Income loss discounted</t>
  </si>
  <si>
    <t xml:space="preserve">Healthcare costs 1st year only </t>
  </si>
  <si>
    <t>DALY loss Mothers suicide</t>
  </si>
  <si>
    <t>DALY loss Mothers depression in USD</t>
  </si>
  <si>
    <t>DALY loss Mothers anxiety in USD</t>
  </si>
  <si>
    <t>DALY loss Mothers suicide in USD</t>
  </si>
  <si>
    <t>DALYs women committing suicide ante and postnatal, in USD</t>
  </si>
  <si>
    <t>Income loss Mothers depression in USD</t>
  </si>
  <si>
    <t>Income loss Mothers anxiety in USD</t>
  </si>
  <si>
    <t>Healthcare expenditure children</t>
  </si>
  <si>
    <t>Childrens impact</t>
  </si>
  <si>
    <t xml:space="preserve">Mothers DALY loss mothers depression </t>
  </si>
  <si>
    <t>Mothers DALY loss mothers depression in USD</t>
  </si>
  <si>
    <t>Mothers DALY loss mothers anxiety</t>
  </si>
  <si>
    <t>Mothers DALY loss mothers anxiety in USD</t>
  </si>
  <si>
    <t>Mothers DALY loss mothers suicide</t>
  </si>
  <si>
    <t>Mothers DALY loss mothers suicide in USD</t>
  </si>
  <si>
    <t>Mothers income loss mothers depression in USD</t>
  </si>
  <si>
    <t>Mothers income loss mothers anxiety in USD</t>
  </si>
  <si>
    <t>Childrens healthcare cost Age 0 to 1 in USD</t>
  </si>
  <si>
    <t>DALYs children outcome 2 LBW Lifetime, in USD</t>
  </si>
  <si>
    <t>DALY loss Children</t>
  </si>
  <si>
    <t>DALY loss Children in USD</t>
  </si>
  <si>
    <t>Income loss Children in USD</t>
  </si>
  <si>
    <t>Total cost children</t>
  </si>
  <si>
    <t>Total cost mothers</t>
  </si>
  <si>
    <t>Childrens DALY loss total</t>
  </si>
  <si>
    <t>Childrens DALY loss outcome 1</t>
  </si>
  <si>
    <t>Childrens DALY loss outcome 2</t>
  </si>
  <si>
    <t>Childrens DALY loss outcome 3</t>
  </si>
  <si>
    <t>Childrens DALY loss outcome 4</t>
  </si>
  <si>
    <t>Childrens DALY loss outcome 5</t>
  </si>
  <si>
    <t>Childrens DALY loss outcome 6</t>
  </si>
  <si>
    <t>Childrens DALY loss outcome 7</t>
  </si>
  <si>
    <t>Childrens DALY loss outcome 8</t>
  </si>
  <si>
    <t>Childrens DALY loss outcome 9</t>
  </si>
  <si>
    <t>Childrens DALY loss outcome 10</t>
  </si>
  <si>
    <t>Childrens DALY loss outcome 11</t>
  </si>
  <si>
    <t>Childrens DALY loss in USD total</t>
  </si>
  <si>
    <t>Childrens DALY loss in USD outcome 1</t>
  </si>
  <si>
    <t>Childrens DALY loss in USD outcome 2</t>
  </si>
  <si>
    <t>Childrens DALY loss in USD outcome 3</t>
  </si>
  <si>
    <t>Childrens DALY loss in USD outcome 4</t>
  </si>
  <si>
    <t>Childrens DALY loss in USD outcome 5</t>
  </si>
  <si>
    <t>Childrens DALY loss in USD outcome 6</t>
  </si>
  <si>
    <t>Childrens DALY loss in USD outcome 7</t>
  </si>
  <si>
    <t>Childrens DALY loss in USD outcome 8</t>
  </si>
  <si>
    <t>Childrens DALY loss in USD outcome 9</t>
  </si>
  <si>
    <t>Childrens DALY loss in USD outcome 10</t>
  </si>
  <si>
    <t>Childrens DALY loss in USD outcome 11</t>
  </si>
  <si>
    <t>Childrens income loss in USD total</t>
  </si>
  <si>
    <t>Childrens income loss in USD outcome 9</t>
  </si>
  <si>
    <t>Childrens income loss in USD outcome 7</t>
  </si>
  <si>
    <t>Childrens income loss in USD outcome 10</t>
  </si>
  <si>
    <t>Childrens income loss in USD outcome 11</t>
  </si>
  <si>
    <t xml:space="preserve">Total cost mothers, in billion </t>
  </si>
  <si>
    <t>Total cost children, in billion</t>
  </si>
  <si>
    <t>Relative Risk</t>
  </si>
  <si>
    <t>*** Sam *** Changed all of these from "None" to "Relative Risk" as they were being interpreted as numbers by the code that reads in this excel file.</t>
  </si>
  <si>
    <t>*** Sam *** edited this to say "Children Impact". Before it was just blank.</t>
  </si>
  <si>
    <t>Prevalence / probability antenatal depression (moderate and severe only)</t>
  </si>
  <si>
    <t>Prevalence / probability ongoing anxiety</t>
  </si>
  <si>
    <t>Prevalence / probability antenatal anxiety (any) without depression</t>
  </si>
  <si>
    <t xml:space="preserve">Prevalence / probability postnatal anxiety (any) without depression </t>
  </si>
  <si>
    <r>
      <rPr>
        <sz val="11"/>
        <color theme="1"/>
        <rFont val="Aptos"/>
        <family val="2"/>
      </rPr>
      <t xml:space="preserve">This formula has been edited, it is now: </t>
    </r>
    <r>
      <rPr>
        <i/>
        <sz val="11"/>
        <color theme="1"/>
        <rFont val="Aptos"/>
        <family val="2"/>
      </rPr>
      <t xml:space="preserve">live births / (1 – stillbirth rate) </t>
    </r>
    <r>
      <rPr>
        <sz val="11"/>
        <color theme="1"/>
        <rFont val="Aptos"/>
        <family val="2"/>
      </rPr>
      <t xml:space="preserve">rather than </t>
    </r>
    <r>
      <rPr>
        <i/>
        <sz val="11"/>
        <color theme="1"/>
        <rFont val="Aptos"/>
        <family val="2"/>
      </rPr>
      <t>live births * (1 + stillbirth rate)</t>
    </r>
    <r>
      <rPr>
        <sz val="11"/>
        <color theme="1"/>
        <rFont val="Aptos"/>
        <family val="2"/>
      </rPr>
      <t xml:space="preserve">. This is because the stillbirths are not included in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and so </t>
    </r>
    <r>
      <rPr>
        <i/>
        <sz val="11"/>
        <color theme="1"/>
        <rFont val="Aptos"/>
        <family val="2"/>
      </rPr>
      <t>live births</t>
    </r>
    <r>
      <rPr>
        <sz val="11"/>
        <color theme="1"/>
        <rFont val="Aptos"/>
        <family val="2"/>
      </rPr>
      <t xml:space="preserve"> does not represent 100% of all births.</t>
    </r>
  </si>
  <si>
    <t>These formulae were edited to use inputs!E33.</t>
  </si>
  <si>
    <t>These formulae were edited to use the mortality rates corresponding to the correct age groups. Previously they all used the year 1 to year 5 mortality rate.</t>
  </si>
  <si>
    <t>Edited to use the mortality rates for the correct age range, as well as following on from the previous age rather than all being based on the age 2 number.</t>
  </si>
  <si>
    <t>These formulae contained the same errors as those for outcome 8, with an additional error in line 238 where the base number for outcome 10 was used rather than 9.</t>
  </si>
  <si>
    <t>These formulae contained the same errors as those for outcome 8.</t>
  </si>
  <si>
    <t>Formula corrected. The formula was using D149 rather than D150.</t>
  </si>
  <si>
    <t>Formulae corrected: the final term (the exponent) in all formulae was wrong. They have been edited go back to E100 at age 5 for each outcome, and incrementally up from there.</t>
  </si>
  <si>
    <t>This formula has been corrected. It used to refer to inputs!E352 which does not exist, rather than E27 as it should.</t>
  </si>
  <si>
    <t>Total DALY loss Mothers in USD</t>
  </si>
  <si>
    <t>Million Dollars</t>
  </si>
  <si>
    <t>Income loss women depression antenatal</t>
  </si>
  <si>
    <t>Income loss women depression postnatal</t>
  </si>
  <si>
    <t>Income loss women depression Year +1</t>
  </si>
  <si>
    <t>Income loss women depression Year +2</t>
  </si>
  <si>
    <t>Income loss women depression Year +3</t>
  </si>
  <si>
    <t>Income loss women depression Year +4</t>
  </si>
  <si>
    <t>Income loss women depression Year +5</t>
  </si>
  <si>
    <t>Income loss women depression Year +6</t>
  </si>
  <si>
    <t>Income loss women depression Year +7</t>
  </si>
  <si>
    <t>Income loss women depression Year +8</t>
  </si>
  <si>
    <t>Income loss women depression Year +9</t>
  </si>
  <si>
    <t>Income loss women depression Year +10</t>
  </si>
  <si>
    <t>Disability weight outcome 8</t>
  </si>
  <si>
    <t>Disability weight outcome 9</t>
  </si>
  <si>
    <t>Disability weight outcome 10</t>
  </si>
  <si>
    <t>Disability weight outcome 11</t>
  </si>
  <si>
    <t>DALYs children outcome 8 Age 5, in USD</t>
  </si>
  <si>
    <t>DALYs children outcome 8 Age 6, in USD</t>
  </si>
  <si>
    <t>DALYs children outcome 8 Age 7, in USD</t>
  </si>
  <si>
    <t>DALYs children outcome 8 Age 8, in USD</t>
  </si>
  <si>
    <t>DALYs children outcome 8 Age 9, in USD</t>
  </si>
  <si>
    <t>DALYs children outcome 8 Age 10, in USD</t>
  </si>
  <si>
    <t>DALYs children outcome 8 Age 11, in USD</t>
  </si>
  <si>
    <t>DALYs children outcome 8 Age 12, in USD</t>
  </si>
  <si>
    <t>DALYs children outcome 8 Age 13, in USD</t>
  </si>
  <si>
    <t>DALYs children outcome 8 Age 14, in USD</t>
  </si>
  <si>
    <t>DALYs children outcome 8 Age 15, in USD</t>
  </si>
  <si>
    <t>DALYs children outcome 8 Age 16, in USD</t>
  </si>
  <si>
    <t>DALYs children outcome 8 Age 17, in USD</t>
  </si>
  <si>
    <t>DALYs children outcome 8 Age 18, in USD</t>
  </si>
  <si>
    <t>DALYs children outcome 8 Age 19, in USD</t>
  </si>
  <si>
    <t>DALYs children outcome 8 Age 20, in USD</t>
  </si>
  <si>
    <t>DALYs children outcome 8 Age 21, in USD</t>
  </si>
  <si>
    <t>DALYs children outcome 8 Age 22, in USD</t>
  </si>
  <si>
    <t>DALYs children outcome 8 Age 23, in USD</t>
  </si>
  <si>
    <t>DALYs children outcome 8 Age 24, in USD</t>
  </si>
  <si>
    <t>DALYs children outcome 8 Age 25, in USD</t>
  </si>
  <si>
    <t>DALYs children outcome 8 Age 26, in USD</t>
  </si>
  <si>
    <t>DALYs children outcome 8 Age 27, in USD</t>
  </si>
  <si>
    <t>DALYs children outcome 8 Age 28, in USD</t>
  </si>
  <si>
    <t>DALYs children outcome 8 Age 29, in USD</t>
  </si>
  <si>
    <t>DALYs children outcome 8 Age 30, in USD</t>
  </si>
  <si>
    <t>DALYs children outcome 8 Age 31, in USD</t>
  </si>
  <si>
    <t>DALYs children outcome 8 Age 32, in USD</t>
  </si>
  <si>
    <t>DALYs children outcome 8 Age 33, in USD</t>
  </si>
  <si>
    <t>DALYs children outcome 8 Age 34, in USD</t>
  </si>
  <si>
    <t>DALYs children outcome 8 Age 35, in USD</t>
  </si>
  <si>
    <t>DALYs children outcome 8 Age 36, in USD</t>
  </si>
  <si>
    <t>DALYs children outcome 8 Age 37, in USD</t>
  </si>
  <si>
    <t>DALYs children outcome 8 Age 38, in USD</t>
  </si>
  <si>
    <t>DALYs children outcome 8 Age 39, in USD</t>
  </si>
  <si>
    <t>DALYs children outcome 8 Age 40, in USD</t>
  </si>
  <si>
    <t>DALYs children outcome 9 Age 5, in USD</t>
  </si>
  <si>
    <t>DALYs children outcome 9 Age 6, in USD</t>
  </si>
  <si>
    <t>DALYs children outcome 9 Age 7, in USD</t>
  </si>
  <si>
    <t>DALYs children outcome 9 Age 8, in USD</t>
  </si>
  <si>
    <t>DALYs children outcome 9 Age 9, in USD</t>
  </si>
  <si>
    <t>DALYs children outcome 9 Age 10, in USD</t>
  </si>
  <si>
    <t>DALYs children outcome 9 Age 11, in USD</t>
  </si>
  <si>
    <t>DALYs children outcome 9 Age 12, in USD</t>
  </si>
  <si>
    <t>DALYs children outcome 9 Age 13, in USD</t>
  </si>
  <si>
    <t>DALYs children outcome 9 Age 14, in USD</t>
  </si>
  <si>
    <t>DALYs children outcome 9 Age 15, in USD</t>
  </si>
  <si>
    <t>DALYs children outcome 9 Age 16, in USD</t>
  </si>
  <si>
    <t>DALYs children outcome 9 Age 17, in USD</t>
  </si>
  <si>
    <t>DALYs children outcome 9 Age 18, in USD</t>
  </si>
  <si>
    <t>DALYs children outcome 9 Age 19, in USD</t>
  </si>
  <si>
    <t>DALYs children outcome 9 Age 20, in USD</t>
  </si>
  <si>
    <t>DALYs children outcome 9 Age 21, in USD</t>
  </si>
  <si>
    <t>DALYs children outcome 9 Age 22, in USD</t>
  </si>
  <si>
    <t>DALYs children outcome 9 Age 23, in USD</t>
  </si>
  <si>
    <t>DALYs children outcome 9 Age 24, in USD</t>
  </si>
  <si>
    <t>DALYs children outcome 9 Age 25, in USD</t>
  </si>
  <si>
    <t>DALYs children outcome 9 Age 26, in USD</t>
  </si>
  <si>
    <t>DALYs children outcome 9 Age 27, in USD</t>
  </si>
  <si>
    <t>DALYs children outcome 9 Age 28, in USD</t>
  </si>
  <si>
    <t>DALYs children outcome 9 Age 29, in USD</t>
  </si>
  <si>
    <t>DALYs children outcome 9 Age 30, in USD</t>
  </si>
  <si>
    <t>DALYs children outcome 9 Age 31, in USD</t>
  </si>
  <si>
    <t>DALYs children outcome 9 Age 32, in USD</t>
  </si>
  <si>
    <t>DALYs children outcome 9 Age 33, in USD</t>
  </si>
  <si>
    <t>DALYs children outcome 9 Age 34, in USD</t>
  </si>
  <si>
    <t>DALYs children outcome 9 Age 35, in USD</t>
  </si>
  <si>
    <t>DALYs children outcome 9 Age 36, in USD</t>
  </si>
  <si>
    <t>DALYs children outcome 9 Age 37, in USD</t>
  </si>
  <si>
    <t>DALYs children outcome 9 Age 38, in USD</t>
  </si>
  <si>
    <t>DALYs children outcome 9 Age 39, in USD</t>
  </si>
  <si>
    <t>DALYs children outcome 9 Age 40, in USD</t>
  </si>
  <si>
    <t>DALYs children outcome 10 Age 5, in USD</t>
  </si>
  <si>
    <t>DALYs children outcome 10 Age 6, in USD</t>
  </si>
  <si>
    <t>DALYs children outcome 10 Age 7, in USD</t>
  </si>
  <si>
    <t>DALYs children outcome 10 Age 8, in USD</t>
  </si>
  <si>
    <t>DALYs children outcome 10 Age 9, in USD</t>
  </si>
  <si>
    <t>DALYs children outcome 10 Age 10, in USD</t>
  </si>
  <si>
    <t>DALYs children outcome 10 Age 11, in USD</t>
  </si>
  <si>
    <t>DALYs children outcome 10 Age 12, in USD</t>
  </si>
  <si>
    <t>DALYs children outcome 10 Age 13, in USD</t>
  </si>
  <si>
    <t>DALYs children outcome 10 Age 14, in USD</t>
  </si>
  <si>
    <t>DALYs children outcome 10 Age 15, in USD</t>
  </si>
  <si>
    <t>DALYs children outcome 10 Age 16, in USD</t>
  </si>
  <si>
    <t>DALYs children outcome 10 Age 17, in USD</t>
  </si>
  <si>
    <t>DALYs children outcome 10 Age 18, in USD</t>
  </si>
  <si>
    <t>DALYs children outcome 10 Age 19, in USD</t>
  </si>
  <si>
    <t>DALYs children outcome 10 Age 20, in USD</t>
  </si>
  <si>
    <t>DALYs children outcome 10 Age 21, in USD</t>
  </si>
  <si>
    <t>DALYs children outcome 10 Age 22, in USD</t>
  </si>
  <si>
    <t>DALYs children outcome 10 Age 23, in USD</t>
  </si>
  <si>
    <t>DALYs children outcome 10 Age 24, in USD</t>
  </si>
  <si>
    <t>DALYs children outcome 10 Age 25, in USD</t>
  </si>
  <si>
    <t>DALYs children outcome 10 Age 26, in USD</t>
  </si>
  <si>
    <t>DALYs children outcome 10 Age 27, in USD</t>
  </si>
  <si>
    <t>DALYs children outcome 10 Age 28, in USD</t>
  </si>
  <si>
    <t>DALYs children outcome 10 Age 29, in USD</t>
  </si>
  <si>
    <t>DALYs children outcome 10 Age 30, in USD</t>
  </si>
  <si>
    <t>DALYs children outcome 10 Age 31, in USD</t>
  </si>
  <si>
    <t>DALYs children outcome 10 Age 32, in USD</t>
  </si>
  <si>
    <t>DALYs children outcome 10 Age 33, in USD</t>
  </si>
  <si>
    <t>DALYs children outcome 10 Age 34, in USD</t>
  </si>
  <si>
    <t>DALYs children outcome 10 Age 35, in USD</t>
  </si>
  <si>
    <t>DALYs children outcome 10 Age 36, in USD</t>
  </si>
  <si>
    <t>DALYs children outcome 10 Age 37, in USD</t>
  </si>
  <si>
    <t>DALYs children outcome 10 Age 38, in USD</t>
  </si>
  <si>
    <t>DALYs children outcome 10 Age 39, in USD</t>
  </si>
  <si>
    <t>DALYs children outcome 10 Age 40, in USD</t>
  </si>
  <si>
    <t>DALYs children outcome 11 Age 5, in USD</t>
  </si>
  <si>
    <t>DALYs children outcome 11 Age 6, in USD</t>
  </si>
  <si>
    <t>DALYs children outcome 11 Age 7, in USD</t>
  </si>
  <si>
    <t>DALYs children outcome 11 Age 8, in USD</t>
  </si>
  <si>
    <t>DALYs children outcome 11 Age 9, in USD</t>
  </si>
  <si>
    <t>DALYs children outcome 11 Age 10, in USD</t>
  </si>
  <si>
    <t>DALYs children outcome 11 Age 11, in USD</t>
  </si>
  <si>
    <t>DALYs children outcome 11 Age 12, in USD</t>
  </si>
  <si>
    <t>DALYs children outcome 11 Age 13, in USD</t>
  </si>
  <si>
    <t>DALYs children outcome 11 Age 14, in USD</t>
  </si>
  <si>
    <t>DALYs children outcome 11 Age 15, in USD</t>
  </si>
  <si>
    <t>DALYs children outcome 11 Age 16, in USD</t>
  </si>
  <si>
    <t>DALYs children outcome 11 Age 17, in USD</t>
  </si>
  <si>
    <t>DALYs children outcome 11 Age 18, in USD</t>
  </si>
  <si>
    <t>DALYs children outcome 11 Age 19, in USD</t>
  </si>
  <si>
    <t>DALYs children outcome 11 Age 20, in USD</t>
  </si>
  <si>
    <t>DALYs children outcome 11 Age 21, in USD</t>
  </si>
  <si>
    <t>DALYs children outcome 11 Age 22, in USD</t>
  </si>
  <si>
    <t>DALYs children outcome 11 Age 23, in USD</t>
  </si>
  <si>
    <t>DALYs children outcome 11 Age 24, in USD</t>
  </si>
  <si>
    <t>DALYs children outcome 11 Age 25, in USD</t>
  </si>
  <si>
    <t>DALYs children outcome 11 Age 26, in USD</t>
  </si>
  <si>
    <t>DALYs children outcome 11 Age 27, in USD</t>
  </si>
  <si>
    <t>DALYs children outcome 11 Age 28, in USD</t>
  </si>
  <si>
    <t>DALYs children outcome 11 Age 29, in USD</t>
  </si>
  <si>
    <t>DALYs children outcome 11 Age 30, in USD</t>
  </si>
  <si>
    <t>DALYs children outcome 11 Age 31, in USD</t>
  </si>
  <si>
    <t>DALYs children outcome 11 Age 32, in USD</t>
  </si>
  <si>
    <t>DALYs children outcome 11 Age 33, in USD</t>
  </si>
  <si>
    <t>DALYs children outcome 11 Age 34, in USD</t>
  </si>
  <si>
    <t>DALYs children outcome 11 Age 35, in USD</t>
  </si>
  <si>
    <t>DALYs children outcome 11 Age 36, in USD</t>
  </si>
  <si>
    <t>DALYs children outcome 11 Age 37, in USD</t>
  </si>
  <si>
    <t>DALYs children outcome 11 Age 38, in USD</t>
  </si>
  <si>
    <t>DALYs children outcome 11 Age 39, in USD</t>
  </si>
  <si>
    <t>DALYs children outcome 11 Age 40, in USD</t>
  </si>
  <si>
    <t>I removed outcome acronyms from these lines to make encoding in Python easier.</t>
  </si>
  <si>
    <t>N/A</t>
  </si>
  <si>
    <t>Tooltip</t>
  </si>
  <si>
    <t>insert tooltip here</t>
  </si>
  <si>
    <t>Mothers' impact</t>
  </si>
  <si>
    <t xml:space="preserve">Live births </t>
  </si>
  <si>
    <t>Children's impact</t>
  </si>
  <si>
    <t>Mortality birth year</t>
  </si>
  <si>
    <t>Mortality Years 1 to 5</t>
  </si>
  <si>
    <t>Mortality Years 6 to 10</t>
  </si>
  <si>
    <t>Mortality Years 11 to 20</t>
  </si>
  <si>
    <t>Mortality Years 21 to 25</t>
  </si>
  <si>
    <t>Mortality Years 26 to 30</t>
  </si>
  <si>
    <t>Mortality Years 31 to 40</t>
  </si>
  <si>
    <t>Outcome 1 pre-term birth</t>
  </si>
  <si>
    <t>Outcome 2 low birth weight</t>
  </si>
  <si>
    <t>Outcome 3 hospitalisation</t>
  </si>
  <si>
    <t>Outcome 4 diarrhoea</t>
  </si>
  <si>
    <t>Outcome 5 asthma/ severe recurring wheezing</t>
  </si>
  <si>
    <t>Outcome 6 lower respiratory tract infections</t>
  </si>
  <si>
    <t>Outcome 7 stunting</t>
  </si>
  <si>
    <t>Outcome 8 wasting</t>
  </si>
  <si>
    <t>Outcome 9 conduct disorder</t>
  </si>
  <si>
    <t>Outcome 10 attention disorder</t>
  </si>
  <si>
    <t>Outcome 11 emotional disorder</t>
  </si>
  <si>
    <t>Outcome 1</t>
  </si>
  <si>
    <t>Outcome 2</t>
  </si>
  <si>
    <t>Outcome 4</t>
  </si>
  <si>
    <t>Outcome 5</t>
  </si>
  <si>
    <t>Outcome 6</t>
  </si>
  <si>
    <t>Outcome 7</t>
  </si>
  <si>
    <t>Outcome 8</t>
  </si>
  <si>
    <t>Income decrement outcome 7 stunting</t>
  </si>
  <si>
    <t>Text input</t>
  </si>
  <si>
    <t>Display name</t>
  </si>
  <si>
    <t>Pre-term birth</t>
  </si>
  <si>
    <t>Low birth weight</t>
  </si>
  <si>
    <t>Hospitalisation</t>
  </si>
  <si>
    <t>Diarrhoea</t>
  </si>
  <si>
    <t>Asthma / severe recurring wheezing</t>
  </si>
  <si>
    <t>Lower respiratory tract infections</t>
  </si>
  <si>
    <t>Stunting</t>
  </si>
  <si>
    <t>Wasting</t>
  </si>
  <si>
    <t>Conduct disorder</t>
  </si>
  <si>
    <t>Attention disorder</t>
  </si>
  <si>
    <t>Emotional disorder</t>
  </si>
  <si>
    <t>Asthma/ severe recurring wheezing</t>
  </si>
  <si>
    <t>Birth year</t>
  </si>
  <si>
    <t>Years 1 to 5</t>
  </si>
  <si>
    <t>Years 6 to 10</t>
  </si>
  <si>
    <t>Years 11 to 20</t>
  </si>
  <si>
    <t>Years 21 to 25</t>
  </si>
  <si>
    <t>Years 26 to 30</t>
  </si>
  <si>
    <t>Years 31 to 40</t>
  </si>
  <si>
    <t>Prevalence antenatal depression (moderate or severe)</t>
  </si>
  <si>
    <t>Prevalence antenatal anxiety without depression</t>
  </si>
  <si>
    <t xml:space="preserve">Prevalence postnatal anxiety without depression </t>
  </si>
  <si>
    <t xml:space="preserve">Prevalence ongoing depression </t>
  </si>
  <si>
    <t>Prevalence ongoing anxiety</t>
  </si>
  <si>
    <t>Currency</t>
  </si>
  <si>
    <t>Income decrement: Stunting</t>
  </si>
  <si>
    <t>Income decrement: Conduct, Attention and Emotional disorders</t>
  </si>
  <si>
    <t>Income decrement anxiety women per year</t>
  </si>
  <si>
    <t>Income decrement depression women per year</t>
  </si>
  <si>
    <t>Prevalence age 0-1</t>
  </si>
  <si>
    <t>Prevalence age 1+</t>
  </si>
  <si>
    <t>Relative risk</t>
  </si>
  <si>
    <t>With antenatal mental health problems</t>
  </si>
  <si>
    <t>With postnatal mental health problems</t>
  </si>
  <si>
    <t>Valuing healthcare age 0-1, in USD</t>
  </si>
  <si>
    <t>Mother's DALY</t>
  </si>
  <si>
    <t>Mother's Income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</si>
</sst>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%"/>
    <numFmt numFmtId="167" formatCode="0.0000000"/>
  </numFmts>
  <fonts count="1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name val="Aptos Narrow"/>
      <scheme val="minor"/>
    </font>
    <font>
      <b/>
      <i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8"/>
      <name val="Aptos Narrow"/>
      <family val="2"/>
      <scheme val="minor"/>
    </font>
    <font>
      <b/>
      <i/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1"/>
      <color theme="1"/>
      <name val="Aptos"/>
      <family val="2"/>
    </font>
    <font>
      <i/>
      <sz val="11"/>
      <color theme="1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1">
    <xf numFmtId="0" fontId="0" fillId="0" borderId="0" xfId="0"/>
    <xf numFmtId="0" fontId="4" fillId="0" borderId="0" xfId="0" applyFont="1"/>
    <xf numFmtId="0" fontId="5" fillId="0" borderId="0" xfId="0" applyFont="1"/>
    <xf numFmtId="9" fontId="5" fillId="0" borderId="0" xfId="1" applyFont="1"/>
    <xf numFmtId="9" fontId="4" fillId="0" borderId="0" xfId="1" applyFont="1" applyFill="1" applyBorder="1"/>
    <xf numFmtId="9" fontId="0" fillId="0" borderId="0" xfId="1" applyFont="1"/>
    <xf numFmtId="1" fontId="0" fillId="0" borderId="0" xfId="1" applyNumberFormat="1" applyFont="1"/>
    <xf numFmtId="0" fontId="0" fillId="2" borderId="0" xfId="0" applyFill="1"/>
    <xf numFmtId="1" fontId="0" fillId="2" borderId="0" xfId="0" applyNumberFormat="1" applyFill="1"/>
    <xf numFmtId="0" fontId="8" fillId="0" borderId="0" xfId="0" applyFont="1"/>
    <xf numFmtId="1" fontId="0" fillId="0" borderId="0" xfId="0" applyNumberFormat="1"/>
    <xf numFmtId="0" fontId="0" fillId="3" borderId="0" xfId="0" applyFill="1"/>
    <xf numFmtId="0" fontId="0" fillId="4" borderId="0" xfId="0" applyFill="1"/>
    <xf numFmtId="1" fontId="0" fillId="4" borderId="0" xfId="0" applyNumberFormat="1" applyFill="1"/>
    <xf numFmtId="0" fontId="0" fillId="5" borderId="0" xfId="0" applyFill="1"/>
    <xf numFmtId="1" fontId="0" fillId="5" borderId="0" xfId="0" applyNumberFormat="1" applyFill="1"/>
    <xf numFmtId="0" fontId="0" fillId="6" borderId="0" xfId="0" applyFill="1"/>
    <xf numFmtId="0" fontId="2" fillId="7" borderId="0" xfId="0" applyFont="1" applyFill="1"/>
    <xf numFmtId="165" fontId="0" fillId="7" borderId="0" xfId="1" applyNumberFormat="1" applyFont="1" applyFill="1"/>
    <xf numFmtId="0" fontId="0" fillId="7" borderId="0" xfId="0" applyFill="1"/>
    <xf numFmtId="1" fontId="0" fillId="7" borderId="0" xfId="0" applyNumberFormat="1" applyFill="1"/>
    <xf numFmtId="0" fontId="2" fillId="0" borderId="0" xfId="0" applyFont="1"/>
    <xf numFmtId="1" fontId="2" fillId="0" borderId="0" xfId="1" applyNumberFormat="1" applyFont="1" applyFill="1" applyBorder="1"/>
    <xf numFmtId="164" fontId="2" fillId="0" borderId="0" xfId="1" applyNumberFormat="1" applyFont="1" applyFill="1" applyBorder="1"/>
    <xf numFmtId="10" fontId="2" fillId="0" borderId="0" xfId="1" applyNumberFormat="1" applyFont="1" applyFill="1" applyBorder="1"/>
    <xf numFmtId="9" fontId="2" fillId="0" borderId="0" xfId="1" applyFont="1" applyFill="1" applyBorder="1"/>
    <xf numFmtId="0" fontId="2" fillId="0" borderId="0" xfId="1" applyNumberFormat="1" applyFont="1" applyFill="1" applyBorder="1"/>
    <xf numFmtId="9" fontId="3" fillId="0" borderId="0" xfId="1" applyFont="1" applyFill="1" applyBorder="1"/>
    <xf numFmtId="9" fontId="0" fillId="0" borderId="0" xfId="1" applyFont="1" applyFill="1"/>
    <xf numFmtId="165" fontId="0" fillId="0" borderId="0" xfId="1" applyNumberFormat="1" applyFont="1" applyFill="1"/>
    <xf numFmtId="164" fontId="0" fillId="0" borderId="0" xfId="1" applyNumberFormat="1" applyFont="1" applyFill="1"/>
    <xf numFmtId="1" fontId="0" fillId="0" borderId="0" xfId="1" applyNumberFormat="1" applyFont="1" applyFill="1"/>
    <xf numFmtId="2" fontId="0" fillId="0" borderId="0" xfId="1" applyNumberFormat="1" applyFont="1" applyFill="1"/>
    <xf numFmtId="10" fontId="0" fillId="0" borderId="0" xfId="1" applyNumberFormat="1" applyFont="1" applyFill="1"/>
    <xf numFmtId="166" fontId="0" fillId="0" borderId="0" xfId="1" applyNumberFormat="1" applyFont="1" applyFill="1"/>
    <xf numFmtId="0" fontId="0" fillId="0" borderId="0" xfId="1" applyNumberFormat="1" applyFont="1" applyFill="1"/>
    <xf numFmtId="0" fontId="2" fillId="0" borderId="0" xfId="0" applyFont="1" applyAlignment="1">
      <alignment wrapText="1"/>
    </xf>
    <xf numFmtId="0" fontId="7" fillId="0" borderId="0" xfId="0" applyFont="1"/>
    <xf numFmtId="165" fontId="0" fillId="0" borderId="0" xfId="0" applyNumberFormat="1"/>
    <xf numFmtId="0" fontId="9" fillId="0" borderId="0" xfId="0" applyFont="1" applyAlignment="1">
      <alignment horizontal="left" vertical="center" indent="5"/>
    </xf>
    <xf numFmtId="167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aulemiledugnat/Desktop/malawi_spreadsheet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dmin Population"/>
      <sheetName val="Admin Training &amp; supervision"/>
      <sheetName val="Admin Screening &amp; treatment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7E1ED-3367-CE4A-8E14-9A806A5DCF40}">
  <dimension ref="A1:EY140"/>
  <sheetViews>
    <sheetView tabSelected="1" topLeftCell="D1" zoomScale="85" zoomScaleNormal="85" workbookViewId="0">
      <selection activeCell="E13" sqref="E13"/>
    </sheetView>
  </sheetViews>
  <sheetFormatPr defaultColWidth="11.19921875" defaultRowHeight="15.6" x14ac:dyDescent="0.3"/>
  <cols>
    <col min="2" max="2" width="25.69921875" customWidth="1"/>
    <col min="3" max="3" width="51.19921875" customWidth="1"/>
    <col min="4" max="4" width="88.8984375" customWidth="1"/>
    <col min="5" max="5" width="33.296875" style="5" bestFit="1" customWidth="1"/>
    <col min="6" max="6" width="16.69921875" bestFit="1" customWidth="1"/>
    <col min="7" max="8" width="12.296875" bestFit="1" customWidth="1"/>
    <col min="11" max="11" width="60.09765625" customWidth="1"/>
    <col min="12" max="12" width="16.59765625" customWidth="1"/>
    <col min="13" max="13" width="47.69921875" bestFit="1" customWidth="1"/>
  </cols>
  <sheetData>
    <row r="1" spans="1:155" x14ac:dyDescent="0.3">
      <c r="A1" s="2"/>
      <c r="B1" s="2"/>
      <c r="C1" s="2" t="s">
        <v>14</v>
      </c>
      <c r="D1" s="2" t="s">
        <v>12</v>
      </c>
      <c r="E1" s="3"/>
      <c r="F1" s="2"/>
      <c r="G1" s="2" t="s">
        <v>15</v>
      </c>
      <c r="H1" s="2" t="s">
        <v>15</v>
      </c>
      <c r="I1" s="2" t="s">
        <v>14</v>
      </c>
      <c r="J1" s="2"/>
      <c r="K1" s="2"/>
      <c r="L1" s="2"/>
      <c r="M1" s="2"/>
    </row>
    <row r="2" spans="1:155" x14ac:dyDescent="0.3">
      <c r="B2" s="1" t="s">
        <v>0</v>
      </c>
      <c r="C2" s="1" t="s">
        <v>1</v>
      </c>
      <c r="D2" s="1" t="s">
        <v>2</v>
      </c>
      <c r="E2" s="4" t="s">
        <v>7</v>
      </c>
      <c r="F2" s="1" t="s">
        <v>3</v>
      </c>
      <c r="G2" s="1" t="s">
        <v>4</v>
      </c>
      <c r="H2" s="1" t="s">
        <v>5</v>
      </c>
      <c r="I2" s="1" t="s">
        <v>6</v>
      </c>
      <c r="J2" s="1" t="s">
        <v>1017</v>
      </c>
      <c r="K2" s="1" t="s">
        <v>1018</v>
      </c>
      <c r="L2" s="1" t="s">
        <v>986</v>
      </c>
      <c r="M2" s="1" t="s">
        <v>8</v>
      </c>
    </row>
    <row r="3" spans="1:155" s="11" customFormat="1" x14ac:dyDescent="0.3">
      <c r="A3"/>
      <c r="B3" s="21" t="s">
        <v>988</v>
      </c>
      <c r="C3" t="s">
        <v>17</v>
      </c>
      <c r="D3" s="21" t="s">
        <v>989</v>
      </c>
      <c r="E3" s="22">
        <v>645273</v>
      </c>
      <c r="F3" s="21" t="s">
        <v>10</v>
      </c>
      <c r="G3" s="21">
        <v>0</v>
      </c>
      <c r="H3" s="21">
        <v>60000000</v>
      </c>
      <c r="I3" s="21" t="s">
        <v>26</v>
      </c>
      <c r="J3" s="21" t="s">
        <v>10</v>
      </c>
      <c r="K3" s="21" t="s">
        <v>989</v>
      </c>
      <c r="L3" s="21" t="s">
        <v>987</v>
      </c>
      <c r="M3" s="21" t="s">
        <v>245</v>
      </c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</row>
    <row r="4" spans="1:155" s="11" customFormat="1" x14ac:dyDescent="0.3">
      <c r="A4"/>
      <c r="B4" s="21" t="s">
        <v>988</v>
      </c>
      <c r="C4" t="s">
        <v>17</v>
      </c>
      <c r="D4" s="21" t="s">
        <v>246</v>
      </c>
      <c r="E4" s="23">
        <v>3.9</v>
      </c>
      <c r="F4" s="21" t="s">
        <v>10</v>
      </c>
      <c r="G4" s="21">
        <v>0</v>
      </c>
      <c r="H4" s="21">
        <v>20</v>
      </c>
      <c r="I4" s="21" t="s">
        <v>29</v>
      </c>
      <c r="J4" s="21" t="s">
        <v>9</v>
      </c>
      <c r="K4" s="21" t="s">
        <v>246</v>
      </c>
      <c r="L4" s="21" t="s">
        <v>987</v>
      </c>
      <c r="M4" s="21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</row>
    <row r="5" spans="1:155" s="11" customFormat="1" x14ac:dyDescent="0.3">
      <c r="A5"/>
      <c r="B5" s="21" t="s">
        <v>988</v>
      </c>
      <c r="C5" t="s">
        <v>17</v>
      </c>
      <c r="D5" s="21" t="s">
        <v>34</v>
      </c>
      <c r="E5" s="24">
        <v>2.9999999999999997E-4</v>
      </c>
      <c r="F5" s="21" t="s">
        <v>10</v>
      </c>
      <c r="G5" s="21">
        <v>0</v>
      </c>
      <c r="H5" s="21">
        <v>1E-3</v>
      </c>
      <c r="I5" s="21" t="s">
        <v>105</v>
      </c>
      <c r="J5" s="21" t="s">
        <v>10</v>
      </c>
      <c r="K5" s="21" t="s">
        <v>34</v>
      </c>
      <c r="L5" s="21" t="s">
        <v>987</v>
      </c>
      <c r="M5" s="21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</row>
    <row r="6" spans="1:155" s="11" customFormat="1" x14ac:dyDescent="0.3">
      <c r="A6"/>
      <c r="B6" s="21" t="s">
        <v>988</v>
      </c>
      <c r="C6" t="s">
        <v>17</v>
      </c>
      <c r="D6" s="21" t="s">
        <v>33</v>
      </c>
      <c r="E6" s="24">
        <v>6.9999999999999999E-4</v>
      </c>
      <c r="F6" s="21" t="s">
        <v>10</v>
      </c>
      <c r="G6" s="21">
        <v>0</v>
      </c>
      <c r="H6" s="21">
        <v>2E-3</v>
      </c>
      <c r="I6" s="21" t="s">
        <v>105</v>
      </c>
      <c r="J6" s="21" t="s">
        <v>10</v>
      </c>
      <c r="K6" s="21" t="s">
        <v>33</v>
      </c>
      <c r="L6" s="21" t="s">
        <v>987</v>
      </c>
      <c r="M6" s="21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</row>
    <row r="7" spans="1:155" s="11" customFormat="1" x14ac:dyDescent="0.3">
      <c r="A7"/>
      <c r="B7" s="21" t="s">
        <v>988</v>
      </c>
      <c r="C7" s="21" t="s">
        <v>1051</v>
      </c>
      <c r="D7" s="21" t="s">
        <v>809</v>
      </c>
      <c r="E7" s="25">
        <v>0.2</v>
      </c>
      <c r="F7" s="21" t="s">
        <v>10</v>
      </c>
      <c r="G7" s="26">
        <v>0</v>
      </c>
      <c r="H7" s="26">
        <v>100</v>
      </c>
      <c r="I7" s="21" t="s">
        <v>27</v>
      </c>
      <c r="J7" s="21" t="s">
        <v>9</v>
      </c>
      <c r="K7" s="21" t="s">
        <v>1038</v>
      </c>
      <c r="L7" s="21" t="s">
        <v>987</v>
      </c>
      <c r="M7" s="21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</row>
    <row r="8" spans="1:155" s="11" customFormat="1" x14ac:dyDescent="0.3">
      <c r="A8"/>
      <c r="B8" s="21" t="s">
        <v>988</v>
      </c>
      <c r="C8" s="21" t="s">
        <v>1051</v>
      </c>
      <c r="D8" s="21" t="s">
        <v>144</v>
      </c>
      <c r="E8" s="25">
        <v>0.8</v>
      </c>
      <c r="F8" s="21" t="s">
        <v>9</v>
      </c>
      <c r="G8" s="21"/>
      <c r="H8" s="21"/>
      <c r="I8" s="21" t="s">
        <v>27</v>
      </c>
      <c r="J8" s="21" t="s">
        <v>9</v>
      </c>
      <c r="K8" s="21" t="s">
        <v>144</v>
      </c>
      <c r="L8" s="21" t="s">
        <v>987</v>
      </c>
      <c r="M8" s="21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</row>
    <row r="9" spans="1:155" s="11" customFormat="1" x14ac:dyDescent="0.3">
      <c r="A9"/>
      <c r="B9" s="21" t="s">
        <v>988</v>
      </c>
      <c r="C9" s="21" t="s">
        <v>1051</v>
      </c>
      <c r="D9" s="21" t="s">
        <v>145</v>
      </c>
      <c r="E9" s="25">
        <v>0.2</v>
      </c>
      <c r="F9" s="21" t="s">
        <v>9</v>
      </c>
      <c r="G9" s="21"/>
      <c r="H9" s="21"/>
      <c r="I9" s="21" t="s">
        <v>27</v>
      </c>
      <c r="J9" s="21" t="s">
        <v>9</v>
      </c>
      <c r="K9" s="21" t="s">
        <v>145</v>
      </c>
      <c r="L9" s="21" t="s">
        <v>987</v>
      </c>
      <c r="M9" s="21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</row>
    <row r="10" spans="1:155" s="11" customFormat="1" x14ac:dyDescent="0.3">
      <c r="A10"/>
      <c r="B10" s="21" t="s">
        <v>988</v>
      </c>
      <c r="C10" s="21" t="s">
        <v>1051</v>
      </c>
      <c r="D10" s="21" t="s">
        <v>811</v>
      </c>
      <c r="E10" s="24">
        <v>3.5000000000000003E-2</v>
      </c>
      <c r="F10" s="21" t="s">
        <v>10</v>
      </c>
      <c r="G10" s="21">
        <v>0</v>
      </c>
      <c r="H10" s="21">
        <v>100</v>
      </c>
      <c r="I10" s="21" t="s">
        <v>27</v>
      </c>
      <c r="J10" s="21" t="s">
        <v>9</v>
      </c>
      <c r="K10" s="21" t="s">
        <v>1039</v>
      </c>
      <c r="L10" s="21" t="s">
        <v>987</v>
      </c>
      <c r="M10" s="21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</row>
    <row r="11" spans="1:155" s="11" customFormat="1" x14ac:dyDescent="0.3">
      <c r="A11"/>
      <c r="B11" s="21" t="s">
        <v>988</v>
      </c>
      <c r="C11" s="21" t="s">
        <v>1052</v>
      </c>
      <c r="D11" s="21" t="s">
        <v>60</v>
      </c>
      <c r="E11" s="25">
        <v>0.2</v>
      </c>
      <c r="F11" s="21" t="s">
        <v>10</v>
      </c>
      <c r="G11" s="26">
        <v>0</v>
      </c>
      <c r="H11" s="26">
        <v>100</v>
      </c>
      <c r="I11" s="21" t="s">
        <v>27</v>
      </c>
      <c r="J11" s="21" t="s">
        <v>9</v>
      </c>
      <c r="K11" s="21" t="s">
        <v>60</v>
      </c>
      <c r="L11" s="21" t="s">
        <v>987</v>
      </c>
      <c r="M11" s="2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</row>
    <row r="12" spans="1:155" s="11" customFormat="1" x14ac:dyDescent="0.3">
      <c r="A12"/>
      <c r="B12" s="21" t="s">
        <v>988</v>
      </c>
      <c r="C12" s="21" t="s">
        <v>1052</v>
      </c>
      <c r="D12" s="21" t="s">
        <v>146</v>
      </c>
      <c r="E12" s="25">
        <v>0.8</v>
      </c>
      <c r="F12" s="21" t="s">
        <v>9</v>
      </c>
      <c r="G12" s="21"/>
      <c r="H12" s="21"/>
      <c r="I12" s="21" t="s">
        <v>27</v>
      </c>
      <c r="J12" s="21" t="s">
        <v>9</v>
      </c>
      <c r="K12" s="21" t="s">
        <v>146</v>
      </c>
      <c r="L12" s="21" t="s">
        <v>987</v>
      </c>
      <c r="M12" s="21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</row>
    <row r="13" spans="1:155" s="11" customFormat="1" x14ac:dyDescent="0.3">
      <c r="A13"/>
      <c r="B13" s="21" t="s">
        <v>988</v>
      </c>
      <c r="C13" s="21" t="s">
        <v>1052</v>
      </c>
      <c r="D13" s="21" t="s">
        <v>147</v>
      </c>
      <c r="E13" s="27">
        <v>0.2</v>
      </c>
      <c r="F13" s="21" t="s">
        <v>9</v>
      </c>
      <c r="G13"/>
      <c r="H13" s="21"/>
      <c r="I13" s="21" t="s">
        <v>27</v>
      </c>
      <c r="J13" s="21" t="s">
        <v>9</v>
      </c>
      <c r="K13" s="21" t="s">
        <v>147</v>
      </c>
      <c r="L13" s="21" t="s">
        <v>987</v>
      </c>
      <c r="M13" s="21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</row>
    <row r="14" spans="1:155" s="11" customFormat="1" x14ac:dyDescent="0.3">
      <c r="A14"/>
      <c r="B14" s="21" t="s">
        <v>988</v>
      </c>
      <c r="C14" s="21" t="s">
        <v>1052</v>
      </c>
      <c r="D14" s="21" t="s">
        <v>812</v>
      </c>
      <c r="E14" s="27">
        <v>0.1</v>
      </c>
      <c r="F14" s="21" t="s">
        <v>10</v>
      </c>
      <c r="G14" s="21">
        <v>0</v>
      </c>
      <c r="H14" s="21">
        <v>100</v>
      </c>
      <c r="I14" s="21" t="s">
        <v>27</v>
      </c>
      <c r="J14" s="21" t="s">
        <v>9</v>
      </c>
      <c r="K14" s="21" t="s">
        <v>1040</v>
      </c>
      <c r="L14" s="21" t="s">
        <v>987</v>
      </c>
      <c r="M14" s="21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</row>
    <row r="15" spans="1:155" s="11" customFormat="1" x14ac:dyDescent="0.3">
      <c r="A15"/>
      <c r="B15" s="21" t="s">
        <v>988</v>
      </c>
      <c r="C15" s="21" t="s">
        <v>18</v>
      </c>
      <c r="D15" s="21" t="s">
        <v>148</v>
      </c>
      <c r="E15" s="25">
        <v>0.05</v>
      </c>
      <c r="F15" s="21" t="s">
        <v>9</v>
      </c>
      <c r="G15" s="21"/>
      <c r="H15" s="21"/>
      <c r="I15" s="21" t="s">
        <v>27</v>
      </c>
      <c r="J15" s="21" t="s">
        <v>9</v>
      </c>
      <c r="K15" s="21" t="s">
        <v>1041</v>
      </c>
      <c r="L15" s="21" t="s">
        <v>987</v>
      </c>
      <c r="M15" s="21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</row>
    <row r="16" spans="1:155" s="11" customFormat="1" x14ac:dyDescent="0.3">
      <c r="A16"/>
      <c r="B16" s="21" t="s">
        <v>988</v>
      </c>
      <c r="C16" s="21" t="s">
        <v>18</v>
      </c>
      <c r="D16" s="21" t="s">
        <v>810</v>
      </c>
      <c r="E16" s="28">
        <v>0.05</v>
      </c>
      <c r="F16" s="21" t="s">
        <v>9</v>
      </c>
      <c r="G16"/>
      <c r="H16"/>
      <c r="I16" s="21" t="s">
        <v>27</v>
      </c>
      <c r="J16" s="21" t="s">
        <v>9</v>
      </c>
      <c r="K16" s="21" t="s">
        <v>1042</v>
      </c>
      <c r="L16" s="21" t="s">
        <v>987</v>
      </c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</row>
    <row r="17" spans="1:155" s="11" customFormat="1" x14ac:dyDescent="0.3">
      <c r="A17"/>
      <c r="B17" s="21" t="s">
        <v>988</v>
      </c>
      <c r="C17" s="21" t="s">
        <v>18</v>
      </c>
      <c r="D17" s="21" t="s">
        <v>20</v>
      </c>
      <c r="E17" s="29">
        <v>0.25</v>
      </c>
      <c r="F17" t="s">
        <v>9</v>
      </c>
      <c r="G17"/>
      <c r="H17"/>
      <c r="I17" t="s">
        <v>21</v>
      </c>
      <c r="J17" s="21" t="s">
        <v>9</v>
      </c>
      <c r="K17" s="21" t="s">
        <v>20</v>
      </c>
      <c r="L17" s="21" t="s">
        <v>987</v>
      </c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</row>
    <row r="18" spans="1:155" s="11" customFormat="1" x14ac:dyDescent="0.3">
      <c r="A18"/>
      <c r="B18" s="21" t="s">
        <v>988</v>
      </c>
      <c r="C18" s="21" t="s">
        <v>31</v>
      </c>
      <c r="D18" s="21" t="s">
        <v>22</v>
      </c>
      <c r="E18" s="29">
        <v>0.39600000000000002</v>
      </c>
      <c r="F18" t="s">
        <v>9</v>
      </c>
      <c r="G18"/>
      <c r="H18"/>
      <c r="I18" t="s">
        <v>28</v>
      </c>
      <c r="J18" s="21" t="s">
        <v>9</v>
      </c>
      <c r="K18" s="21" t="s">
        <v>22</v>
      </c>
      <c r="L18" s="21" t="s">
        <v>987</v>
      </c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</row>
    <row r="19" spans="1:155" s="11" customFormat="1" x14ac:dyDescent="0.3">
      <c r="A19"/>
      <c r="B19" s="21" t="s">
        <v>988</v>
      </c>
      <c r="C19" s="21" t="s">
        <v>19</v>
      </c>
      <c r="D19" s="21" t="s">
        <v>23</v>
      </c>
      <c r="E19" s="29">
        <v>0.65800000000000003</v>
      </c>
      <c r="F19" t="s">
        <v>9</v>
      </c>
      <c r="G19"/>
      <c r="H19"/>
      <c r="I19" t="s">
        <v>28</v>
      </c>
      <c r="J19" s="21" t="s">
        <v>9</v>
      </c>
      <c r="K19" s="21" t="s">
        <v>23</v>
      </c>
      <c r="L19" s="21" t="s">
        <v>987</v>
      </c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</row>
    <row r="20" spans="1:155" s="11" customFormat="1" x14ac:dyDescent="0.3">
      <c r="A20"/>
      <c r="B20" s="21" t="s">
        <v>988</v>
      </c>
      <c r="C20" s="21" t="s">
        <v>19</v>
      </c>
      <c r="D20" s="21" t="s">
        <v>24</v>
      </c>
      <c r="E20" s="29">
        <v>0.13300000000000001</v>
      </c>
      <c r="F20" t="s">
        <v>9</v>
      </c>
      <c r="G20"/>
      <c r="H20"/>
      <c r="I20" t="s">
        <v>28</v>
      </c>
      <c r="J20" s="21" t="s">
        <v>9</v>
      </c>
      <c r="K20" s="21" t="s">
        <v>24</v>
      </c>
      <c r="L20" s="21" t="s">
        <v>987</v>
      </c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</row>
    <row r="21" spans="1:155" s="11" customFormat="1" x14ac:dyDescent="0.3">
      <c r="A21"/>
      <c r="B21" s="21" t="s">
        <v>988</v>
      </c>
      <c r="C21" s="21" t="s">
        <v>235</v>
      </c>
      <c r="D21" s="17" t="s">
        <v>241</v>
      </c>
      <c r="E21" s="18">
        <f>1-E18</f>
        <v>0.60399999999999998</v>
      </c>
      <c r="F21" s="19" t="s">
        <v>9</v>
      </c>
      <c r="G21" s="19"/>
      <c r="H21" s="19"/>
      <c r="I21" s="19" t="s">
        <v>28</v>
      </c>
      <c r="J21" s="17" t="s">
        <v>9</v>
      </c>
      <c r="K21" s="17" t="s">
        <v>241</v>
      </c>
      <c r="L21" s="21" t="s">
        <v>987</v>
      </c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</row>
    <row r="22" spans="1:155" s="11" customFormat="1" x14ac:dyDescent="0.3">
      <c r="A22"/>
      <c r="B22" s="21" t="s">
        <v>988</v>
      </c>
      <c r="C22" s="21" t="s">
        <v>235</v>
      </c>
      <c r="D22" s="17" t="s">
        <v>242</v>
      </c>
      <c r="E22" s="18">
        <f>1-E19</f>
        <v>0.34199999999999997</v>
      </c>
      <c r="F22" s="19" t="s">
        <v>9</v>
      </c>
      <c r="G22" s="19"/>
      <c r="H22" s="19"/>
      <c r="I22" s="19" t="s">
        <v>28</v>
      </c>
      <c r="J22" s="17" t="s">
        <v>9</v>
      </c>
      <c r="K22" s="17" t="s">
        <v>242</v>
      </c>
      <c r="L22" s="21" t="s">
        <v>987</v>
      </c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</row>
    <row r="23" spans="1:155" s="11" customFormat="1" x14ac:dyDescent="0.3">
      <c r="A23"/>
      <c r="B23" s="21" t="s">
        <v>988</v>
      </c>
      <c r="C23" s="21" t="s">
        <v>235</v>
      </c>
      <c r="D23" s="17" t="s">
        <v>247</v>
      </c>
      <c r="E23" s="18">
        <f>1-E22</f>
        <v>0.65800000000000003</v>
      </c>
      <c r="F23" s="19" t="s">
        <v>9</v>
      </c>
      <c r="G23" s="19"/>
      <c r="H23" s="19"/>
      <c r="I23" s="19" t="s">
        <v>28</v>
      </c>
      <c r="J23" s="17" t="s">
        <v>9</v>
      </c>
      <c r="K23" s="17" t="s">
        <v>247</v>
      </c>
      <c r="L23" s="21" t="s">
        <v>987</v>
      </c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</row>
    <row r="24" spans="1:155" s="11" customFormat="1" x14ac:dyDescent="0.3">
      <c r="A24"/>
      <c r="B24" s="21" t="s">
        <v>988</v>
      </c>
      <c r="C24" s="21" t="s">
        <v>25</v>
      </c>
      <c r="D24" t="s">
        <v>109</v>
      </c>
      <c r="E24" s="30">
        <v>5.5</v>
      </c>
      <c r="F24" t="s">
        <v>10</v>
      </c>
      <c r="G24">
        <v>0</v>
      </c>
      <c r="H24">
        <v>20</v>
      </c>
      <c r="I24" t="s">
        <v>29</v>
      </c>
      <c r="J24" s="21" t="s">
        <v>9</v>
      </c>
      <c r="K24" t="s">
        <v>109</v>
      </c>
      <c r="L24" s="21" t="s">
        <v>987</v>
      </c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</row>
    <row r="25" spans="1:155" s="11" customFormat="1" x14ac:dyDescent="0.3">
      <c r="A25"/>
      <c r="B25" s="21" t="s">
        <v>988</v>
      </c>
      <c r="C25" s="21" t="s">
        <v>25</v>
      </c>
      <c r="D25" t="s">
        <v>108</v>
      </c>
      <c r="E25" s="30">
        <v>60</v>
      </c>
      <c r="F25" t="s">
        <v>9</v>
      </c>
      <c r="G25"/>
      <c r="H25"/>
      <c r="I25" t="s">
        <v>21</v>
      </c>
      <c r="J25" s="21" t="s">
        <v>9</v>
      </c>
      <c r="K25" t="s">
        <v>108</v>
      </c>
      <c r="L25" s="21" t="s">
        <v>987</v>
      </c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</row>
    <row r="26" spans="1:155" s="11" customFormat="1" x14ac:dyDescent="0.3">
      <c r="A26"/>
      <c r="B26" s="21" t="s">
        <v>988</v>
      </c>
      <c r="C26" s="21" t="s">
        <v>249</v>
      </c>
      <c r="D26" s="21" t="s">
        <v>251</v>
      </c>
      <c r="E26" s="31">
        <v>7172</v>
      </c>
      <c r="F26" t="s">
        <v>10</v>
      </c>
      <c r="G26">
        <v>0</v>
      </c>
      <c r="H26">
        <v>100000</v>
      </c>
      <c r="I26" t="s">
        <v>1043</v>
      </c>
      <c r="J26" t="s">
        <v>10</v>
      </c>
      <c r="K26" s="21" t="s">
        <v>251</v>
      </c>
      <c r="L26" s="21" t="s">
        <v>987</v>
      </c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</row>
    <row r="27" spans="1:155" s="11" customFormat="1" x14ac:dyDescent="0.3">
      <c r="A27"/>
      <c r="B27" s="21" t="s">
        <v>240</v>
      </c>
      <c r="C27" s="21" t="s">
        <v>249</v>
      </c>
      <c r="D27" s="21" t="s">
        <v>30</v>
      </c>
      <c r="E27" s="30">
        <v>0.5</v>
      </c>
      <c r="F27" s="21" t="s">
        <v>9</v>
      </c>
      <c r="G27"/>
      <c r="H27"/>
      <c r="I27" t="s">
        <v>28</v>
      </c>
      <c r="J27" t="s">
        <v>9</v>
      </c>
      <c r="K27" s="21" t="s">
        <v>30</v>
      </c>
      <c r="L27" s="21" t="s">
        <v>987</v>
      </c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</row>
    <row r="28" spans="1:155" s="11" customFormat="1" x14ac:dyDescent="0.3">
      <c r="A28"/>
      <c r="B28" s="21" t="s">
        <v>988</v>
      </c>
      <c r="C28" s="21" t="s">
        <v>250</v>
      </c>
      <c r="D28" s="21" t="s">
        <v>237</v>
      </c>
      <c r="E28" s="31">
        <v>2217</v>
      </c>
      <c r="F28" s="21" t="s">
        <v>10</v>
      </c>
      <c r="G28">
        <v>0</v>
      </c>
      <c r="H28">
        <v>6000</v>
      </c>
      <c r="I28" t="s">
        <v>1043</v>
      </c>
      <c r="J28" t="s">
        <v>10</v>
      </c>
      <c r="K28" s="21" t="s">
        <v>1047</v>
      </c>
      <c r="L28" s="21" t="s">
        <v>987</v>
      </c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</row>
    <row r="29" spans="1:155" s="11" customFormat="1" x14ac:dyDescent="0.3">
      <c r="A29"/>
      <c r="B29" s="21" t="s">
        <v>988</v>
      </c>
      <c r="C29" s="21" t="s">
        <v>250</v>
      </c>
      <c r="D29" s="21" t="s">
        <v>238</v>
      </c>
      <c r="E29" s="31">
        <v>2217</v>
      </c>
      <c r="F29" s="21" t="s">
        <v>10</v>
      </c>
      <c r="G29">
        <v>0</v>
      </c>
      <c r="H29">
        <v>6000</v>
      </c>
      <c r="I29" t="s">
        <v>1043</v>
      </c>
      <c r="J29" t="s">
        <v>10</v>
      </c>
      <c r="K29" s="21" t="s">
        <v>1046</v>
      </c>
      <c r="L29" s="21" t="s">
        <v>987</v>
      </c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</row>
    <row r="30" spans="1:155" s="11" customFormat="1" x14ac:dyDescent="0.3">
      <c r="A30"/>
      <c r="B30" s="21" t="s">
        <v>240</v>
      </c>
      <c r="C30" s="21" t="s">
        <v>244</v>
      </c>
      <c r="D30" s="21" t="s">
        <v>243</v>
      </c>
      <c r="E30" s="32">
        <f>0.03</f>
        <v>0.03</v>
      </c>
      <c r="F30" s="21" t="s">
        <v>985</v>
      </c>
      <c r="G30"/>
      <c r="H30"/>
      <c r="I30" t="s">
        <v>29</v>
      </c>
      <c r="J30" t="s">
        <v>9</v>
      </c>
      <c r="K30" s="21" t="s">
        <v>243</v>
      </c>
      <c r="L30" s="21" t="s">
        <v>987</v>
      </c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</row>
    <row r="31" spans="1:155" s="11" customFormat="1" x14ac:dyDescent="0.3">
      <c r="A31"/>
      <c r="B31" s="21" t="s">
        <v>240</v>
      </c>
      <c r="C31" s="21" t="s">
        <v>102</v>
      </c>
      <c r="D31" s="21" t="s">
        <v>68</v>
      </c>
      <c r="E31" s="32">
        <v>1.03</v>
      </c>
      <c r="F31" s="21" t="s">
        <v>9</v>
      </c>
      <c r="G31"/>
      <c r="H31"/>
      <c r="I31" t="s">
        <v>26</v>
      </c>
      <c r="J31" t="s">
        <v>9</v>
      </c>
      <c r="K31" s="21" t="s">
        <v>68</v>
      </c>
      <c r="L31" s="21" t="s">
        <v>987</v>
      </c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</row>
    <row r="32" spans="1:155" s="11" customFormat="1" x14ac:dyDescent="0.3">
      <c r="A32"/>
      <c r="B32" s="21" t="s">
        <v>990</v>
      </c>
      <c r="C32" s="21" t="s">
        <v>104</v>
      </c>
      <c r="D32" s="21" t="s">
        <v>991</v>
      </c>
      <c r="E32" s="33">
        <v>7.0000000000000001E-3</v>
      </c>
      <c r="F32" s="21" t="s">
        <v>10</v>
      </c>
      <c r="G32">
        <v>0</v>
      </c>
      <c r="H32">
        <v>0.02</v>
      </c>
      <c r="I32" t="s">
        <v>105</v>
      </c>
      <c r="J32" t="s">
        <v>9</v>
      </c>
      <c r="K32" s="21" t="s">
        <v>1031</v>
      </c>
      <c r="L32" s="21" t="s">
        <v>987</v>
      </c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</row>
    <row r="33" spans="1:155" s="11" customFormat="1" x14ac:dyDescent="0.3">
      <c r="A33"/>
      <c r="B33" s="21" t="s">
        <v>990</v>
      </c>
      <c r="C33" s="21" t="s">
        <v>103</v>
      </c>
      <c r="D33" s="21" t="s">
        <v>992</v>
      </c>
      <c r="E33" s="33">
        <v>2.9999999999999997E-4</v>
      </c>
      <c r="F33" s="21" t="s">
        <v>10</v>
      </c>
      <c r="G33">
        <v>0</v>
      </c>
      <c r="H33">
        <v>2E-3</v>
      </c>
      <c r="I33" t="s">
        <v>105</v>
      </c>
      <c r="J33" t="s">
        <v>9</v>
      </c>
      <c r="K33" s="21" t="s">
        <v>1032</v>
      </c>
      <c r="L33" s="21" t="s">
        <v>987</v>
      </c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</row>
    <row r="34" spans="1:155" s="11" customFormat="1" x14ac:dyDescent="0.3">
      <c r="A34"/>
      <c r="B34" s="21" t="s">
        <v>990</v>
      </c>
      <c r="C34" s="21" t="s">
        <v>103</v>
      </c>
      <c r="D34" s="21" t="s">
        <v>993</v>
      </c>
      <c r="E34" s="33">
        <v>2.9999999999999997E-4</v>
      </c>
      <c r="F34" s="21" t="s">
        <v>10</v>
      </c>
      <c r="G34">
        <v>0</v>
      </c>
      <c r="H34">
        <v>2E-3</v>
      </c>
      <c r="I34" t="s">
        <v>105</v>
      </c>
      <c r="J34" t="s">
        <v>9</v>
      </c>
      <c r="K34" s="21" t="s">
        <v>1033</v>
      </c>
      <c r="L34" s="21" t="s">
        <v>987</v>
      </c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</row>
    <row r="35" spans="1:155" s="11" customFormat="1" x14ac:dyDescent="0.3">
      <c r="A35"/>
      <c r="B35" s="21" t="s">
        <v>990</v>
      </c>
      <c r="C35" s="21" t="s">
        <v>103</v>
      </c>
      <c r="D35" s="21" t="s">
        <v>994</v>
      </c>
      <c r="E35" s="33">
        <v>2.9999999999999997E-4</v>
      </c>
      <c r="F35" s="21" t="s">
        <v>10</v>
      </c>
      <c r="G35">
        <v>0</v>
      </c>
      <c r="H35">
        <v>2E-3</v>
      </c>
      <c r="I35" t="s">
        <v>105</v>
      </c>
      <c r="J35" t="s">
        <v>9</v>
      </c>
      <c r="K35" s="21" t="s">
        <v>1034</v>
      </c>
      <c r="L35" s="21" t="s">
        <v>987</v>
      </c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</row>
    <row r="36" spans="1:155" s="11" customFormat="1" x14ac:dyDescent="0.3">
      <c r="A36"/>
      <c r="B36" s="21" t="s">
        <v>990</v>
      </c>
      <c r="C36" s="21" t="s">
        <v>103</v>
      </c>
      <c r="D36" s="21" t="s">
        <v>995</v>
      </c>
      <c r="E36" s="33">
        <v>1E-3</v>
      </c>
      <c r="F36" s="21" t="s">
        <v>10</v>
      </c>
      <c r="G36">
        <v>0</v>
      </c>
      <c r="H36">
        <v>0.02</v>
      </c>
      <c r="I36" t="s">
        <v>105</v>
      </c>
      <c r="J36" t="s">
        <v>9</v>
      </c>
      <c r="K36" s="21" t="s">
        <v>1035</v>
      </c>
      <c r="L36" s="21" t="s">
        <v>987</v>
      </c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</row>
    <row r="37" spans="1:155" s="11" customFormat="1" x14ac:dyDescent="0.3">
      <c r="A37"/>
      <c r="B37" s="21" t="s">
        <v>990</v>
      </c>
      <c r="C37" s="21" t="s">
        <v>103</v>
      </c>
      <c r="D37" s="21" t="s">
        <v>996</v>
      </c>
      <c r="E37" s="33">
        <v>2E-3</v>
      </c>
      <c r="F37" s="21" t="s">
        <v>10</v>
      </c>
      <c r="G37">
        <v>0</v>
      </c>
      <c r="H37">
        <v>0.02</v>
      </c>
      <c r="I37" t="s">
        <v>105</v>
      </c>
      <c r="J37" t="s">
        <v>9</v>
      </c>
      <c r="K37" s="21" t="s">
        <v>1036</v>
      </c>
      <c r="L37" s="21" t="s">
        <v>987</v>
      </c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</row>
    <row r="38" spans="1:155" s="11" customFormat="1" x14ac:dyDescent="0.3">
      <c r="A38"/>
      <c r="B38" s="21" t="s">
        <v>990</v>
      </c>
      <c r="C38" s="21" t="s">
        <v>103</v>
      </c>
      <c r="D38" s="21" t="s">
        <v>997</v>
      </c>
      <c r="E38" s="33">
        <v>2E-3</v>
      </c>
      <c r="F38" s="21" t="s">
        <v>10</v>
      </c>
      <c r="G38">
        <v>0</v>
      </c>
      <c r="H38">
        <v>0.02</v>
      </c>
      <c r="I38" t="s">
        <v>105</v>
      </c>
      <c r="J38" t="s">
        <v>9</v>
      </c>
      <c r="K38" s="21" t="s">
        <v>1037</v>
      </c>
      <c r="L38" s="21" t="s">
        <v>987</v>
      </c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</row>
    <row r="39" spans="1:155" s="11" customFormat="1" x14ac:dyDescent="0.3">
      <c r="A39"/>
      <c r="B39" s="21" t="s">
        <v>990</v>
      </c>
      <c r="C39" s="21" t="s">
        <v>248</v>
      </c>
      <c r="D39" s="21" t="s">
        <v>253</v>
      </c>
      <c r="E39" s="28">
        <v>0.2</v>
      </c>
      <c r="F39" s="21" t="s">
        <v>9</v>
      </c>
      <c r="G39"/>
      <c r="H39"/>
      <c r="I39" t="s">
        <v>105</v>
      </c>
      <c r="J39" t="s">
        <v>9</v>
      </c>
      <c r="K39" s="21" t="s">
        <v>253</v>
      </c>
      <c r="L39" s="21" t="s">
        <v>987</v>
      </c>
      <c r="M39" s="21" t="s">
        <v>263</v>
      </c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</row>
    <row r="40" spans="1:155" s="11" customFormat="1" x14ac:dyDescent="0.3">
      <c r="A40"/>
      <c r="B40" s="21" t="s">
        <v>990</v>
      </c>
      <c r="C40" s="21" t="s">
        <v>248</v>
      </c>
      <c r="D40" s="21" t="s">
        <v>274</v>
      </c>
      <c r="E40" s="28">
        <v>0.2</v>
      </c>
      <c r="F40" s="21" t="s">
        <v>9</v>
      </c>
      <c r="G40"/>
      <c r="H40"/>
      <c r="I40" t="s">
        <v>105</v>
      </c>
      <c r="J40" t="s">
        <v>9</v>
      </c>
      <c r="K40" s="21" t="s">
        <v>274</v>
      </c>
      <c r="L40" s="21" t="s">
        <v>987</v>
      </c>
      <c r="M40" s="21" t="s">
        <v>264</v>
      </c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</row>
    <row r="41" spans="1:155" s="11" customFormat="1" x14ac:dyDescent="0.3">
      <c r="A41"/>
      <c r="B41" s="21" t="s">
        <v>990</v>
      </c>
      <c r="C41" s="21" t="s">
        <v>248</v>
      </c>
      <c r="D41" s="21" t="s">
        <v>254</v>
      </c>
      <c r="E41" s="28">
        <v>0.2</v>
      </c>
      <c r="F41" s="21" t="s">
        <v>9</v>
      </c>
      <c r="G41"/>
      <c r="H41"/>
      <c r="I41" t="s">
        <v>105</v>
      </c>
      <c r="J41" t="s">
        <v>9</v>
      </c>
      <c r="K41" s="21" t="s">
        <v>254</v>
      </c>
      <c r="L41" s="21" t="s">
        <v>987</v>
      </c>
      <c r="M41" s="21" t="s">
        <v>265</v>
      </c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</row>
    <row r="42" spans="1:155" s="11" customFormat="1" x14ac:dyDescent="0.3">
      <c r="A42"/>
      <c r="B42" s="21" t="s">
        <v>990</v>
      </c>
      <c r="C42" s="21" t="s">
        <v>248</v>
      </c>
      <c r="D42" s="21" t="s">
        <v>256</v>
      </c>
      <c r="E42" s="28">
        <v>0.2</v>
      </c>
      <c r="F42" s="21" t="s">
        <v>9</v>
      </c>
      <c r="G42"/>
      <c r="H42"/>
      <c r="I42" t="s">
        <v>105</v>
      </c>
      <c r="J42" t="s">
        <v>9</v>
      </c>
      <c r="K42" s="21" t="s">
        <v>256</v>
      </c>
      <c r="L42" s="21" t="s">
        <v>987</v>
      </c>
      <c r="M42" s="21" t="s">
        <v>266</v>
      </c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</row>
    <row r="43" spans="1:155" s="11" customFormat="1" x14ac:dyDescent="0.3">
      <c r="A43"/>
      <c r="B43" s="21" t="s">
        <v>990</v>
      </c>
      <c r="C43" s="21" t="s">
        <v>248</v>
      </c>
      <c r="D43" s="21" t="s">
        <v>255</v>
      </c>
      <c r="E43" s="28">
        <v>0.2</v>
      </c>
      <c r="F43" s="21" t="s">
        <v>9</v>
      </c>
      <c r="G43"/>
      <c r="H43"/>
      <c r="I43" t="s">
        <v>105</v>
      </c>
      <c r="J43" t="s">
        <v>9</v>
      </c>
      <c r="K43" s="21" t="s">
        <v>255</v>
      </c>
      <c r="L43" s="21" t="s">
        <v>987</v>
      </c>
      <c r="M43" s="21" t="s">
        <v>267</v>
      </c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</row>
    <row r="44" spans="1:155" s="11" customFormat="1" x14ac:dyDescent="0.3">
      <c r="A44"/>
      <c r="B44" s="21" t="s">
        <v>990</v>
      </c>
      <c r="C44" s="21" t="s">
        <v>248</v>
      </c>
      <c r="D44" s="21" t="s">
        <v>257</v>
      </c>
      <c r="E44" s="28">
        <v>0.2</v>
      </c>
      <c r="F44" s="21" t="s">
        <v>9</v>
      </c>
      <c r="G44"/>
      <c r="H44"/>
      <c r="I44" t="s">
        <v>105</v>
      </c>
      <c r="J44" t="s">
        <v>9</v>
      </c>
      <c r="K44" s="21" t="s">
        <v>257</v>
      </c>
      <c r="L44" s="21" t="s">
        <v>987</v>
      </c>
      <c r="M44" s="21" t="s">
        <v>268</v>
      </c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</row>
    <row r="45" spans="1:155" s="11" customFormat="1" x14ac:dyDescent="0.3">
      <c r="A45"/>
      <c r="B45" s="21" t="s">
        <v>990</v>
      </c>
      <c r="C45" s="21" t="s">
        <v>248</v>
      </c>
      <c r="D45" s="21" t="s">
        <v>258</v>
      </c>
      <c r="E45" s="28">
        <v>0.2</v>
      </c>
      <c r="F45" s="21" t="s">
        <v>9</v>
      </c>
      <c r="G45"/>
      <c r="H45"/>
      <c r="I45" t="s">
        <v>105</v>
      </c>
      <c r="J45" t="s">
        <v>9</v>
      </c>
      <c r="K45" s="21" t="s">
        <v>258</v>
      </c>
      <c r="L45" s="21" t="s">
        <v>987</v>
      </c>
      <c r="M45" s="21" t="s">
        <v>269</v>
      </c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</row>
    <row r="46" spans="1:155" s="11" customFormat="1" x14ac:dyDescent="0.3">
      <c r="A46"/>
      <c r="B46" s="21" t="s">
        <v>990</v>
      </c>
      <c r="C46" s="21" t="s">
        <v>248</v>
      </c>
      <c r="D46" s="21" t="s">
        <v>259</v>
      </c>
      <c r="E46" s="28">
        <v>0.2</v>
      </c>
      <c r="F46" s="21" t="s">
        <v>9</v>
      </c>
      <c r="G46"/>
      <c r="H46"/>
      <c r="I46" t="s">
        <v>105</v>
      </c>
      <c r="J46" t="s">
        <v>9</v>
      </c>
      <c r="K46" s="21" t="s">
        <v>259</v>
      </c>
      <c r="L46" s="21" t="s">
        <v>987</v>
      </c>
      <c r="M46" s="21" t="s">
        <v>270</v>
      </c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</row>
    <row r="47" spans="1:155" s="11" customFormat="1" x14ac:dyDescent="0.3">
      <c r="A47"/>
      <c r="B47" s="21" t="s">
        <v>990</v>
      </c>
      <c r="C47" s="21" t="s">
        <v>248</v>
      </c>
      <c r="D47" s="21" t="s">
        <v>260</v>
      </c>
      <c r="E47" s="28">
        <v>0.2</v>
      </c>
      <c r="F47" s="21" t="s">
        <v>9</v>
      </c>
      <c r="G47"/>
      <c r="H47"/>
      <c r="I47" t="s">
        <v>105</v>
      </c>
      <c r="J47" t="s">
        <v>9</v>
      </c>
      <c r="K47" s="21" t="s">
        <v>260</v>
      </c>
      <c r="L47" s="21" t="s">
        <v>987</v>
      </c>
      <c r="M47" s="21" t="s">
        <v>271</v>
      </c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</row>
    <row r="48" spans="1:155" s="11" customFormat="1" x14ac:dyDescent="0.3">
      <c r="A48"/>
      <c r="B48" s="21" t="s">
        <v>990</v>
      </c>
      <c r="C48" s="21" t="s">
        <v>248</v>
      </c>
      <c r="D48" s="21" t="s">
        <v>261</v>
      </c>
      <c r="E48" s="28">
        <v>0.2</v>
      </c>
      <c r="F48" s="21" t="s">
        <v>9</v>
      </c>
      <c r="G48"/>
      <c r="H48"/>
      <c r="I48" t="s">
        <v>105</v>
      </c>
      <c r="J48" t="s">
        <v>9</v>
      </c>
      <c r="K48" s="21" t="s">
        <v>261</v>
      </c>
      <c r="L48" s="21" t="s">
        <v>987</v>
      </c>
      <c r="M48" s="21" t="s">
        <v>272</v>
      </c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</row>
    <row r="49" spans="1:155" s="11" customFormat="1" x14ac:dyDescent="0.3">
      <c r="A49"/>
      <c r="B49" s="21" t="s">
        <v>990</v>
      </c>
      <c r="C49" s="21" t="s">
        <v>248</v>
      </c>
      <c r="D49" s="21" t="s">
        <v>262</v>
      </c>
      <c r="E49" s="28">
        <v>0.2</v>
      </c>
      <c r="F49" s="21" t="s">
        <v>9</v>
      </c>
      <c r="G49"/>
      <c r="H49"/>
      <c r="I49" t="s">
        <v>105</v>
      </c>
      <c r="J49" t="s">
        <v>9</v>
      </c>
      <c r="K49" s="21" t="s">
        <v>262</v>
      </c>
      <c r="L49" s="21" t="s">
        <v>987</v>
      </c>
      <c r="M49" s="21" t="s">
        <v>273</v>
      </c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</row>
    <row r="50" spans="1:155" s="11" customFormat="1" x14ac:dyDescent="0.3">
      <c r="A50"/>
      <c r="B50" s="21" t="s">
        <v>990</v>
      </c>
      <c r="C50" s="21" t="s">
        <v>1048</v>
      </c>
      <c r="D50" s="21" t="s">
        <v>998</v>
      </c>
      <c r="E50" s="34">
        <v>0.1</v>
      </c>
      <c r="F50" s="21" t="s">
        <v>10</v>
      </c>
      <c r="G50">
        <v>0</v>
      </c>
      <c r="H50">
        <v>0.3</v>
      </c>
      <c r="I50" t="s">
        <v>105</v>
      </c>
      <c r="J50" t="s">
        <v>9</v>
      </c>
      <c r="K50" s="21" t="s">
        <v>1019</v>
      </c>
      <c r="L50" s="21" t="s">
        <v>987</v>
      </c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</row>
    <row r="51" spans="1:155" s="11" customFormat="1" x14ac:dyDescent="0.3">
      <c r="A51"/>
      <c r="B51" s="21" t="s">
        <v>990</v>
      </c>
      <c r="C51" s="21" t="s">
        <v>1048</v>
      </c>
      <c r="D51" s="21" t="s">
        <v>999</v>
      </c>
      <c r="E51" s="34">
        <v>0.1</v>
      </c>
      <c r="F51" s="21" t="s">
        <v>10</v>
      </c>
      <c r="G51">
        <v>0</v>
      </c>
      <c r="H51">
        <v>0.3</v>
      </c>
      <c r="I51" t="s">
        <v>105</v>
      </c>
      <c r="J51" t="s">
        <v>9</v>
      </c>
      <c r="K51" s="21" t="s">
        <v>1020</v>
      </c>
      <c r="L51" s="21" t="s">
        <v>987</v>
      </c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</row>
    <row r="52" spans="1:155" s="11" customFormat="1" x14ac:dyDescent="0.3">
      <c r="A52"/>
      <c r="B52" s="21" t="s">
        <v>990</v>
      </c>
      <c r="C52" s="21" t="s">
        <v>1048</v>
      </c>
      <c r="D52" s="21" t="s">
        <v>1000</v>
      </c>
      <c r="E52" s="34">
        <v>0.05</v>
      </c>
      <c r="F52" s="21" t="s">
        <v>10</v>
      </c>
      <c r="G52">
        <v>0</v>
      </c>
      <c r="H52">
        <v>0.3</v>
      </c>
      <c r="I52" t="s">
        <v>105</v>
      </c>
      <c r="J52" t="s">
        <v>9</v>
      </c>
      <c r="K52" s="21" t="s">
        <v>1021</v>
      </c>
      <c r="L52" s="21" t="s">
        <v>987</v>
      </c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</row>
    <row r="53" spans="1:155" s="11" customFormat="1" x14ac:dyDescent="0.3">
      <c r="A53"/>
      <c r="B53" s="21" t="s">
        <v>990</v>
      </c>
      <c r="C53" s="21" t="s">
        <v>1048</v>
      </c>
      <c r="D53" s="21" t="s">
        <v>1001</v>
      </c>
      <c r="E53" s="34">
        <v>3.4000000000000002E-2</v>
      </c>
      <c r="F53" s="21" t="s">
        <v>10</v>
      </c>
      <c r="G53">
        <v>0</v>
      </c>
      <c r="H53">
        <v>0.3</v>
      </c>
      <c r="I53" t="s">
        <v>105</v>
      </c>
      <c r="J53" t="s">
        <v>9</v>
      </c>
      <c r="K53" s="21" t="s">
        <v>1022</v>
      </c>
      <c r="L53" s="21" t="s">
        <v>987</v>
      </c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</row>
    <row r="54" spans="1:155" s="11" customFormat="1" x14ac:dyDescent="0.3">
      <c r="A54"/>
      <c r="B54" s="21" t="s">
        <v>990</v>
      </c>
      <c r="C54" s="21" t="s">
        <v>1048</v>
      </c>
      <c r="D54" s="21" t="s">
        <v>1002</v>
      </c>
      <c r="E54" s="34">
        <v>0.1</v>
      </c>
      <c r="F54" s="21" t="s">
        <v>10</v>
      </c>
      <c r="G54">
        <v>0</v>
      </c>
      <c r="H54">
        <v>0.3</v>
      </c>
      <c r="I54" t="s">
        <v>105</v>
      </c>
      <c r="J54" t="s">
        <v>9</v>
      </c>
      <c r="K54" s="21" t="s">
        <v>1023</v>
      </c>
      <c r="L54" s="21" t="s">
        <v>987</v>
      </c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</row>
    <row r="55" spans="1:155" s="11" customFormat="1" x14ac:dyDescent="0.3">
      <c r="A55"/>
      <c r="B55" s="21" t="s">
        <v>990</v>
      </c>
      <c r="C55" s="21" t="s">
        <v>1048</v>
      </c>
      <c r="D55" s="21" t="s">
        <v>1003</v>
      </c>
      <c r="E55" s="34">
        <v>0.05</v>
      </c>
      <c r="F55" s="21" t="s">
        <v>10</v>
      </c>
      <c r="G55">
        <v>0</v>
      </c>
      <c r="H55">
        <v>0.3</v>
      </c>
      <c r="I55" t="s">
        <v>105</v>
      </c>
      <c r="J55" t="s">
        <v>9</v>
      </c>
      <c r="K55" s="21" t="s">
        <v>1024</v>
      </c>
      <c r="L55" s="21" t="s">
        <v>987</v>
      </c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</row>
    <row r="56" spans="1:155" s="11" customFormat="1" x14ac:dyDescent="0.3">
      <c r="A56"/>
      <c r="B56" s="21" t="s">
        <v>990</v>
      </c>
      <c r="C56" s="21" t="s">
        <v>1049</v>
      </c>
      <c r="D56" s="21" t="s">
        <v>1004</v>
      </c>
      <c r="E56" s="34">
        <v>0.124</v>
      </c>
      <c r="F56" s="21" t="s">
        <v>10</v>
      </c>
      <c r="G56">
        <v>0</v>
      </c>
      <c r="H56">
        <v>0.3</v>
      </c>
      <c r="I56" t="s">
        <v>105</v>
      </c>
      <c r="J56" t="s">
        <v>9</v>
      </c>
      <c r="K56" s="21" t="s">
        <v>1025</v>
      </c>
      <c r="L56" s="21" t="s">
        <v>987</v>
      </c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</row>
    <row r="57" spans="1:155" s="11" customFormat="1" x14ac:dyDescent="0.3">
      <c r="A57"/>
      <c r="B57" s="21" t="s">
        <v>990</v>
      </c>
      <c r="C57" s="21" t="s">
        <v>1049</v>
      </c>
      <c r="D57" s="21" t="s">
        <v>1005</v>
      </c>
      <c r="E57" s="34">
        <v>7.1999999999999995E-2</v>
      </c>
      <c r="F57" s="21" t="s">
        <v>10</v>
      </c>
      <c r="G57">
        <v>0</v>
      </c>
      <c r="H57">
        <v>0.3</v>
      </c>
      <c r="I57" t="s">
        <v>105</v>
      </c>
      <c r="J57" t="s">
        <v>9</v>
      </c>
      <c r="K57" s="21" t="s">
        <v>1026</v>
      </c>
      <c r="L57" s="21" t="s">
        <v>987</v>
      </c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</row>
    <row r="58" spans="1:155" s="11" customFormat="1" x14ac:dyDescent="0.3">
      <c r="A58"/>
      <c r="B58" s="21" t="s">
        <v>990</v>
      </c>
      <c r="C58" s="21" t="s">
        <v>1049</v>
      </c>
      <c r="D58" s="21" t="s">
        <v>1006</v>
      </c>
      <c r="E58" s="34">
        <v>0.2</v>
      </c>
      <c r="F58" s="21" t="s">
        <v>10</v>
      </c>
      <c r="G58">
        <v>0</v>
      </c>
      <c r="H58">
        <v>0.3</v>
      </c>
      <c r="I58" t="s">
        <v>105</v>
      </c>
      <c r="J58" t="s">
        <v>9</v>
      </c>
      <c r="K58" s="21" t="s">
        <v>1027</v>
      </c>
      <c r="L58" s="21" t="s">
        <v>987</v>
      </c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</row>
    <row r="59" spans="1:155" s="11" customFormat="1" x14ac:dyDescent="0.3">
      <c r="A59"/>
      <c r="B59" s="21" t="s">
        <v>990</v>
      </c>
      <c r="C59" s="21" t="s">
        <v>1049</v>
      </c>
      <c r="D59" s="21" t="s">
        <v>1007</v>
      </c>
      <c r="E59" s="34">
        <v>0.2</v>
      </c>
      <c r="F59" s="21" t="s">
        <v>10</v>
      </c>
      <c r="G59">
        <v>0</v>
      </c>
      <c r="H59">
        <v>0.3</v>
      </c>
      <c r="I59" t="s">
        <v>105</v>
      </c>
      <c r="J59" t="s">
        <v>9</v>
      </c>
      <c r="K59" s="21" t="s">
        <v>1028</v>
      </c>
      <c r="L59" s="21" t="s">
        <v>987</v>
      </c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</row>
    <row r="60" spans="1:155" s="11" customFormat="1" x14ac:dyDescent="0.3">
      <c r="A60"/>
      <c r="B60" s="21" t="s">
        <v>990</v>
      </c>
      <c r="C60" s="21" t="s">
        <v>1049</v>
      </c>
      <c r="D60" s="21" t="s">
        <v>1008</v>
      </c>
      <c r="E60" s="34">
        <v>0.2</v>
      </c>
      <c r="F60" s="21" t="s">
        <v>10</v>
      </c>
      <c r="G60">
        <v>0</v>
      </c>
      <c r="H60">
        <v>0.3</v>
      </c>
      <c r="I60" t="s">
        <v>105</v>
      </c>
      <c r="J60" t="s">
        <v>9</v>
      </c>
      <c r="K60" s="21" t="s">
        <v>1029</v>
      </c>
      <c r="L60" s="21" t="s">
        <v>987</v>
      </c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</row>
    <row r="61" spans="1:155" s="11" customFormat="1" x14ac:dyDescent="0.3">
      <c r="A61"/>
      <c r="B61" s="21" t="s">
        <v>990</v>
      </c>
      <c r="C61" s="21" t="s">
        <v>1050</v>
      </c>
      <c r="D61" s="21" t="s">
        <v>998</v>
      </c>
      <c r="E61" s="35">
        <v>2.41</v>
      </c>
      <c r="F61" s="21" t="s">
        <v>10</v>
      </c>
      <c r="G61">
        <v>0</v>
      </c>
      <c r="H61">
        <v>5</v>
      </c>
      <c r="I61" t="s">
        <v>806</v>
      </c>
      <c r="J61" t="s">
        <v>9</v>
      </c>
      <c r="K61" s="21" t="s">
        <v>1019</v>
      </c>
      <c r="L61" s="21" t="s">
        <v>987</v>
      </c>
      <c r="M61"/>
      <c r="N61" t="s">
        <v>807</v>
      </c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</row>
    <row r="62" spans="1:155" s="11" customFormat="1" x14ac:dyDescent="0.3">
      <c r="A62"/>
      <c r="B62" s="21" t="s">
        <v>990</v>
      </c>
      <c r="C62" s="21" t="s">
        <v>1050</v>
      </c>
      <c r="D62" s="21" t="s">
        <v>999</v>
      </c>
      <c r="E62" s="35">
        <v>1.66</v>
      </c>
      <c r="F62" s="21" t="s">
        <v>10</v>
      </c>
      <c r="G62">
        <v>0</v>
      </c>
      <c r="H62">
        <v>5</v>
      </c>
      <c r="I62" t="s">
        <v>806</v>
      </c>
      <c r="J62" t="s">
        <v>9</v>
      </c>
      <c r="K62" s="21" t="s">
        <v>1020</v>
      </c>
      <c r="L62" s="21" t="s">
        <v>987</v>
      </c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</row>
    <row r="63" spans="1:155" s="11" customFormat="1" x14ac:dyDescent="0.3">
      <c r="A63"/>
      <c r="B63" s="21" t="s">
        <v>990</v>
      </c>
      <c r="C63" s="21" t="s">
        <v>1050</v>
      </c>
      <c r="D63" s="21" t="s">
        <v>1000</v>
      </c>
      <c r="E63" s="35">
        <v>0</v>
      </c>
      <c r="F63" s="21" t="s">
        <v>10</v>
      </c>
      <c r="G63">
        <v>0</v>
      </c>
      <c r="H63">
        <v>5</v>
      </c>
      <c r="I63" t="s">
        <v>806</v>
      </c>
      <c r="J63" t="s">
        <v>9</v>
      </c>
      <c r="K63" s="21" t="s">
        <v>1021</v>
      </c>
      <c r="L63" s="21" t="s">
        <v>987</v>
      </c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</row>
    <row r="64" spans="1:155" s="11" customFormat="1" x14ac:dyDescent="0.3">
      <c r="A64"/>
      <c r="B64" s="21" t="s">
        <v>990</v>
      </c>
      <c r="C64" s="21" t="s">
        <v>1050</v>
      </c>
      <c r="D64" s="21" t="s">
        <v>1001</v>
      </c>
      <c r="E64" s="35">
        <v>0</v>
      </c>
      <c r="F64" s="21" t="s">
        <v>10</v>
      </c>
      <c r="G64">
        <v>0</v>
      </c>
      <c r="H64">
        <v>5</v>
      </c>
      <c r="I64" t="s">
        <v>806</v>
      </c>
      <c r="J64" t="s">
        <v>9</v>
      </c>
      <c r="K64" s="21" t="s">
        <v>1022</v>
      </c>
      <c r="L64" s="21" t="s">
        <v>987</v>
      </c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</row>
    <row r="65" spans="1:155" s="11" customFormat="1" x14ac:dyDescent="0.3">
      <c r="A65"/>
      <c r="B65" s="21" t="s">
        <v>990</v>
      </c>
      <c r="C65" s="21" t="s">
        <v>1050</v>
      </c>
      <c r="D65" s="21" t="s">
        <v>1002</v>
      </c>
      <c r="E65" s="35">
        <v>0</v>
      </c>
      <c r="F65" s="21" t="s">
        <v>10</v>
      </c>
      <c r="G65">
        <v>0</v>
      </c>
      <c r="H65">
        <v>5</v>
      </c>
      <c r="I65" t="s">
        <v>806</v>
      </c>
      <c r="J65" t="s">
        <v>9</v>
      </c>
      <c r="K65" s="21" t="s">
        <v>1030</v>
      </c>
      <c r="L65" s="21" t="s">
        <v>987</v>
      </c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</row>
    <row r="66" spans="1:155" s="11" customFormat="1" x14ac:dyDescent="0.3">
      <c r="A66"/>
      <c r="B66" s="21" t="s">
        <v>990</v>
      </c>
      <c r="C66" s="21" t="s">
        <v>1050</v>
      </c>
      <c r="D66" s="21" t="s">
        <v>1003</v>
      </c>
      <c r="E66" s="35">
        <v>0</v>
      </c>
      <c r="F66" s="21" t="s">
        <v>10</v>
      </c>
      <c r="G66">
        <v>0</v>
      </c>
      <c r="H66">
        <v>5</v>
      </c>
      <c r="I66" t="s">
        <v>806</v>
      </c>
      <c r="J66" t="s">
        <v>9</v>
      </c>
      <c r="K66" s="21" t="s">
        <v>1024</v>
      </c>
      <c r="L66" s="21" t="s">
        <v>987</v>
      </c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</row>
    <row r="67" spans="1:155" s="11" customFormat="1" x14ac:dyDescent="0.3">
      <c r="A67"/>
      <c r="B67" s="21" t="s">
        <v>990</v>
      </c>
      <c r="C67" s="21" t="s">
        <v>1050</v>
      </c>
      <c r="D67" s="21" t="s">
        <v>1004</v>
      </c>
      <c r="E67" s="35">
        <v>1.71</v>
      </c>
      <c r="F67" s="21" t="s">
        <v>10</v>
      </c>
      <c r="G67">
        <v>0</v>
      </c>
      <c r="H67">
        <v>5</v>
      </c>
      <c r="I67" t="s">
        <v>806</v>
      </c>
      <c r="J67" t="s">
        <v>9</v>
      </c>
      <c r="K67" s="21" t="s">
        <v>1025</v>
      </c>
      <c r="L67" s="21" t="s">
        <v>987</v>
      </c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</row>
    <row r="68" spans="1:155" s="11" customFormat="1" x14ac:dyDescent="0.3">
      <c r="A68"/>
      <c r="B68" s="21" t="s">
        <v>990</v>
      </c>
      <c r="C68" s="21" t="s">
        <v>1050</v>
      </c>
      <c r="D68" s="21" t="s">
        <v>1005</v>
      </c>
      <c r="E68" s="35">
        <v>1.75</v>
      </c>
      <c r="F68" s="21" t="s">
        <v>10</v>
      </c>
      <c r="G68">
        <v>0</v>
      </c>
      <c r="H68">
        <v>5</v>
      </c>
      <c r="I68" t="s">
        <v>806</v>
      </c>
      <c r="J68" t="s">
        <v>9</v>
      </c>
      <c r="K68" s="21" t="s">
        <v>1026</v>
      </c>
      <c r="L68" s="21" t="s">
        <v>987</v>
      </c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</row>
    <row r="69" spans="1:155" s="11" customFormat="1" x14ac:dyDescent="0.3">
      <c r="A69"/>
      <c r="B69" s="21" t="s">
        <v>990</v>
      </c>
      <c r="C69" s="21" t="s">
        <v>1050</v>
      </c>
      <c r="D69" s="21" t="s">
        <v>1006</v>
      </c>
      <c r="E69" s="35">
        <v>0</v>
      </c>
      <c r="F69" s="21" t="s">
        <v>10</v>
      </c>
      <c r="G69">
        <v>0</v>
      </c>
      <c r="H69">
        <v>5</v>
      </c>
      <c r="I69" t="s">
        <v>806</v>
      </c>
      <c r="J69" t="s">
        <v>9</v>
      </c>
      <c r="K69" s="21" t="s">
        <v>1027</v>
      </c>
      <c r="L69" s="21" t="s">
        <v>987</v>
      </c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</row>
    <row r="70" spans="1:155" s="11" customFormat="1" x14ac:dyDescent="0.3">
      <c r="A70"/>
      <c r="B70" s="21" t="s">
        <v>990</v>
      </c>
      <c r="C70" s="21" t="s">
        <v>1050</v>
      </c>
      <c r="D70" s="21" t="s">
        <v>1007</v>
      </c>
      <c r="E70" s="35">
        <v>0</v>
      </c>
      <c r="F70" s="21" t="s">
        <v>10</v>
      </c>
      <c r="G70">
        <v>0</v>
      </c>
      <c r="H70">
        <v>5</v>
      </c>
      <c r="I70" t="s">
        <v>806</v>
      </c>
      <c r="J70" t="s">
        <v>9</v>
      </c>
      <c r="K70" s="21" t="s">
        <v>1028</v>
      </c>
      <c r="L70" s="21" t="s">
        <v>987</v>
      </c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</row>
    <row r="71" spans="1:155" s="11" customFormat="1" x14ac:dyDescent="0.3">
      <c r="A71"/>
      <c r="B71" s="21" t="s">
        <v>990</v>
      </c>
      <c r="C71" s="21" t="s">
        <v>1050</v>
      </c>
      <c r="D71" s="21" t="s">
        <v>1008</v>
      </c>
      <c r="E71" s="35">
        <v>0</v>
      </c>
      <c r="F71" s="21" t="s">
        <v>10</v>
      </c>
      <c r="G71">
        <v>0</v>
      </c>
      <c r="H71">
        <v>5</v>
      </c>
      <c r="I71" t="s">
        <v>806</v>
      </c>
      <c r="J71" t="s">
        <v>9</v>
      </c>
      <c r="K71" s="21" t="s">
        <v>1029</v>
      </c>
      <c r="L71" s="21" t="s">
        <v>987</v>
      </c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</row>
    <row r="72" spans="1:155" s="11" customFormat="1" x14ac:dyDescent="0.3">
      <c r="A72"/>
      <c r="B72" s="21" t="s">
        <v>990</v>
      </c>
      <c r="C72" s="21" t="s">
        <v>31</v>
      </c>
      <c r="D72" s="21" t="s">
        <v>278</v>
      </c>
      <c r="E72" s="32">
        <v>6.8</v>
      </c>
      <c r="F72" s="21" t="s">
        <v>9</v>
      </c>
      <c r="G72"/>
      <c r="H72"/>
      <c r="I72" t="s">
        <v>21</v>
      </c>
      <c r="J72" t="s">
        <v>9</v>
      </c>
      <c r="K72" s="21" t="s">
        <v>278</v>
      </c>
      <c r="L72" s="21" t="s">
        <v>987</v>
      </c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</row>
    <row r="73" spans="1:155" s="11" customFormat="1" x14ac:dyDescent="0.3">
      <c r="A73"/>
      <c r="B73" s="21" t="s">
        <v>990</v>
      </c>
      <c r="C73" s="21" t="s">
        <v>19</v>
      </c>
      <c r="D73" s="21" t="s">
        <v>275</v>
      </c>
      <c r="E73" s="29">
        <v>3.5999999999999997E-2</v>
      </c>
      <c r="F73" s="21" t="s">
        <v>9</v>
      </c>
      <c r="G73"/>
      <c r="H73"/>
      <c r="I73" t="s">
        <v>28</v>
      </c>
      <c r="J73" t="s">
        <v>9</v>
      </c>
      <c r="K73" s="21" t="s">
        <v>275</v>
      </c>
      <c r="L73" s="21" t="s">
        <v>987</v>
      </c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</row>
    <row r="74" spans="1:155" s="11" customFormat="1" x14ac:dyDescent="0.3">
      <c r="A74"/>
      <c r="B74" s="21" t="s">
        <v>990</v>
      </c>
      <c r="C74" s="21" t="s">
        <v>19</v>
      </c>
      <c r="D74" s="21" t="s">
        <v>493</v>
      </c>
      <c r="E74" s="29">
        <v>0.13300000000000001</v>
      </c>
      <c r="F74" s="21" t="s">
        <v>9</v>
      </c>
      <c r="G74"/>
      <c r="H74"/>
      <c r="I74" t="s">
        <v>28</v>
      </c>
      <c r="J74" t="s">
        <v>9</v>
      </c>
      <c r="K74" s="21" t="s">
        <v>493</v>
      </c>
      <c r="L74" s="21" t="s">
        <v>987</v>
      </c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</row>
    <row r="75" spans="1:155" s="11" customFormat="1" x14ac:dyDescent="0.3">
      <c r="A75"/>
      <c r="B75" s="21" t="s">
        <v>990</v>
      </c>
      <c r="C75" s="21" t="s">
        <v>19</v>
      </c>
      <c r="D75" s="21" t="s">
        <v>836</v>
      </c>
      <c r="E75" s="29">
        <v>0.128</v>
      </c>
      <c r="F75" s="21" t="s">
        <v>9</v>
      </c>
      <c r="G75"/>
      <c r="H75"/>
      <c r="I75" t="s">
        <v>28</v>
      </c>
      <c r="J75" t="s">
        <v>9</v>
      </c>
      <c r="K75" s="21" t="s">
        <v>836</v>
      </c>
      <c r="L75" s="21" t="s">
        <v>987</v>
      </c>
      <c r="M75"/>
      <c r="N75" t="s">
        <v>808</v>
      </c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</row>
    <row r="76" spans="1:155" s="11" customFormat="1" x14ac:dyDescent="0.3">
      <c r="A76"/>
      <c r="B76" s="21" t="s">
        <v>990</v>
      </c>
      <c r="C76" s="21" t="s">
        <v>19</v>
      </c>
      <c r="D76" s="21" t="s">
        <v>837</v>
      </c>
      <c r="E76" s="29">
        <v>0.24099999999999999</v>
      </c>
      <c r="F76" s="21" t="s">
        <v>9</v>
      </c>
      <c r="G76"/>
      <c r="H76"/>
      <c r="I76" t="s">
        <v>28</v>
      </c>
      <c r="J76" t="s">
        <v>9</v>
      </c>
      <c r="K76" s="21" t="s">
        <v>837</v>
      </c>
      <c r="L76" s="21" t="s">
        <v>987</v>
      </c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</row>
    <row r="77" spans="1:155" s="11" customFormat="1" x14ac:dyDescent="0.3">
      <c r="A77"/>
      <c r="B77" s="21" t="s">
        <v>990</v>
      </c>
      <c r="C77" s="21" t="s">
        <v>19</v>
      </c>
      <c r="D77" s="21" t="s">
        <v>838</v>
      </c>
      <c r="E77" s="29">
        <v>4.4999999999999998E-2</v>
      </c>
      <c r="F77" s="21" t="s">
        <v>9</v>
      </c>
      <c r="G77"/>
      <c r="H77"/>
      <c r="I77" t="s">
        <v>28</v>
      </c>
      <c r="J77" t="s">
        <v>9</v>
      </c>
      <c r="K77" s="21" t="s">
        <v>838</v>
      </c>
      <c r="L77" s="21" t="s">
        <v>987</v>
      </c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</row>
    <row r="78" spans="1:155" s="11" customFormat="1" x14ac:dyDescent="0.3">
      <c r="A78"/>
      <c r="B78" s="21" t="s">
        <v>990</v>
      </c>
      <c r="C78" s="21" t="s">
        <v>19</v>
      </c>
      <c r="D78" s="21" t="s">
        <v>839</v>
      </c>
      <c r="E78" s="29">
        <v>0.26500000000000001</v>
      </c>
      <c r="F78" s="21" t="s">
        <v>9</v>
      </c>
      <c r="G78"/>
      <c r="H78"/>
      <c r="I78" t="s">
        <v>28</v>
      </c>
      <c r="J78" t="s">
        <v>9</v>
      </c>
      <c r="K78" s="21" t="s">
        <v>839</v>
      </c>
      <c r="L78" s="21" t="s">
        <v>987</v>
      </c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</row>
    <row r="79" spans="1:155" s="11" customFormat="1" x14ac:dyDescent="0.3">
      <c r="A79"/>
      <c r="B79" s="21" t="s">
        <v>990</v>
      </c>
      <c r="C79" s="21" t="s">
        <v>235</v>
      </c>
      <c r="D79" s="17" t="s">
        <v>277</v>
      </c>
      <c r="E79" s="18">
        <v>0</v>
      </c>
      <c r="F79" s="17" t="s">
        <v>9</v>
      </c>
      <c r="G79" s="19"/>
      <c r="H79" s="19"/>
      <c r="I79" t="s">
        <v>28</v>
      </c>
      <c r="J79" t="s">
        <v>9</v>
      </c>
      <c r="K79" s="21" t="s">
        <v>277</v>
      </c>
      <c r="L79" s="21" t="s">
        <v>987</v>
      </c>
      <c r="M79" t="s">
        <v>236</v>
      </c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</row>
    <row r="80" spans="1:155" s="11" customFormat="1" x14ac:dyDescent="0.3">
      <c r="A80"/>
      <c r="B80" s="21" t="s">
        <v>990</v>
      </c>
      <c r="C80" s="21" t="s">
        <v>235</v>
      </c>
      <c r="D80" s="17" t="s">
        <v>487</v>
      </c>
      <c r="E80" s="18">
        <f>(1-E73)</f>
        <v>0.96399999999999997</v>
      </c>
      <c r="F80" s="17" t="s">
        <v>9</v>
      </c>
      <c r="G80" s="19"/>
      <c r="H80" s="19"/>
      <c r="I80" t="s">
        <v>28</v>
      </c>
      <c r="J80" t="s">
        <v>9</v>
      </c>
      <c r="K80" s="21" t="s">
        <v>487</v>
      </c>
      <c r="L80" s="21" t="s">
        <v>987</v>
      </c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</row>
    <row r="81" spans="1:155" s="11" customFormat="1" x14ac:dyDescent="0.3">
      <c r="A81"/>
      <c r="B81" s="21" t="s">
        <v>990</v>
      </c>
      <c r="C81" s="21" t="s">
        <v>235</v>
      </c>
      <c r="D81" s="17" t="s">
        <v>488</v>
      </c>
      <c r="E81" s="18">
        <f>(1-E74)</f>
        <v>0.86699999999999999</v>
      </c>
      <c r="F81" s="17" t="s">
        <v>9</v>
      </c>
      <c r="G81" s="19"/>
      <c r="H81" s="19"/>
      <c r="I81" t="s">
        <v>28</v>
      </c>
      <c r="J81" t="s">
        <v>9</v>
      </c>
      <c r="K81" s="21" t="s">
        <v>488</v>
      </c>
      <c r="L81" s="21" t="s">
        <v>987</v>
      </c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</row>
    <row r="82" spans="1:155" s="11" customFormat="1" x14ac:dyDescent="0.3">
      <c r="A82"/>
      <c r="B82" s="21" t="s">
        <v>990</v>
      </c>
      <c r="C82" s="21" t="s">
        <v>235</v>
      </c>
      <c r="D82" s="17" t="s">
        <v>489</v>
      </c>
      <c r="E82" s="18">
        <f>(1-E75)</f>
        <v>0.872</v>
      </c>
      <c r="F82" s="17" t="s">
        <v>9</v>
      </c>
      <c r="G82" s="19"/>
      <c r="H82" s="19"/>
      <c r="I82" t="s">
        <v>28</v>
      </c>
      <c r="J82" t="s">
        <v>9</v>
      </c>
      <c r="K82" s="21" t="s">
        <v>489</v>
      </c>
      <c r="L82" s="21" t="s">
        <v>987</v>
      </c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</row>
    <row r="83" spans="1:155" s="11" customFormat="1" x14ac:dyDescent="0.3">
      <c r="A83"/>
      <c r="B83" s="21" t="s">
        <v>990</v>
      </c>
      <c r="C83" s="21" t="s">
        <v>235</v>
      </c>
      <c r="D83" s="17" t="s">
        <v>490</v>
      </c>
      <c r="E83" s="18">
        <f>(1-E76)</f>
        <v>0.75900000000000001</v>
      </c>
      <c r="F83" s="17" t="s">
        <v>9</v>
      </c>
      <c r="G83" s="19"/>
      <c r="H83" s="19"/>
      <c r="I83" t="s">
        <v>28</v>
      </c>
      <c r="J83" t="s">
        <v>9</v>
      </c>
      <c r="K83" s="21" t="s">
        <v>490</v>
      </c>
      <c r="L83" s="21" t="s">
        <v>987</v>
      </c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</row>
    <row r="84" spans="1:155" s="11" customFormat="1" x14ac:dyDescent="0.3">
      <c r="A84"/>
      <c r="B84" s="21" t="s">
        <v>990</v>
      </c>
      <c r="C84" s="21" t="s">
        <v>235</v>
      </c>
      <c r="D84" s="17" t="s">
        <v>491</v>
      </c>
      <c r="E84" s="18">
        <f t="shared" ref="E84:E85" si="0">(1-E77)</f>
        <v>0.95499999999999996</v>
      </c>
      <c r="F84" s="17" t="s">
        <v>9</v>
      </c>
      <c r="G84" s="19"/>
      <c r="H84" s="19"/>
      <c r="I84" t="s">
        <v>28</v>
      </c>
      <c r="J84" t="s">
        <v>9</v>
      </c>
      <c r="K84" s="21" t="s">
        <v>491</v>
      </c>
      <c r="L84" s="21" t="s">
        <v>987</v>
      </c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</row>
    <row r="85" spans="1:155" s="11" customFormat="1" x14ac:dyDescent="0.3">
      <c r="A85"/>
      <c r="B85" s="21" t="s">
        <v>990</v>
      </c>
      <c r="C85" s="21" t="s">
        <v>235</v>
      </c>
      <c r="D85" s="17" t="s">
        <v>492</v>
      </c>
      <c r="E85" s="18">
        <f t="shared" si="0"/>
        <v>0.73499999999999999</v>
      </c>
      <c r="F85" s="17" t="s">
        <v>9</v>
      </c>
      <c r="G85" s="19"/>
      <c r="H85" s="19"/>
      <c r="I85" t="s">
        <v>28</v>
      </c>
      <c r="J85" t="s">
        <v>9</v>
      </c>
      <c r="K85" s="21" t="s">
        <v>492</v>
      </c>
      <c r="L85" s="21" t="s">
        <v>987</v>
      </c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</row>
    <row r="86" spans="1:155" s="11" customFormat="1" x14ac:dyDescent="0.3">
      <c r="A86"/>
      <c r="B86" s="21" t="s">
        <v>990</v>
      </c>
      <c r="C86" s="21" t="s">
        <v>149</v>
      </c>
      <c r="D86" s="21" t="s">
        <v>106</v>
      </c>
      <c r="E86" s="31">
        <v>4500</v>
      </c>
      <c r="F86" t="s">
        <v>9</v>
      </c>
      <c r="G86">
        <v>0</v>
      </c>
      <c r="H86">
        <v>100000</v>
      </c>
      <c r="I86" t="s">
        <v>1043</v>
      </c>
      <c r="J86" t="s">
        <v>9</v>
      </c>
      <c r="K86" s="21" t="s">
        <v>106</v>
      </c>
      <c r="L86" s="21" t="s">
        <v>987</v>
      </c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</row>
    <row r="87" spans="1:155" s="11" customFormat="1" x14ac:dyDescent="0.3">
      <c r="A87"/>
      <c r="B87" s="21" t="s">
        <v>990</v>
      </c>
      <c r="C87" s="21" t="s">
        <v>250</v>
      </c>
      <c r="D87" s="21" t="s">
        <v>276</v>
      </c>
      <c r="E87" s="31">
        <v>0</v>
      </c>
      <c r="F87" s="21" t="s">
        <v>10</v>
      </c>
      <c r="G87">
        <v>0</v>
      </c>
      <c r="H87">
        <v>2000</v>
      </c>
      <c r="I87" t="s">
        <v>1043</v>
      </c>
      <c r="J87" t="s">
        <v>10</v>
      </c>
      <c r="K87" s="36" t="s">
        <v>1045</v>
      </c>
      <c r="L87" s="21" t="s">
        <v>987</v>
      </c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</row>
    <row r="88" spans="1:155" s="11" customFormat="1" x14ac:dyDescent="0.3">
      <c r="A88"/>
      <c r="B88" s="21" t="s">
        <v>990</v>
      </c>
      <c r="C88" s="21" t="s">
        <v>250</v>
      </c>
      <c r="D88" s="21" t="s">
        <v>1016</v>
      </c>
      <c r="E88" s="30">
        <v>900</v>
      </c>
      <c r="F88" s="21" t="s">
        <v>10</v>
      </c>
      <c r="G88">
        <v>0</v>
      </c>
      <c r="H88">
        <v>2000</v>
      </c>
      <c r="I88" t="s">
        <v>1043</v>
      </c>
      <c r="J88" t="s">
        <v>10</v>
      </c>
      <c r="K88" s="21" t="s">
        <v>1044</v>
      </c>
      <c r="L88" s="21" t="s">
        <v>987</v>
      </c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</row>
    <row r="89" spans="1:155" s="11" customFormat="1" x14ac:dyDescent="0.3">
      <c r="A89"/>
      <c r="B89" s="21" t="s">
        <v>990</v>
      </c>
      <c r="C89" t="s">
        <v>1053</v>
      </c>
      <c r="D89" s="21" t="s">
        <v>1009</v>
      </c>
      <c r="E89" s="31">
        <v>526</v>
      </c>
      <c r="F89" s="21" t="s">
        <v>10</v>
      </c>
      <c r="G89">
        <v>0</v>
      </c>
      <c r="H89">
        <v>10000</v>
      </c>
      <c r="I89" t="s">
        <v>1043</v>
      </c>
      <c r="J89" t="s">
        <v>10</v>
      </c>
      <c r="K89" s="21" t="s">
        <v>1019</v>
      </c>
      <c r="L89" s="21" t="s">
        <v>987</v>
      </c>
      <c r="M89" t="s">
        <v>486</v>
      </c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</row>
    <row r="90" spans="1:155" s="11" customFormat="1" x14ac:dyDescent="0.3">
      <c r="A90"/>
      <c r="B90" s="21" t="s">
        <v>990</v>
      </c>
      <c r="C90" t="s">
        <v>1053</v>
      </c>
      <c r="D90" s="21" t="s">
        <v>1010</v>
      </c>
      <c r="E90" s="31">
        <v>445</v>
      </c>
      <c r="F90" s="21" t="s">
        <v>10</v>
      </c>
      <c r="G90">
        <v>0</v>
      </c>
      <c r="H90">
        <v>10000</v>
      </c>
      <c r="I90" t="s">
        <v>1043</v>
      </c>
      <c r="J90" t="s">
        <v>10</v>
      </c>
      <c r="K90" s="21" t="s">
        <v>1020</v>
      </c>
      <c r="L90" s="21" t="s">
        <v>987</v>
      </c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</row>
    <row r="91" spans="1:155" s="11" customFormat="1" x14ac:dyDescent="0.3">
      <c r="A91"/>
      <c r="B91" s="21" t="s">
        <v>990</v>
      </c>
      <c r="C91" t="s">
        <v>1053</v>
      </c>
      <c r="D91" t="s">
        <v>1011</v>
      </c>
      <c r="E91" s="31">
        <v>0</v>
      </c>
      <c r="F91" s="21" t="s">
        <v>10</v>
      </c>
      <c r="G91">
        <v>0</v>
      </c>
      <c r="H91">
        <v>10000</v>
      </c>
      <c r="I91" t="s">
        <v>1043</v>
      </c>
      <c r="J91" t="s">
        <v>10</v>
      </c>
      <c r="K91" s="21" t="s">
        <v>1022</v>
      </c>
      <c r="L91" s="21" t="s">
        <v>987</v>
      </c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</row>
    <row r="92" spans="1:155" s="11" customFormat="1" x14ac:dyDescent="0.3">
      <c r="A92"/>
      <c r="B92" s="21" t="s">
        <v>990</v>
      </c>
      <c r="C92" t="s">
        <v>1053</v>
      </c>
      <c r="D92" s="21" t="s">
        <v>1012</v>
      </c>
      <c r="E92" s="31">
        <v>0</v>
      </c>
      <c r="F92" s="21" t="s">
        <v>10</v>
      </c>
      <c r="G92">
        <v>0</v>
      </c>
      <c r="H92">
        <v>10000</v>
      </c>
      <c r="I92" t="s">
        <v>1043</v>
      </c>
      <c r="J92" t="s">
        <v>10</v>
      </c>
      <c r="K92" s="21" t="s">
        <v>1023</v>
      </c>
      <c r="L92" s="21" t="s">
        <v>987</v>
      </c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</row>
    <row r="93" spans="1:155" s="11" customFormat="1" x14ac:dyDescent="0.3">
      <c r="A93"/>
      <c r="B93" s="21" t="s">
        <v>990</v>
      </c>
      <c r="C93" t="s">
        <v>1053</v>
      </c>
      <c r="D93" s="21" t="s">
        <v>1013</v>
      </c>
      <c r="E93" s="31">
        <v>0</v>
      </c>
      <c r="F93" s="21" t="s">
        <v>10</v>
      </c>
      <c r="G93">
        <v>0</v>
      </c>
      <c r="H93">
        <v>10000</v>
      </c>
      <c r="I93" t="s">
        <v>1043</v>
      </c>
      <c r="J93" t="s">
        <v>10</v>
      </c>
      <c r="K93" s="21" t="s">
        <v>1024</v>
      </c>
      <c r="L93" s="21" t="s">
        <v>987</v>
      </c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</row>
    <row r="94" spans="1:155" s="11" customFormat="1" x14ac:dyDescent="0.3">
      <c r="A94"/>
      <c r="B94" s="21" t="s">
        <v>990</v>
      </c>
      <c r="C94" t="s">
        <v>1053</v>
      </c>
      <c r="D94" s="21" t="s">
        <v>1014</v>
      </c>
      <c r="E94" s="31">
        <v>1193</v>
      </c>
      <c r="F94" s="21" t="s">
        <v>10</v>
      </c>
      <c r="G94">
        <v>0</v>
      </c>
      <c r="H94">
        <v>10000</v>
      </c>
      <c r="I94" t="s">
        <v>1043</v>
      </c>
      <c r="J94" t="s">
        <v>10</v>
      </c>
      <c r="K94" s="21" t="s">
        <v>1025</v>
      </c>
      <c r="L94" s="21" t="s">
        <v>987</v>
      </c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</row>
    <row r="95" spans="1:155" s="11" customFormat="1" x14ac:dyDescent="0.3">
      <c r="A95"/>
      <c r="B95" s="21" t="s">
        <v>990</v>
      </c>
      <c r="C95" t="s">
        <v>1053</v>
      </c>
      <c r="D95" s="21" t="s">
        <v>1015</v>
      </c>
      <c r="E95" s="31">
        <v>0</v>
      </c>
      <c r="F95" s="21" t="s">
        <v>10</v>
      </c>
      <c r="G95">
        <v>0</v>
      </c>
      <c r="H95">
        <v>10000</v>
      </c>
      <c r="I95" t="s">
        <v>1043</v>
      </c>
      <c r="J95" t="s">
        <v>10</v>
      </c>
      <c r="K95" s="21" t="s">
        <v>1026</v>
      </c>
      <c r="L95" s="21" t="s">
        <v>987</v>
      </c>
      <c r="M95" t="s">
        <v>984</v>
      </c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</row>
    <row r="96" spans="1:155" s="11" customFormat="1" x14ac:dyDescent="0.3">
      <c r="A96"/>
      <c r="B96" s="21" t="s">
        <v>990</v>
      </c>
      <c r="C96" t="s">
        <v>193</v>
      </c>
      <c r="D96" t="s">
        <v>194</v>
      </c>
      <c r="E96" s="31">
        <v>1</v>
      </c>
      <c r="F96" s="21" t="s">
        <v>9</v>
      </c>
      <c r="G96"/>
      <c r="H96"/>
      <c r="I96" t="s">
        <v>234</v>
      </c>
      <c r="J96" t="s">
        <v>9</v>
      </c>
      <c r="K96" t="s">
        <v>194</v>
      </c>
      <c r="L96" s="21" t="s">
        <v>987</v>
      </c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</row>
    <row r="97" spans="1:155" s="11" customFormat="1" x14ac:dyDescent="0.3">
      <c r="A97"/>
      <c r="B97" s="21" t="s">
        <v>990</v>
      </c>
      <c r="C97" t="s">
        <v>193</v>
      </c>
      <c r="D97" t="s">
        <v>195</v>
      </c>
      <c r="E97" s="31">
        <v>2</v>
      </c>
      <c r="F97" s="21" t="s">
        <v>9</v>
      </c>
      <c r="G97"/>
      <c r="H97"/>
      <c r="I97" t="s">
        <v>234</v>
      </c>
      <c r="J97" t="s">
        <v>9</v>
      </c>
      <c r="K97" t="s">
        <v>195</v>
      </c>
      <c r="L97" s="21" t="s">
        <v>987</v>
      </c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</row>
    <row r="98" spans="1:155" s="11" customFormat="1" x14ac:dyDescent="0.3">
      <c r="A98"/>
      <c r="B98" s="21" t="s">
        <v>990</v>
      </c>
      <c r="C98" t="s">
        <v>193</v>
      </c>
      <c r="D98" t="s">
        <v>196</v>
      </c>
      <c r="E98" s="31">
        <v>3</v>
      </c>
      <c r="F98" s="21" t="s">
        <v>9</v>
      </c>
      <c r="G98"/>
      <c r="H98"/>
      <c r="I98" t="s">
        <v>234</v>
      </c>
      <c r="J98" t="s">
        <v>9</v>
      </c>
      <c r="K98" t="s">
        <v>196</v>
      </c>
      <c r="L98" s="21" t="s">
        <v>987</v>
      </c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</row>
    <row r="99" spans="1:155" s="11" customFormat="1" x14ac:dyDescent="0.3">
      <c r="A99"/>
      <c r="B99" s="21" t="s">
        <v>990</v>
      </c>
      <c r="C99" t="s">
        <v>193</v>
      </c>
      <c r="D99" t="s">
        <v>197</v>
      </c>
      <c r="E99" s="31">
        <v>4</v>
      </c>
      <c r="F99" s="21" t="s">
        <v>9</v>
      </c>
      <c r="G99"/>
      <c r="H99"/>
      <c r="I99" t="s">
        <v>234</v>
      </c>
      <c r="J99" t="s">
        <v>9</v>
      </c>
      <c r="K99" t="s">
        <v>197</v>
      </c>
      <c r="L99" s="21" t="s">
        <v>987</v>
      </c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</row>
    <row r="100" spans="1:155" s="11" customFormat="1" x14ac:dyDescent="0.3">
      <c r="A100"/>
      <c r="B100" s="21" t="s">
        <v>990</v>
      </c>
      <c r="C100" t="s">
        <v>193</v>
      </c>
      <c r="D100" t="s">
        <v>198</v>
      </c>
      <c r="E100" s="31">
        <v>5</v>
      </c>
      <c r="F100" s="21" t="s">
        <v>9</v>
      </c>
      <c r="G100"/>
      <c r="H100"/>
      <c r="I100" t="s">
        <v>234</v>
      </c>
      <c r="J100" t="s">
        <v>9</v>
      </c>
      <c r="K100" t="s">
        <v>198</v>
      </c>
      <c r="L100" s="21" t="s">
        <v>987</v>
      </c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</row>
    <row r="101" spans="1:155" s="11" customFormat="1" x14ac:dyDescent="0.3">
      <c r="A101"/>
      <c r="B101" s="21" t="s">
        <v>990</v>
      </c>
      <c r="C101" t="s">
        <v>193</v>
      </c>
      <c r="D101" t="s">
        <v>199</v>
      </c>
      <c r="E101" s="31">
        <v>6</v>
      </c>
      <c r="F101" s="21" t="s">
        <v>9</v>
      </c>
      <c r="G101"/>
      <c r="H101"/>
      <c r="I101" t="s">
        <v>234</v>
      </c>
      <c r="J101" t="s">
        <v>9</v>
      </c>
      <c r="K101" t="s">
        <v>199</v>
      </c>
      <c r="L101" s="21" t="s">
        <v>987</v>
      </c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</row>
    <row r="102" spans="1:155" s="11" customFormat="1" x14ac:dyDescent="0.3">
      <c r="A102"/>
      <c r="B102" s="21" t="s">
        <v>990</v>
      </c>
      <c r="C102" t="s">
        <v>193</v>
      </c>
      <c r="D102" t="s">
        <v>200</v>
      </c>
      <c r="E102" s="31">
        <v>7</v>
      </c>
      <c r="F102" s="21" t="s">
        <v>9</v>
      </c>
      <c r="G102"/>
      <c r="H102"/>
      <c r="I102" t="s">
        <v>234</v>
      </c>
      <c r="J102" t="s">
        <v>9</v>
      </c>
      <c r="K102" t="s">
        <v>200</v>
      </c>
      <c r="L102" s="21" t="s">
        <v>987</v>
      </c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</row>
    <row r="103" spans="1:155" s="11" customFormat="1" x14ac:dyDescent="0.3">
      <c r="A103"/>
      <c r="B103" s="21" t="s">
        <v>990</v>
      </c>
      <c r="C103" t="s">
        <v>193</v>
      </c>
      <c r="D103" t="s">
        <v>201</v>
      </c>
      <c r="E103" s="31">
        <v>8</v>
      </c>
      <c r="F103" s="21" t="s">
        <v>9</v>
      </c>
      <c r="G103"/>
      <c r="H103"/>
      <c r="I103" t="s">
        <v>234</v>
      </c>
      <c r="J103" t="s">
        <v>9</v>
      </c>
      <c r="K103" t="s">
        <v>201</v>
      </c>
      <c r="L103" s="21" t="s">
        <v>987</v>
      </c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</row>
    <row r="104" spans="1:155" s="11" customFormat="1" x14ac:dyDescent="0.3">
      <c r="A104"/>
      <c r="B104" s="21" t="s">
        <v>990</v>
      </c>
      <c r="C104" t="s">
        <v>193</v>
      </c>
      <c r="D104" t="s">
        <v>202</v>
      </c>
      <c r="E104" s="31">
        <v>9</v>
      </c>
      <c r="F104" s="21" t="s">
        <v>9</v>
      </c>
      <c r="G104"/>
      <c r="H104"/>
      <c r="I104" t="s">
        <v>234</v>
      </c>
      <c r="J104" t="s">
        <v>9</v>
      </c>
      <c r="K104" t="s">
        <v>202</v>
      </c>
      <c r="L104" s="21" t="s">
        <v>987</v>
      </c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</row>
    <row r="105" spans="1:155" s="11" customFormat="1" x14ac:dyDescent="0.3">
      <c r="A105"/>
      <c r="B105" s="21" t="s">
        <v>990</v>
      </c>
      <c r="C105" t="s">
        <v>193</v>
      </c>
      <c r="D105" t="s">
        <v>203</v>
      </c>
      <c r="E105" s="31">
        <v>10</v>
      </c>
      <c r="F105" s="21" t="s">
        <v>9</v>
      </c>
      <c r="G105"/>
      <c r="H105"/>
      <c r="I105" t="s">
        <v>234</v>
      </c>
      <c r="J105" t="s">
        <v>9</v>
      </c>
      <c r="K105" t="s">
        <v>203</v>
      </c>
      <c r="L105" s="21" t="s">
        <v>987</v>
      </c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</row>
    <row r="106" spans="1:155" s="11" customFormat="1" x14ac:dyDescent="0.3">
      <c r="A106"/>
      <c r="B106" s="21" t="s">
        <v>990</v>
      </c>
      <c r="C106" t="s">
        <v>193</v>
      </c>
      <c r="D106" t="s">
        <v>204</v>
      </c>
      <c r="E106" s="31">
        <v>11</v>
      </c>
      <c r="F106" s="21" t="s">
        <v>9</v>
      </c>
      <c r="G106"/>
      <c r="H106"/>
      <c r="I106" t="s">
        <v>234</v>
      </c>
      <c r="J106" t="s">
        <v>9</v>
      </c>
      <c r="K106" t="s">
        <v>204</v>
      </c>
      <c r="L106" s="21" t="s">
        <v>987</v>
      </c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</row>
    <row r="107" spans="1:155" s="11" customFormat="1" x14ac:dyDescent="0.3">
      <c r="A107"/>
      <c r="B107" s="21" t="s">
        <v>990</v>
      </c>
      <c r="C107" t="s">
        <v>193</v>
      </c>
      <c r="D107" t="s">
        <v>205</v>
      </c>
      <c r="E107" s="31">
        <v>12</v>
      </c>
      <c r="F107" s="21" t="s">
        <v>9</v>
      </c>
      <c r="G107"/>
      <c r="H107"/>
      <c r="I107" t="s">
        <v>234</v>
      </c>
      <c r="J107" t="s">
        <v>9</v>
      </c>
      <c r="K107" t="s">
        <v>205</v>
      </c>
      <c r="L107" s="21" t="s">
        <v>987</v>
      </c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</row>
    <row r="108" spans="1:155" s="11" customFormat="1" x14ac:dyDescent="0.3">
      <c r="A108"/>
      <c r="B108" s="21" t="s">
        <v>990</v>
      </c>
      <c r="C108" t="s">
        <v>193</v>
      </c>
      <c r="D108" t="s">
        <v>206</v>
      </c>
      <c r="E108" s="31">
        <v>13</v>
      </c>
      <c r="F108" s="21" t="s">
        <v>9</v>
      </c>
      <c r="G108"/>
      <c r="H108"/>
      <c r="I108" t="s">
        <v>234</v>
      </c>
      <c r="J108" t="s">
        <v>9</v>
      </c>
      <c r="K108" t="s">
        <v>206</v>
      </c>
      <c r="L108" s="21" t="s">
        <v>987</v>
      </c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</row>
    <row r="109" spans="1:155" s="11" customFormat="1" x14ac:dyDescent="0.3">
      <c r="A109"/>
      <c r="B109" s="21" t="s">
        <v>990</v>
      </c>
      <c r="C109" t="s">
        <v>193</v>
      </c>
      <c r="D109" t="s">
        <v>207</v>
      </c>
      <c r="E109" s="31">
        <v>14</v>
      </c>
      <c r="F109" s="21" t="s">
        <v>9</v>
      </c>
      <c r="G109"/>
      <c r="H109"/>
      <c r="I109" t="s">
        <v>234</v>
      </c>
      <c r="J109" t="s">
        <v>9</v>
      </c>
      <c r="K109" t="s">
        <v>207</v>
      </c>
      <c r="L109" s="21" t="s">
        <v>987</v>
      </c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</row>
    <row r="110" spans="1:155" s="11" customFormat="1" x14ac:dyDescent="0.3">
      <c r="A110"/>
      <c r="B110" s="21" t="s">
        <v>990</v>
      </c>
      <c r="C110" t="s">
        <v>193</v>
      </c>
      <c r="D110" t="s">
        <v>208</v>
      </c>
      <c r="E110" s="31">
        <v>15</v>
      </c>
      <c r="F110" s="21" t="s">
        <v>9</v>
      </c>
      <c r="G110"/>
      <c r="H110"/>
      <c r="I110" t="s">
        <v>234</v>
      </c>
      <c r="J110" t="s">
        <v>9</v>
      </c>
      <c r="K110" t="s">
        <v>208</v>
      </c>
      <c r="L110" s="21" t="s">
        <v>987</v>
      </c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</row>
    <row r="111" spans="1:155" s="11" customFormat="1" x14ac:dyDescent="0.3">
      <c r="A111"/>
      <c r="B111" s="21" t="s">
        <v>990</v>
      </c>
      <c r="C111" t="s">
        <v>193</v>
      </c>
      <c r="D111" t="s">
        <v>209</v>
      </c>
      <c r="E111" s="31">
        <v>16</v>
      </c>
      <c r="F111" s="21" t="s">
        <v>9</v>
      </c>
      <c r="G111"/>
      <c r="H111"/>
      <c r="I111" t="s">
        <v>234</v>
      </c>
      <c r="J111" t="s">
        <v>9</v>
      </c>
      <c r="K111" t="s">
        <v>209</v>
      </c>
      <c r="L111" s="21" t="s">
        <v>987</v>
      </c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</row>
    <row r="112" spans="1:155" s="11" customFormat="1" x14ac:dyDescent="0.3">
      <c r="A112"/>
      <c r="B112" s="21" t="s">
        <v>990</v>
      </c>
      <c r="C112" t="s">
        <v>193</v>
      </c>
      <c r="D112" t="s">
        <v>210</v>
      </c>
      <c r="E112" s="31">
        <v>17</v>
      </c>
      <c r="F112" s="21" t="s">
        <v>9</v>
      </c>
      <c r="G112"/>
      <c r="H112"/>
      <c r="I112" t="s">
        <v>234</v>
      </c>
      <c r="J112" t="s">
        <v>9</v>
      </c>
      <c r="K112" t="s">
        <v>210</v>
      </c>
      <c r="L112" s="21" t="s">
        <v>987</v>
      </c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</row>
    <row r="113" spans="1:155" s="11" customFormat="1" x14ac:dyDescent="0.3">
      <c r="A113"/>
      <c r="B113" s="21" t="s">
        <v>990</v>
      </c>
      <c r="C113" t="s">
        <v>193</v>
      </c>
      <c r="D113" t="s">
        <v>211</v>
      </c>
      <c r="E113" s="31">
        <v>18</v>
      </c>
      <c r="F113" s="21" t="s">
        <v>9</v>
      </c>
      <c r="G113"/>
      <c r="H113"/>
      <c r="I113" t="s">
        <v>234</v>
      </c>
      <c r="J113" t="s">
        <v>9</v>
      </c>
      <c r="K113" t="s">
        <v>211</v>
      </c>
      <c r="L113" s="21" t="s">
        <v>987</v>
      </c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</row>
    <row r="114" spans="1:155" s="11" customFormat="1" x14ac:dyDescent="0.3">
      <c r="A114"/>
      <c r="B114" s="21" t="s">
        <v>990</v>
      </c>
      <c r="C114" t="s">
        <v>193</v>
      </c>
      <c r="D114" t="s">
        <v>212</v>
      </c>
      <c r="E114" s="31">
        <v>19</v>
      </c>
      <c r="F114" s="21" t="s">
        <v>9</v>
      </c>
      <c r="G114"/>
      <c r="H114"/>
      <c r="I114" t="s">
        <v>234</v>
      </c>
      <c r="J114" t="s">
        <v>9</v>
      </c>
      <c r="K114" t="s">
        <v>212</v>
      </c>
      <c r="L114" s="21" t="s">
        <v>987</v>
      </c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</row>
    <row r="115" spans="1:155" s="11" customFormat="1" x14ac:dyDescent="0.3">
      <c r="A115"/>
      <c r="B115" s="21" t="s">
        <v>990</v>
      </c>
      <c r="C115" t="s">
        <v>193</v>
      </c>
      <c r="D115" t="s">
        <v>213</v>
      </c>
      <c r="E115" s="31">
        <v>20</v>
      </c>
      <c r="F115" s="21" t="s">
        <v>9</v>
      </c>
      <c r="G115"/>
      <c r="H115"/>
      <c r="I115" t="s">
        <v>234</v>
      </c>
      <c r="J115" t="s">
        <v>9</v>
      </c>
      <c r="K115" t="s">
        <v>213</v>
      </c>
      <c r="L115" s="21" t="s">
        <v>987</v>
      </c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</row>
    <row r="116" spans="1:155" s="11" customFormat="1" x14ac:dyDescent="0.3">
      <c r="A116"/>
      <c r="B116" s="21" t="s">
        <v>990</v>
      </c>
      <c r="C116" t="s">
        <v>193</v>
      </c>
      <c r="D116" t="s">
        <v>214</v>
      </c>
      <c r="E116" s="31">
        <v>21</v>
      </c>
      <c r="F116" s="21" t="s">
        <v>9</v>
      </c>
      <c r="G116"/>
      <c r="H116"/>
      <c r="I116" t="s">
        <v>234</v>
      </c>
      <c r="J116" t="s">
        <v>9</v>
      </c>
      <c r="K116" t="s">
        <v>214</v>
      </c>
      <c r="L116" s="21" t="s">
        <v>987</v>
      </c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</row>
    <row r="117" spans="1:155" s="11" customFormat="1" x14ac:dyDescent="0.3">
      <c r="A117"/>
      <c r="B117" s="21" t="s">
        <v>990</v>
      </c>
      <c r="C117" t="s">
        <v>193</v>
      </c>
      <c r="D117" t="s">
        <v>215</v>
      </c>
      <c r="E117" s="31">
        <v>22</v>
      </c>
      <c r="F117" s="21" t="s">
        <v>9</v>
      </c>
      <c r="G117"/>
      <c r="H117"/>
      <c r="I117" t="s">
        <v>234</v>
      </c>
      <c r="J117" t="s">
        <v>9</v>
      </c>
      <c r="K117" t="s">
        <v>215</v>
      </c>
      <c r="L117" s="21" t="s">
        <v>987</v>
      </c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</row>
    <row r="118" spans="1:155" s="11" customFormat="1" x14ac:dyDescent="0.3">
      <c r="A118"/>
      <c r="B118" s="21" t="s">
        <v>990</v>
      </c>
      <c r="C118" t="s">
        <v>193</v>
      </c>
      <c r="D118" t="s">
        <v>216</v>
      </c>
      <c r="E118" s="31">
        <v>23</v>
      </c>
      <c r="F118" s="21" t="s">
        <v>9</v>
      </c>
      <c r="G118"/>
      <c r="H118"/>
      <c r="I118" t="s">
        <v>234</v>
      </c>
      <c r="J118" t="s">
        <v>9</v>
      </c>
      <c r="K118" t="s">
        <v>216</v>
      </c>
      <c r="L118" s="21" t="s">
        <v>987</v>
      </c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</row>
    <row r="119" spans="1:155" s="11" customFormat="1" x14ac:dyDescent="0.3">
      <c r="A119"/>
      <c r="B119" s="21" t="s">
        <v>990</v>
      </c>
      <c r="C119" t="s">
        <v>193</v>
      </c>
      <c r="D119" t="s">
        <v>217</v>
      </c>
      <c r="E119" s="31">
        <v>24</v>
      </c>
      <c r="F119" s="21" t="s">
        <v>9</v>
      </c>
      <c r="G119"/>
      <c r="H119"/>
      <c r="I119" t="s">
        <v>234</v>
      </c>
      <c r="J119" t="s">
        <v>9</v>
      </c>
      <c r="K119" t="s">
        <v>217</v>
      </c>
      <c r="L119" s="21" t="s">
        <v>987</v>
      </c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</row>
    <row r="120" spans="1:155" s="11" customFormat="1" x14ac:dyDescent="0.3">
      <c r="A120"/>
      <c r="B120" s="21" t="s">
        <v>990</v>
      </c>
      <c r="C120" t="s">
        <v>193</v>
      </c>
      <c r="D120" t="s">
        <v>218</v>
      </c>
      <c r="E120" s="31">
        <v>25</v>
      </c>
      <c r="F120" s="21" t="s">
        <v>9</v>
      </c>
      <c r="G120"/>
      <c r="H120"/>
      <c r="I120" t="s">
        <v>234</v>
      </c>
      <c r="J120" t="s">
        <v>9</v>
      </c>
      <c r="K120" t="s">
        <v>218</v>
      </c>
      <c r="L120" s="21" t="s">
        <v>987</v>
      </c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</row>
    <row r="121" spans="1:155" s="11" customFormat="1" x14ac:dyDescent="0.3">
      <c r="A121"/>
      <c r="B121" s="21" t="s">
        <v>990</v>
      </c>
      <c r="C121" t="s">
        <v>193</v>
      </c>
      <c r="D121" t="s">
        <v>219</v>
      </c>
      <c r="E121" s="31">
        <v>26</v>
      </c>
      <c r="F121" s="21" t="s">
        <v>9</v>
      </c>
      <c r="G121"/>
      <c r="H121"/>
      <c r="I121" t="s">
        <v>234</v>
      </c>
      <c r="J121" t="s">
        <v>9</v>
      </c>
      <c r="K121" t="s">
        <v>219</v>
      </c>
      <c r="L121" s="21" t="s">
        <v>987</v>
      </c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</row>
    <row r="122" spans="1:155" s="11" customFormat="1" x14ac:dyDescent="0.3">
      <c r="A122"/>
      <c r="B122" s="21" t="s">
        <v>990</v>
      </c>
      <c r="C122" t="s">
        <v>193</v>
      </c>
      <c r="D122" t="s">
        <v>220</v>
      </c>
      <c r="E122" s="31">
        <v>27</v>
      </c>
      <c r="F122" s="21" t="s">
        <v>9</v>
      </c>
      <c r="G122"/>
      <c r="H122"/>
      <c r="I122" t="s">
        <v>234</v>
      </c>
      <c r="J122" t="s">
        <v>9</v>
      </c>
      <c r="K122" t="s">
        <v>220</v>
      </c>
      <c r="L122" s="21" t="s">
        <v>987</v>
      </c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</row>
    <row r="123" spans="1:155" s="11" customFormat="1" x14ac:dyDescent="0.3">
      <c r="A123"/>
      <c r="B123" s="21" t="s">
        <v>990</v>
      </c>
      <c r="C123" t="s">
        <v>193</v>
      </c>
      <c r="D123" t="s">
        <v>221</v>
      </c>
      <c r="E123" s="31">
        <v>28</v>
      </c>
      <c r="F123" s="21" t="s">
        <v>9</v>
      </c>
      <c r="G123"/>
      <c r="H123"/>
      <c r="I123" t="s">
        <v>234</v>
      </c>
      <c r="J123" t="s">
        <v>9</v>
      </c>
      <c r="K123" t="s">
        <v>221</v>
      </c>
      <c r="L123" s="21" t="s">
        <v>987</v>
      </c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</row>
    <row r="124" spans="1:155" s="11" customFormat="1" x14ac:dyDescent="0.3">
      <c r="A124"/>
      <c r="B124" s="21" t="s">
        <v>990</v>
      </c>
      <c r="C124" t="s">
        <v>193</v>
      </c>
      <c r="D124" t="s">
        <v>222</v>
      </c>
      <c r="E124" s="31">
        <v>29</v>
      </c>
      <c r="F124" s="21" t="s">
        <v>9</v>
      </c>
      <c r="G124"/>
      <c r="H124"/>
      <c r="I124" t="s">
        <v>234</v>
      </c>
      <c r="J124" t="s">
        <v>9</v>
      </c>
      <c r="K124" t="s">
        <v>222</v>
      </c>
      <c r="L124" s="21" t="s">
        <v>987</v>
      </c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</row>
    <row r="125" spans="1:155" s="11" customFormat="1" x14ac:dyDescent="0.3">
      <c r="A125"/>
      <c r="B125" s="21" t="s">
        <v>990</v>
      </c>
      <c r="C125" t="s">
        <v>193</v>
      </c>
      <c r="D125" t="s">
        <v>223</v>
      </c>
      <c r="E125" s="31">
        <v>30</v>
      </c>
      <c r="F125" s="21" t="s">
        <v>9</v>
      </c>
      <c r="G125"/>
      <c r="H125"/>
      <c r="I125" t="s">
        <v>234</v>
      </c>
      <c r="J125" t="s">
        <v>9</v>
      </c>
      <c r="K125" t="s">
        <v>223</v>
      </c>
      <c r="L125" s="21" t="s">
        <v>987</v>
      </c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</row>
    <row r="126" spans="1:155" s="11" customFormat="1" x14ac:dyDescent="0.3">
      <c r="A126"/>
      <c r="B126" s="21" t="s">
        <v>990</v>
      </c>
      <c r="C126" t="s">
        <v>193</v>
      </c>
      <c r="D126" t="s">
        <v>224</v>
      </c>
      <c r="E126" s="31">
        <v>31</v>
      </c>
      <c r="F126" s="21" t="s">
        <v>9</v>
      </c>
      <c r="G126"/>
      <c r="H126"/>
      <c r="I126" t="s">
        <v>234</v>
      </c>
      <c r="J126" t="s">
        <v>9</v>
      </c>
      <c r="K126" t="s">
        <v>224</v>
      </c>
      <c r="L126" s="21" t="s">
        <v>987</v>
      </c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</row>
    <row r="127" spans="1:155" s="11" customFormat="1" x14ac:dyDescent="0.3">
      <c r="A127"/>
      <c r="B127" s="21" t="s">
        <v>990</v>
      </c>
      <c r="C127" t="s">
        <v>193</v>
      </c>
      <c r="D127" t="s">
        <v>225</v>
      </c>
      <c r="E127" s="31">
        <v>32</v>
      </c>
      <c r="F127" s="21" t="s">
        <v>9</v>
      </c>
      <c r="G127"/>
      <c r="H127"/>
      <c r="I127" t="s">
        <v>234</v>
      </c>
      <c r="J127" t="s">
        <v>9</v>
      </c>
      <c r="K127" t="s">
        <v>225</v>
      </c>
      <c r="L127" s="21" t="s">
        <v>987</v>
      </c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</row>
    <row r="128" spans="1:155" s="11" customFormat="1" x14ac:dyDescent="0.3">
      <c r="A128"/>
      <c r="B128" s="21" t="s">
        <v>990</v>
      </c>
      <c r="C128" t="s">
        <v>193</v>
      </c>
      <c r="D128" t="s">
        <v>226</v>
      </c>
      <c r="E128" s="31">
        <v>33</v>
      </c>
      <c r="F128" s="21" t="s">
        <v>9</v>
      </c>
      <c r="G128"/>
      <c r="H128"/>
      <c r="I128" t="s">
        <v>234</v>
      </c>
      <c r="J128" t="s">
        <v>9</v>
      </c>
      <c r="K128" t="s">
        <v>226</v>
      </c>
      <c r="L128" s="21" t="s">
        <v>987</v>
      </c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  <c r="CH128"/>
      <c r="CI128"/>
      <c r="CJ128"/>
      <c r="CK128"/>
      <c r="CL128"/>
      <c r="CM128"/>
      <c r="CN128"/>
      <c r="CO128"/>
      <c r="CP128"/>
      <c r="CQ128"/>
      <c r="CR128"/>
      <c r="CS128"/>
      <c r="CT128"/>
      <c r="CU128"/>
      <c r="CV128"/>
      <c r="CW128"/>
      <c r="CX128"/>
      <c r="CY128"/>
      <c r="CZ128"/>
      <c r="DA128"/>
      <c r="DB128"/>
      <c r="DC128"/>
      <c r="DD128"/>
      <c r="DE128"/>
      <c r="DF128"/>
      <c r="DG128"/>
      <c r="DH128"/>
      <c r="DI128"/>
      <c r="DJ128"/>
      <c r="DK128"/>
      <c r="DL128"/>
      <c r="DM128"/>
      <c r="DN128"/>
      <c r="DO128"/>
      <c r="DP128"/>
      <c r="DQ128"/>
      <c r="DR128"/>
      <c r="DS128"/>
      <c r="DT128"/>
      <c r="DU128"/>
      <c r="DV128"/>
      <c r="DW128"/>
      <c r="DX128"/>
      <c r="DY128"/>
      <c r="DZ128"/>
      <c r="EA128"/>
      <c r="EB128"/>
      <c r="EC128"/>
      <c r="ED128"/>
      <c r="EE128"/>
      <c r="EF128"/>
      <c r="EG128"/>
      <c r="EH128"/>
      <c r="EI128"/>
      <c r="EJ128"/>
      <c r="EK128"/>
      <c r="EL128"/>
      <c r="EM128"/>
      <c r="EN128"/>
      <c r="EO128"/>
      <c r="EP128"/>
      <c r="EQ128"/>
      <c r="ER128"/>
      <c r="ES128"/>
      <c r="ET128"/>
      <c r="EU128"/>
      <c r="EV128"/>
      <c r="EW128"/>
      <c r="EX128"/>
      <c r="EY128"/>
    </row>
    <row r="129" spans="1:155" s="11" customFormat="1" x14ac:dyDescent="0.3">
      <c r="A129"/>
      <c r="B129" s="21" t="s">
        <v>990</v>
      </c>
      <c r="C129" t="s">
        <v>193</v>
      </c>
      <c r="D129" t="s">
        <v>227</v>
      </c>
      <c r="E129" s="31">
        <v>34</v>
      </c>
      <c r="F129" s="21" t="s">
        <v>9</v>
      </c>
      <c r="G129"/>
      <c r="H129"/>
      <c r="I129" t="s">
        <v>234</v>
      </c>
      <c r="J129" t="s">
        <v>9</v>
      </c>
      <c r="K129" t="s">
        <v>227</v>
      </c>
      <c r="L129" s="21" t="s">
        <v>987</v>
      </c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  <c r="CH129"/>
      <c r="CI129"/>
      <c r="CJ129"/>
      <c r="CK129"/>
      <c r="CL129"/>
      <c r="CM129"/>
      <c r="CN129"/>
      <c r="CO129"/>
      <c r="CP129"/>
      <c r="CQ129"/>
      <c r="CR129"/>
      <c r="CS129"/>
      <c r="CT129"/>
      <c r="CU129"/>
      <c r="CV129"/>
      <c r="CW129"/>
      <c r="CX129"/>
      <c r="CY129"/>
      <c r="CZ129"/>
      <c r="DA129"/>
      <c r="DB129"/>
      <c r="DC129"/>
      <c r="DD129"/>
      <c r="DE129"/>
      <c r="DF129"/>
      <c r="DG129"/>
      <c r="DH129"/>
      <c r="DI129"/>
      <c r="DJ129"/>
      <c r="DK129"/>
      <c r="DL129"/>
      <c r="DM129"/>
      <c r="DN129"/>
      <c r="DO129"/>
      <c r="DP129"/>
      <c r="DQ129"/>
      <c r="DR129"/>
      <c r="DS129"/>
      <c r="DT129"/>
      <c r="DU129"/>
      <c r="DV129"/>
      <c r="DW129"/>
      <c r="DX129"/>
      <c r="DY129"/>
      <c r="DZ129"/>
      <c r="EA129"/>
      <c r="EB129"/>
      <c r="EC129"/>
      <c r="ED129"/>
      <c r="EE129"/>
      <c r="EF129"/>
      <c r="EG129"/>
      <c r="EH129"/>
      <c r="EI129"/>
      <c r="EJ129"/>
      <c r="EK129"/>
      <c r="EL129"/>
      <c r="EM129"/>
      <c r="EN129"/>
      <c r="EO129"/>
      <c r="EP129"/>
      <c r="EQ129"/>
      <c r="ER129"/>
      <c r="ES129"/>
      <c r="ET129"/>
      <c r="EU129"/>
      <c r="EV129"/>
      <c r="EW129"/>
      <c r="EX129"/>
      <c r="EY129"/>
    </row>
    <row r="130" spans="1:155" s="11" customFormat="1" x14ac:dyDescent="0.3">
      <c r="A130"/>
      <c r="B130" s="21" t="s">
        <v>990</v>
      </c>
      <c r="C130" t="s">
        <v>193</v>
      </c>
      <c r="D130" t="s">
        <v>228</v>
      </c>
      <c r="E130" s="31">
        <v>35</v>
      </c>
      <c r="F130" s="21" t="s">
        <v>9</v>
      </c>
      <c r="G130"/>
      <c r="H130"/>
      <c r="I130" t="s">
        <v>234</v>
      </c>
      <c r="J130" t="s">
        <v>9</v>
      </c>
      <c r="K130" t="s">
        <v>228</v>
      </c>
      <c r="L130" s="21" t="s">
        <v>987</v>
      </c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  <c r="CH130"/>
      <c r="CI130"/>
      <c r="CJ130"/>
      <c r="CK130"/>
      <c r="CL130"/>
      <c r="CM130"/>
      <c r="CN130"/>
      <c r="CO130"/>
      <c r="CP130"/>
      <c r="CQ130"/>
      <c r="CR130"/>
      <c r="CS130"/>
      <c r="CT130"/>
      <c r="CU130"/>
      <c r="CV130"/>
      <c r="CW130"/>
      <c r="CX130"/>
      <c r="CY130"/>
      <c r="CZ130"/>
      <c r="DA130"/>
      <c r="DB130"/>
      <c r="DC130"/>
      <c r="DD130"/>
      <c r="DE130"/>
      <c r="DF130"/>
      <c r="DG130"/>
      <c r="DH130"/>
      <c r="DI130"/>
      <c r="DJ130"/>
      <c r="DK130"/>
      <c r="DL130"/>
      <c r="DM130"/>
      <c r="DN130"/>
      <c r="DO130"/>
      <c r="DP130"/>
      <c r="DQ130"/>
      <c r="DR130"/>
      <c r="DS130"/>
      <c r="DT130"/>
      <c r="DU130"/>
      <c r="DV130"/>
      <c r="DW130"/>
      <c r="DX130"/>
      <c r="DY130"/>
      <c r="DZ130"/>
      <c r="EA130"/>
      <c r="EB130"/>
      <c r="EC130"/>
      <c r="ED130"/>
      <c r="EE130"/>
      <c r="EF130"/>
      <c r="EG130"/>
      <c r="EH130"/>
      <c r="EI130"/>
      <c r="EJ130"/>
      <c r="EK130"/>
      <c r="EL130"/>
      <c r="EM130"/>
      <c r="EN130"/>
      <c r="EO130"/>
      <c r="EP130"/>
      <c r="EQ130"/>
      <c r="ER130"/>
      <c r="ES130"/>
      <c r="ET130"/>
      <c r="EU130"/>
      <c r="EV130"/>
      <c r="EW130"/>
      <c r="EX130"/>
      <c r="EY130"/>
    </row>
    <row r="131" spans="1:155" s="11" customFormat="1" x14ac:dyDescent="0.3">
      <c r="A131"/>
      <c r="B131" s="21" t="s">
        <v>990</v>
      </c>
      <c r="C131" t="s">
        <v>193</v>
      </c>
      <c r="D131" t="s">
        <v>229</v>
      </c>
      <c r="E131" s="31">
        <v>36</v>
      </c>
      <c r="F131" s="21" t="s">
        <v>9</v>
      </c>
      <c r="G131"/>
      <c r="H131"/>
      <c r="I131" t="s">
        <v>234</v>
      </c>
      <c r="J131" t="s">
        <v>9</v>
      </c>
      <c r="K131" t="s">
        <v>229</v>
      </c>
      <c r="L131" s="21" t="s">
        <v>987</v>
      </c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  <c r="CH131"/>
      <c r="CI131"/>
      <c r="CJ131"/>
      <c r="CK131"/>
      <c r="CL131"/>
      <c r="CM131"/>
      <c r="CN131"/>
      <c r="CO131"/>
      <c r="CP131"/>
      <c r="CQ131"/>
      <c r="CR131"/>
      <c r="CS131"/>
      <c r="CT131"/>
      <c r="CU131"/>
      <c r="CV131"/>
      <c r="CW131"/>
      <c r="CX131"/>
      <c r="CY131"/>
      <c r="CZ131"/>
      <c r="DA131"/>
      <c r="DB131"/>
      <c r="DC131"/>
      <c r="DD131"/>
      <c r="DE131"/>
      <c r="DF131"/>
      <c r="DG131"/>
      <c r="DH131"/>
      <c r="DI131"/>
      <c r="DJ131"/>
      <c r="DK131"/>
      <c r="DL131"/>
      <c r="DM131"/>
      <c r="DN131"/>
      <c r="DO131"/>
      <c r="DP131"/>
      <c r="DQ131"/>
      <c r="DR131"/>
      <c r="DS131"/>
      <c r="DT131"/>
      <c r="DU131"/>
      <c r="DV131"/>
      <c r="DW131"/>
      <c r="DX131"/>
      <c r="DY131"/>
      <c r="DZ131"/>
      <c r="EA131"/>
      <c r="EB131"/>
      <c r="EC131"/>
      <c r="ED131"/>
      <c r="EE131"/>
      <c r="EF131"/>
      <c r="EG131"/>
      <c r="EH131"/>
      <c r="EI131"/>
      <c r="EJ131"/>
      <c r="EK131"/>
      <c r="EL131"/>
      <c r="EM131"/>
      <c r="EN131"/>
      <c r="EO131"/>
      <c r="EP131"/>
      <c r="EQ131"/>
      <c r="ER131"/>
      <c r="ES131"/>
      <c r="ET131"/>
      <c r="EU131"/>
      <c r="EV131"/>
      <c r="EW131"/>
      <c r="EX131"/>
      <c r="EY131"/>
    </row>
    <row r="132" spans="1:155" s="11" customFormat="1" x14ac:dyDescent="0.3">
      <c r="A132"/>
      <c r="B132" s="21" t="s">
        <v>990</v>
      </c>
      <c r="C132" t="s">
        <v>193</v>
      </c>
      <c r="D132" t="s">
        <v>230</v>
      </c>
      <c r="E132" s="31">
        <v>37</v>
      </c>
      <c r="F132" s="21" t="s">
        <v>9</v>
      </c>
      <c r="G132"/>
      <c r="H132"/>
      <c r="I132" t="s">
        <v>234</v>
      </c>
      <c r="J132" t="s">
        <v>9</v>
      </c>
      <c r="K132" t="s">
        <v>230</v>
      </c>
      <c r="L132" s="21" t="s">
        <v>987</v>
      </c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  <c r="CH132"/>
      <c r="CI132"/>
      <c r="CJ132"/>
      <c r="CK132"/>
      <c r="CL132"/>
      <c r="CM132"/>
      <c r="CN132"/>
      <c r="CO132"/>
      <c r="CP132"/>
      <c r="CQ132"/>
      <c r="CR132"/>
      <c r="CS132"/>
      <c r="CT132"/>
      <c r="CU132"/>
      <c r="CV132"/>
      <c r="CW132"/>
      <c r="CX132"/>
      <c r="CY132"/>
      <c r="CZ132"/>
      <c r="DA132"/>
      <c r="DB132"/>
      <c r="DC132"/>
      <c r="DD132"/>
      <c r="DE132"/>
      <c r="DF132"/>
      <c r="DG132"/>
      <c r="DH132"/>
      <c r="DI132"/>
      <c r="DJ132"/>
      <c r="DK132"/>
      <c r="DL132"/>
      <c r="DM132"/>
      <c r="DN132"/>
      <c r="DO132"/>
      <c r="DP132"/>
      <c r="DQ132"/>
      <c r="DR132"/>
      <c r="DS132"/>
      <c r="DT132"/>
      <c r="DU132"/>
      <c r="DV132"/>
      <c r="DW132"/>
      <c r="DX132"/>
      <c r="DY132"/>
      <c r="DZ132"/>
      <c r="EA132"/>
      <c r="EB132"/>
      <c r="EC132"/>
      <c r="ED132"/>
      <c r="EE132"/>
      <c r="EF132"/>
      <c r="EG132"/>
      <c r="EH132"/>
      <c r="EI132"/>
      <c r="EJ132"/>
      <c r="EK132"/>
      <c r="EL132"/>
      <c r="EM132"/>
      <c r="EN132"/>
      <c r="EO132"/>
      <c r="EP132"/>
      <c r="EQ132"/>
      <c r="ER132"/>
      <c r="ES132"/>
      <c r="ET132"/>
      <c r="EU132"/>
      <c r="EV132"/>
      <c r="EW132"/>
      <c r="EX132"/>
      <c r="EY132"/>
    </row>
    <row r="133" spans="1:155" s="11" customFormat="1" x14ac:dyDescent="0.3">
      <c r="A133"/>
      <c r="B133" s="21" t="s">
        <v>990</v>
      </c>
      <c r="C133" t="s">
        <v>193</v>
      </c>
      <c r="D133" t="s">
        <v>231</v>
      </c>
      <c r="E133" s="31">
        <v>38</v>
      </c>
      <c r="F133" s="21" t="s">
        <v>9</v>
      </c>
      <c r="G133"/>
      <c r="H133"/>
      <c r="I133" t="s">
        <v>234</v>
      </c>
      <c r="J133" t="s">
        <v>9</v>
      </c>
      <c r="K133" t="s">
        <v>231</v>
      </c>
      <c r="L133" s="21" t="s">
        <v>987</v>
      </c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  <c r="CH133"/>
      <c r="CI133"/>
      <c r="CJ133"/>
      <c r="CK133"/>
      <c r="CL133"/>
      <c r="CM133"/>
      <c r="CN133"/>
      <c r="CO133"/>
      <c r="CP133"/>
      <c r="CQ133"/>
      <c r="CR133"/>
      <c r="CS133"/>
      <c r="CT133"/>
      <c r="CU133"/>
      <c r="CV133"/>
      <c r="CW133"/>
      <c r="CX133"/>
      <c r="CY133"/>
      <c r="CZ133"/>
      <c r="DA133"/>
      <c r="DB133"/>
      <c r="DC133"/>
      <c r="DD133"/>
      <c r="DE133"/>
      <c r="DF133"/>
      <c r="DG133"/>
      <c r="DH133"/>
      <c r="DI133"/>
      <c r="DJ133"/>
      <c r="DK133"/>
      <c r="DL133"/>
      <c r="DM133"/>
      <c r="DN133"/>
      <c r="DO133"/>
      <c r="DP133"/>
      <c r="DQ133"/>
      <c r="DR133"/>
      <c r="DS133"/>
      <c r="DT133"/>
      <c r="DU133"/>
      <c r="DV133"/>
      <c r="DW133"/>
      <c r="DX133"/>
      <c r="DY133"/>
      <c r="DZ133"/>
      <c r="EA133"/>
      <c r="EB133"/>
      <c r="EC133"/>
      <c r="ED133"/>
      <c r="EE133"/>
      <c r="EF133"/>
      <c r="EG133"/>
      <c r="EH133"/>
      <c r="EI133"/>
      <c r="EJ133"/>
      <c r="EK133"/>
      <c r="EL133"/>
      <c r="EM133"/>
      <c r="EN133"/>
      <c r="EO133"/>
      <c r="EP133"/>
      <c r="EQ133"/>
      <c r="ER133"/>
      <c r="ES133"/>
      <c r="ET133"/>
      <c r="EU133"/>
      <c r="EV133"/>
      <c r="EW133"/>
      <c r="EX133"/>
      <c r="EY133"/>
    </row>
    <row r="134" spans="1:155" s="11" customFormat="1" x14ac:dyDescent="0.3">
      <c r="A134"/>
      <c r="B134" s="21" t="s">
        <v>990</v>
      </c>
      <c r="C134" t="s">
        <v>193</v>
      </c>
      <c r="D134" t="s">
        <v>232</v>
      </c>
      <c r="E134" s="31">
        <v>39</v>
      </c>
      <c r="F134" s="21" t="s">
        <v>9</v>
      </c>
      <c r="G134"/>
      <c r="H134"/>
      <c r="I134" t="s">
        <v>234</v>
      </c>
      <c r="J134" t="s">
        <v>9</v>
      </c>
      <c r="K134" t="s">
        <v>232</v>
      </c>
      <c r="L134" s="21" t="s">
        <v>987</v>
      </c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  <c r="CH134"/>
      <c r="CI134"/>
      <c r="CJ134"/>
      <c r="CK134"/>
      <c r="CL134"/>
      <c r="CM134"/>
      <c r="CN134"/>
      <c r="CO134"/>
      <c r="CP134"/>
      <c r="CQ134"/>
      <c r="CR134"/>
      <c r="CS134"/>
      <c r="CT134"/>
      <c r="CU134"/>
      <c r="CV134"/>
      <c r="CW134"/>
      <c r="CX134"/>
      <c r="CY134"/>
      <c r="CZ134"/>
      <c r="DA134"/>
      <c r="DB134"/>
      <c r="DC134"/>
      <c r="DD134"/>
      <c r="DE134"/>
      <c r="DF134"/>
      <c r="DG134"/>
      <c r="DH134"/>
      <c r="DI134"/>
      <c r="DJ134"/>
      <c r="DK134"/>
      <c r="DL134"/>
      <c r="DM134"/>
      <c r="DN134"/>
      <c r="DO134"/>
      <c r="DP134"/>
      <c r="DQ134"/>
      <c r="DR134"/>
      <c r="DS134"/>
      <c r="DT134"/>
      <c r="DU134"/>
      <c r="DV134"/>
      <c r="DW134"/>
      <c r="DX134"/>
      <c r="DY134"/>
      <c r="DZ134"/>
      <c r="EA134"/>
      <c r="EB134"/>
      <c r="EC134"/>
      <c r="ED134"/>
      <c r="EE134"/>
      <c r="EF134"/>
      <c r="EG134"/>
      <c r="EH134"/>
      <c r="EI134"/>
      <c r="EJ134"/>
      <c r="EK134"/>
      <c r="EL134"/>
      <c r="EM134"/>
      <c r="EN134"/>
      <c r="EO134"/>
      <c r="EP134"/>
      <c r="EQ134"/>
      <c r="ER134"/>
      <c r="ES134"/>
      <c r="ET134"/>
      <c r="EU134"/>
      <c r="EV134"/>
      <c r="EW134"/>
      <c r="EX134"/>
      <c r="EY134"/>
    </row>
    <row r="135" spans="1:155" s="11" customFormat="1" x14ac:dyDescent="0.3">
      <c r="A135"/>
      <c r="B135" s="21" t="s">
        <v>990</v>
      </c>
      <c r="C135" t="s">
        <v>193</v>
      </c>
      <c r="D135" t="s">
        <v>233</v>
      </c>
      <c r="E135" s="31">
        <v>40</v>
      </c>
      <c r="F135" s="21" t="s">
        <v>9</v>
      </c>
      <c r="G135"/>
      <c r="H135"/>
      <c r="I135" t="s">
        <v>234</v>
      </c>
      <c r="J135" t="s">
        <v>9</v>
      </c>
      <c r="K135" t="s">
        <v>233</v>
      </c>
      <c r="L135" s="21" t="s">
        <v>987</v>
      </c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  <c r="CH135"/>
      <c r="CI135"/>
      <c r="CJ135"/>
      <c r="CK135"/>
      <c r="CL135"/>
      <c r="CM135"/>
      <c r="CN135"/>
      <c r="CO135"/>
      <c r="CP135"/>
      <c r="CQ135"/>
      <c r="CR135"/>
      <c r="CS135"/>
      <c r="CT135"/>
      <c r="CU135"/>
      <c r="CV135"/>
      <c r="CW135"/>
      <c r="CX135"/>
      <c r="CY135"/>
      <c r="CZ135"/>
      <c r="DA135"/>
      <c r="DB135"/>
      <c r="DC135"/>
      <c r="DD135"/>
      <c r="DE135"/>
      <c r="DF135"/>
      <c r="DG135"/>
      <c r="DH135"/>
      <c r="DI135"/>
      <c r="DJ135"/>
      <c r="DK135"/>
      <c r="DL135"/>
      <c r="DM135"/>
      <c r="DN135"/>
      <c r="DO135"/>
      <c r="DP135"/>
      <c r="DQ135"/>
      <c r="DR135"/>
      <c r="DS135"/>
      <c r="DT135"/>
      <c r="DU135"/>
      <c r="DV135"/>
      <c r="DW135"/>
      <c r="DX135"/>
      <c r="DY135"/>
      <c r="DZ135"/>
      <c r="EA135"/>
      <c r="EB135"/>
      <c r="EC135"/>
      <c r="ED135"/>
      <c r="EE135"/>
      <c r="EF135"/>
      <c r="EG135"/>
      <c r="EH135"/>
      <c r="EI135"/>
      <c r="EJ135"/>
      <c r="EK135"/>
      <c r="EL135"/>
      <c r="EM135"/>
      <c r="EN135"/>
      <c r="EO135"/>
      <c r="EP135"/>
      <c r="EQ135"/>
      <c r="ER135"/>
      <c r="ES135"/>
      <c r="ET135"/>
      <c r="EU135"/>
      <c r="EV135"/>
      <c r="EW135"/>
      <c r="EX135"/>
      <c r="EY135"/>
    </row>
    <row r="136" spans="1:155" x14ac:dyDescent="0.3">
      <c r="E136" s="6"/>
    </row>
    <row r="137" spans="1:155" x14ac:dyDescent="0.3">
      <c r="E137" s="6"/>
    </row>
    <row r="138" spans="1:155" x14ac:dyDescent="0.3">
      <c r="E138" s="6"/>
    </row>
    <row r="139" spans="1:155" x14ac:dyDescent="0.3">
      <c r="E139" s="6"/>
    </row>
    <row r="140" spans="1:155" x14ac:dyDescent="0.3">
      <c r="E140" s="6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C9335-2885-1C45-86A4-EF1021E7B691}">
  <dimension ref="A1:DU1514"/>
  <sheetViews>
    <sheetView topLeftCell="A186" zoomScale="93" zoomScaleNormal="93" workbookViewId="0">
      <selection activeCell="C209" sqref="C209"/>
    </sheetView>
  </sheetViews>
  <sheetFormatPr defaultColWidth="11.19921875" defaultRowHeight="15.6" x14ac:dyDescent="0.3"/>
  <cols>
    <col min="1" max="1" width="19.796875" bestFit="1" customWidth="1"/>
    <col min="2" max="2" width="52.796875" customWidth="1"/>
    <col min="3" max="3" width="82.59765625" customWidth="1"/>
    <col min="4" max="4" width="12.3984375" bestFit="1" customWidth="1"/>
    <col min="5" max="5" width="85.796875" customWidth="1"/>
  </cols>
  <sheetData>
    <row r="1" spans="1:125" s="9" customFormat="1" ht="21" x14ac:dyDescent="0.4">
      <c r="A1" s="37" t="s">
        <v>0</v>
      </c>
      <c r="B1" s="37" t="s">
        <v>1</v>
      </c>
      <c r="C1" s="37" t="s">
        <v>11</v>
      </c>
      <c r="D1" s="37" t="s">
        <v>13</v>
      </c>
      <c r="E1" s="37" t="s">
        <v>143</v>
      </c>
    </row>
    <row r="2" spans="1:125" s="14" customFormat="1" x14ac:dyDescent="0.3">
      <c r="A2" t="s">
        <v>16</v>
      </c>
      <c r="B2" t="s">
        <v>17</v>
      </c>
      <c r="C2" t="s">
        <v>35</v>
      </c>
      <c r="D2" s="38">
        <f>inputs!E3/(1 - inputs!E4/1000)</f>
        <v>647799.41772914364</v>
      </c>
      <c r="E2" t="str">
        <f ca="1">_xlfn.FORMULATEXT(D2)</f>
        <v>=inputs!E3/(1 - inputs!E4/1000)</v>
      </c>
      <c r="F2" s="39" t="s">
        <v>813</v>
      </c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</row>
    <row r="3" spans="1:125" s="12" customFormat="1" x14ac:dyDescent="0.3">
      <c r="A3" t="s">
        <v>16</v>
      </c>
      <c r="B3" t="s">
        <v>17</v>
      </c>
      <c r="C3" t="s">
        <v>36</v>
      </c>
      <c r="D3" s="38">
        <f>inputs!E3-inputs!E5*inputs!E3</f>
        <v>645079.41810000001</v>
      </c>
      <c r="E3" t="str">
        <f t="shared" ref="E3:E66" ca="1" si="0">_xlfn.FORMULATEXT(D3)</f>
        <v>=inputs!E3-inputs!E5*inputs!E3</v>
      </c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</row>
    <row r="4" spans="1:125" s="12" customFormat="1" ht="16.05" customHeight="1" x14ac:dyDescent="0.3">
      <c r="A4" t="s">
        <v>16</v>
      </c>
      <c r="B4" t="s">
        <v>17</v>
      </c>
      <c r="C4" t="s">
        <v>37</v>
      </c>
      <c r="D4" s="10">
        <f>D3-inputs!$E$6*computations!D3</f>
        <v>644627.86250733002</v>
      </c>
      <c r="E4" t="str">
        <f t="shared" ca="1" si="0"/>
        <v>=D3-inputs!$E$6*computations!D3</v>
      </c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</row>
    <row r="5" spans="1:125" s="12" customFormat="1" ht="16.05" customHeight="1" x14ac:dyDescent="0.3">
      <c r="A5" t="s">
        <v>16</v>
      </c>
      <c r="B5" t="s">
        <v>17</v>
      </c>
      <c r="C5" t="s">
        <v>38</v>
      </c>
      <c r="D5" s="10">
        <f>D4-inputs!$E$6*D4</f>
        <v>644176.6230035749</v>
      </c>
      <c r="E5" t="str">
        <f t="shared" ca="1" si="0"/>
        <v>=D4-inputs!$E$6*D4</v>
      </c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</row>
    <row r="6" spans="1:125" s="12" customFormat="1" ht="16.05" customHeight="1" x14ac:dyDescent="0.3">
      <c r="A6" t="s">
        <v>16</v>
      </c>
      <c r="B6" t="s">
        <v>17</v>
      </c>
      <c r="C6" t="s">
        <v>39</v>
      </c>
      <c r="D6" s="10">
        <f>D5-inputs!$E$6*D5</f>
        <v>643725.69936747244</v>
      </c>
      <c r="E6" t="str">
        <f t="shared" ca="1" si="0"/>
        <v>=D5-inputs!$E$6*D5</v>
      </c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</row>
    <row r="7" spans="1:125" s="12" customFormat="1" ht="16.05" customHeight="1" x14ac:dyDescent="0.3">
      <c r="A7" t="s">
        <v>16</v>
      </c>
      <c r="B7" t="s">
        <v>17</v>
      </c>
      <c r="C7" t="s">
        <v>40</v>
      </c>
      <c r="D7" s="10">
        <f>D6-inputs!$E$6*D6</f>
        <v>643275.09137791523</v>
      </c>
      <c r="E7" t="str">
        <f t="shared" ca="1" si="0"/>
        <v>=D6-inputs!$E$6*D6</v>
      </c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</row>
    <row r="8" spans="1:125" s="12" customFormat="1" ht="16.05" customHeight="1" x14ac:dyDescent="0.3">
      <c r="A8" t="s">
        <v>16</v>
      </c>
      <c r="B8" t="s">
        <v>17</v>
      </c>
      <c r="C8" t="s">
        <v>41</v>
      </c>
      <c r="D8" s="10">
        <f>D7-inputs!$E$6*D7</f>
        <v>642824.79881395074</v>
      </c>
      <c r="E8" t="str">
        <f t="shared" ca="1" si="0"/>
        <v>=D7-inputs!$E$6*D7</v>
      </c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</row>
    <row r="9" spans="1:125" s="12" customFormat="1" ht="16.05" customHeight="1" x14ac:dyDescent="0.3">
      <c r="A9" t="s">
        <v>16</v>
      </c>
      <c r="B9" t="s">
        <v>17</v>
      </c>
      <c r="C9" t="s">
        <v>42</v>
      </c>
      <c r="D9" s="10">
        <f>D8-inputs!$E$6*D8</f>
        <v>642374.82145478099</v>
      </c>
      <c r="E9" t="str">
        <f t="shared" ca="1" si="0"/>
        <v>=D8-inputs!$E$6*D8</v>
      </c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</row>
    <row r="10" spans="1:125" s="12" customFormat="1" ht="16.05" customHeight="1" x14ac:dyDescent="0.3">
      <c r="A10" t="s">
        <v>16</v>
      </c>
      <c r="B10" t="s">
        <v>17</v>
      </c>
      <c r="C10" t="s">
        <v>43</v>
      </c>
      <c r="D10" s="10">
        <f>D9-inputs!$E$6*D9</f>
        <v>641925.15907976264</v>
      </c>
      <c r="E10" t="str">
        <f t="shared" ca="1" si="0"/>
        <v>=D9-inputs!$E$6*D9</v>
      </c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</row>
    <row r="11" spans="1:125" s="12" customFormat="1" ht="16.05" customHeight="1" x14ac:dyDescent="0.3">
      <c r="A11" t="s">
        <v>16</v>
      </c>
      <c r="B11" t="s">
        <v>17</v>
      </c>
      <c r="C11" t="s">
        <v>44</v>
      </c>
      <c r="D11" s="10">
        <f>D10-inputs!$E$6*D10</f>
        <v>641475.81146840681</v>
      </c>
      <c r="E11" t="str">
        <f t="shared" ca="1" si="0"/>
        <v>=D10-inputs!$E$6*D10</v>
      </c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</row>
    <row r="12" spans="1:125" s="12" customFormat="1" ht="16.05" customHeight="1" x14ac:dyDescent="0.3">
      <c r="A12" t="s">
        <v>16</v>
      </c>
      <c r="B12" t="s">
        <v>17</v>
      </c>
      <c r="C12" t="s">
        <v>45</v>
      </c>
      <c r="D12" s="10">
        <f>D11-inputs!$E$6*D11</f>
        <v>641026.77840037888</v>
      </c>
      <c r="E12" t="str">
        <f t="shared" ca="1" si="0"/>
        <v>=D11-inputs!$E$6*D11</v>
      </c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</row>
    <row r="13" spans="1:125" s="12" customFormat="1" ht="16.05" customHeight="1" x14ac:dyDescent="0.3">
      <c r="A13" t="s">
        <v>16</v>
      </c>
      <c r="B13" t="s">
        <v>17</v>
      </c>
      <c r="C13" t="s">
        <v>46</v>
      </c>
      <c r="D13" s="10">
        <f>D12-inputs!$E$6*D12</f>
        <v>640578.0596554986</v>
      </c>
      <c r="E13" t="str">
        <f t="shared" ca="1" si="0"/>
        <v>=D12-inputs!$E$6*D12</v>
      </c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</row>
    <row r="14" spans="1:125" s="12" customFormat="1" ht="16.05" customHeight="1" x14ac:dyDescent="0.3">
      <c r="A14" t="s">
        <v>16</v>
      </c>
      <c r="B14" t="s">
        <v>47</v>
      </c>
      <c r="C14" t="s">
        <v>48</v>
      </c>
      <c r="D14" s="10">
        <f>D2*inputs!$E$7*inputs!$E$8</f>
        <v>103647.90683666299</v>
      </c>
      <c r="E14" t="str">
        <f t="shared" ca="1" si="0"/>
        <v>=D2*inputs!$E$7*inputs!$E$8</v>
      </c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</row>
    <row r="15" spans="1:125" s="12" customFormat="1" ht="16.05" customHeight="1" x14ac:dyDescent="0.3">
      <c r="A15" t="s">
        <v>16</v>
      </c>
      <c r="B15" t="s">
        <v>47</v>
      </c>
      <c r="C15" t="s">
        <v>49</v>
      </c>
      <c r="D15" s="10">
        <f>D3*inputs!E11*inputs!E12</f>
        <v>103212.70689600002</v>
      </c>
      <c r="E15" t="str">
        <f t="shared" ca="1" si="0"/>
        <v>=D3*inputs!E11*inputs!E12</v>
      </c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</row>
    <row r="16" spans="1:125" s="12" customFormat="1" ht="16.05" customHeight="1" x14ac:dyDescent="0.3">
      <c r="A16" t="s">
        <v>16</v>
      </c>
      <c r="B16" t="s">
        <v>47</v>
      </c>
      <c r="C16" t="s">
        <v>50</v>
      </c>
      <c r="D16" s="10">
        <f>D4*inputs!$E$11*inputs!$E$12*inputs!$E$15</f>
        <v>5157.0229000586405</v>
      </c>
      <c r="E16" t="str">
        <f t="shared" ca="1" si="0"/>
        <v>=D4*inputs!$E$11*inputs!$E$12*inputs!$E$15</v>
      </c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</row>
    <row r="17" spans="1:125" s="12" customFormat="1" ht="16.05" customHeight="1" x14ac:dyDescent="0.3">
      <c r="A17" t="s">
        <v>16</v>
      </c>
      <c r="B17" t="s">
        <v>47</v>
      </c>
      <c r="C17" t="s">
        <v>51</v>
      </c>
      <c r="D17" s="10">
        <f>D5*inputs!$E$11*inputs!$E$12*inputs!$E$15</f>
        <v>5153.4129840286005</v>
      </c>
      <c r="E17" t="str">
        <f t="shared" ca="1" si="0"/>
        <v>=D5*inputs!$E$11*inputs!$E$12*inputs!$E$15</v>
      </c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</row>
    <row r="18" spans="1:125" s="12" customFormat="1" ht="16.05" customHeight="1" x14ac:dyDescent="0.3">
      <c r="A18" t="s">
        <v>16</v>
      </c>
      <c r="B18" t="s">
        <v>47</v>
      </c>
      <c r="C18" t="s">
        <v>52</v>
      </c>
      <c r="D18" s="10">
        <f>D6*inputs!$E$11*inputs!$E$12*inputs!$E$15</f>
        <v>5149.8055949397803</v>
      </c>
      <c r="E18" t="str">
        <f t="shared" ca="1" si="0"/>
        <v>=D6*inputs!$E$11*inputs!$E$12*inputs!$E$15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</row>
    <row r="19" spans="1:125" s="12" customFormat="1" ht="16.05" customHeight="1" x14ac:dyDescent="0.3">
      <c r="A19" t="s">
        <v>16</v>
      </c>
      <c r="B19" t="s">
        <v>47</v>
      </c>
      <c r="C19" t="s">
        <v>53</v>
      </c>
      <c r="D19" s="10">
        <f>D7*inputs!$E$11*inputs!$E$12*inputs!$E$15</f>
        <v>5146.200731023323</v>
      </c>
      <c r="E19" t="str">
        <f t="shared" ca="1" si="0"/>
        <v>=D7*inputs!$E$11*inputs!$E$12*inputs!$E$15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</row>
    <row r="20" spans="1:125" s="12" customFormat="1" ht="16.05" customHeight="1" x14ac:dyDescent="0.3">
      <c r="A20" t="s">
        <v>16</v>
      </c>
      <c r="B20" t="s">
        <v>47</v>
      </c>
      <c r="C20" t="s">
        <v>54</v>
      </c>
      <c r="D20" s="10">
        <f>D8*inputs!$E$11*inputs!$E$12*inputs!$E$15</f>
        <v>5142.5983905116072</v>
      </c>
      <c r="E20" t="str">
        <f t="shared" ca="1" si="0"/>
        <v>=D8*inputs!$E$11*inputs!$E$12*inputs!$E$15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</row>
    <row r="21" spans="1:125" s="12" customFormat="1" ht="16.05" customHeight="1" x14ac:dyDescent="0.3">
      <c r="A21" t="s">
        <v>16</v>
      </c>
      <c r="B21" t="s">
        <v>47</v>
      </c>
      <c r="C21" t="s">
        <v>55</v>
      </c>
      <c r="D21" s="10">
        <f>D9*inputs!$E$11*inputs!$E$12*inputs!$E$15</f>
        <v>5138.9985716382489</v>
      </c>
      <c r="E21" t="str">
        <f t="shared" ca="1" si="0"/>
        <v>=D9*inputs!$E$11*inputs!$E$12*inputs!$E$15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</row>
    <row r="22" spans="1:125" s="12" customFormat="1" ht="16.05" customHeight="1" x14ac:dyDescent="0.3">
      <c r="A22" t="s">
        <v>16</v>
      </c>
      <c r="B22" t="s">
        <v>47</v>
      </c>
      <c r="C22" t="s">
        <v>56</v>
      </c>
      <c r="D22" s="10">
        <f>D10*inputs!$E$11*inputs!$E$12*inputs!$E$15</f>
        <v>5135.4012726381015</v>
      </c>
      <c r="E22" t="str">
        <f t="shared" ca="1" si="0"/>
        <v>=D10*inputs!$E$11*inputs!$E$12*inputs!$E$15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</row>
    <row r="23" spans="1:125" s="12" customFormat="1" ht="16.05" customHeight="1" x14ac:dyDescent="0.3">
      <c r="A23" t="s">
        <v>16</v>
      </c>
      <c r="B23" t="s">
        <v>47</v>
      </c>
      <c r="C23" t="s">
        <v>57</v>
      </c>
      <c r="D23" s="10">
        <f>D11*inputs!$E$11*inputs!$E$12*inputs!$E$15</f>
        <v>5131.8064917472548</v>
      </c>
      <c r="E23" t="str">
        <f t="shared" ca="1" si="0"/>
        <v>=D11*inputs!$E$11*inputs!$E$12*inputs!$E$15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</row>
    <row r="24" spans="1:125" s="12" customFormat="1" ht="16.05" customHeight="1" x14ac:dyDescent="0.3">
      <c r="A24" t="s">
        <v>16</v>
      </c>
      <c r="B24" t="s">
        <v>47</v>
      </c>
      <c r="C24" t="s">
        <v>58</v>
      </c>
      <c r="D24" s="10">
        <f>D12*inputs!$E$11*inputs!$E$12*inputs!$E$15</f>
        <v>5128.2142272030324</v>
      </c>
      <c r="E24" t="str">
        <f t="shared" ca="1" si="0"/>
        <v>=D12*inputs!$E$11*inputs!$E$12*inputs!$E$15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</row>
    <row r="25" spans="1:125" s="12" customFormat="1" ht="16.05" customHeight="1" x14ac:dyDescent="0.3">
      <c r="A25" t="s">
        <v>16</v>
      </c>
      <c r="B25" t="s">
        <v>47</v>
      </c>
      <c r="C25" t="s">
        <v>110</v>
      </c>
      <c r="D25" s="10">
        <f>D13*inputs!$E$11*inputs!$E$12*inputs!$E$15</f>
        <v>5124.6244772439895</v>
      </c>
      <c r="E25" t="str">
        <f t="shared" ca="1" si="0"/>
        <v>=D13*inputs!$E$11*inputs!$E$12*inputs!$E$15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</row>
    <row r="26" spans="1:125" s="12" customFormat="1" ht="16.05" customHeight="1" x14ac:dyDescent="0.3">
      <c r="A26" t="s">
        <v>16</v>
      </c>
      <c r="B26" t="s">
        <v>59</v>
      </c>
      <c r="C26" t="s">
        <v>61</v>
      </c>
      <c r="D26" s="10">
        <f>D2*inputs!E7*inputs!E9</f>
        <v>25911.976709165749</v>
      </c>
      <c r="E26" t="str">
        <f t="shared" ca="1" si="0"/>
        <v>=D2*inputs!E7*inputs!E9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</row>
    <row r="27" spans="1:125" s="12" customFormat="1" ht="16.05" customHeight="1" x14ac:dyDescent="0.3">
      <c r="A27" t="s">
        <v>16</v>
      </c>
      <c r="B27" t="s">
        <v>59</v>
      </c>
      <c r="C27" t="s">
        <v>62</v>
      </c>
      <c r="D27" s="10">
        <f>D3*inputs!E11*inputs!E13</f>
        <v>25803.176724000004</v>
      </c>
      <c r="E27" t="str">
        <f t="shared" ca="1" si="0"/>
        <v>=D3*inputs!E11*inputs!E13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</row>
    <row r="28" spans="1:125" s="12" customFormat="1" ht="16.05" customHeight="1" x14ac:dyDescent="0.3">
      <c r="A28" t="s">
        <v>16</v>
      </c>
      <c r="B28" t="s">
        <v>59</v>
      </c>
      <c r="C28" t="s">
        <v>111</v>
      </c>
      <c r="D28" s="10">
        <f>D4*inputs!$E$11*inputs!$E$13*inputs!$E$15</f>
        <v>1289.2557250146601</v>
      </c>
      <c r="E28" t="str">
        <f t="shared" ca="1" si="0"/>
        <v>=D4*inputs!$E$11*inputs!$E$13*inputs!$E$15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</row>
    <row r="29" spans="1:125" s="12" customFormat="1" ht="16.05" customHeight="1" x14ac:dyDescent="0.3">
      <c r="A29" t="s">
        <v>16</v>
      </c>
      <c r="B29" t="s">
        <v>59</v>
      </c>
      <c r="C29" t="s">
        <v>112</v>
      </c>
      <c r="D29" s="10">
        <f>D5*inputs!$E$11*inputs!$E$13*inputs!$E$15</f>
        <v>1288.3532460071501</v>
      </c>
      <c r="E29" t="str">
        <f t="shared" ca="1" si="0"/>
        <v>=D5*inputs!$E$11*inputs!$E$13*inputs!$E$15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</row>
    <row r="30" spans="1:125" s="12" customFormat="1" ht="16.05" customHeight="1" x14ac:dyDescent="0.3">
      <c r="A30" t="s">
        <v>16</v>
      </c>
      <c r="B30" t="s">
        <v>59</v>
      </c>
      <c r="C30" t="s">
        <v>113</v>
      </c>
      <c r="D30" s="10">
        <f>D6*inputs!$E$11*inputs!$E$13*inputs!$E$15</f>
        <v>1287.4513987349451</v>
      </c>
      <c r="E30" t="str">
        <f t="shared" ca="1" si="0"/>
        <v>=D6*inputs!$E$11*inputs!$E$13*inputs!$E$15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</row>
    <row r="31" spans="1:125" s="12" customFormat="1" ht="16.05" customHeight="1" x14ac:dyDescent="0.3">
      <c r="A31" t="s">
        <v>16</v>
      </c>
      <c r="B31" t="s">
        <v>59</v>
      </c>
      <c r="C31" t="s">
        <v>114</v>
      </c>
      <c r="D31" s="10">
        <f>D7*inputs!$E$11*inputs!$E$13*inputs!$E$15</f>
        <v>1286.5501827558307</v>
      </c>
      <c r="E31" t="str">
        <f t="shared" ca="1" si="0"/>
        <v>=D7*inputs!$E$11*inputs!$E$13*inputs!$E$15</v>
      </c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</row>
    <row r="32" spans="1:125" s="12" customFormat="1" ht="16.05" customHeight="1" x14ac:dyDescent="0.3">
      <c r="A32" t="s">
        <v>16</v>
      </c>
      <c r="B32" t="s">
        <v>59</v>
      </c>
      <c r="C32" t="s">
        <v>115</v>
      </c>
      <c r="D32" s="10">
        <f>D8*inputs!$E$11*inputs!$E$13*inputs!$E$15</f>
        <v>1285.6495976279018</v>
      </c>
      <c r="E32" t="str">
        <f t="shared" ca="1" si="0"/>
        <v>=D8*inputs!$E$11*inputs!$E$13*inputs!$E$15</v>
      </c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</row>
    <row r="33" spans="1:125" s="12" customFormat="1" ht="16.05" customHeight="1" x14ac:dyDescent="0.3">
      <c r="A33" t="s">
        <v>16</v>
      </c>
      <c r="B33" t="s">
        <v>59</v>
      </c>
      <c r="C33" t="s">
        <v>116</v>
      </c>
      <c r="D33" s="10">
        <f>D9*inputs!$E$11*inputs!$E$13*inputs!$E$15</f>
        <v>1284.7496429095622</v>
      </c>
      <c r="E33" t="str">
        <f t="shared" ca="1" si="0"/>
        <v>=D9*inputs!$E$11*inputs!$E$13*inputs!$E$15</v>
      </c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</row>
    <row r="34" spans="1:125" s="12" customFormat="1" ht="16.05" customHeight="1" x14ac:dyDescent="0.3">
      <c r="A34" t="s">
        <v>16</v>
      </c>
      <c r="B34" t="s">
        <v>59</v>
      </c>
      <c r="C34" t="s">
        <v>117</v>
      </c>
      <c r="D34" s="10">
        <f>D10*inputs!$E$11*inputs!$E$13*inputs!$E$15</f>
        <v>1283.8503181595254</v>
      </c>
      <c r="E34" t="str">
        <f t="shared" ca="1" si="0"/>
        <v>=D10*inputs!$E$11*inputs!$E$13*inputs!$E$15</v>
      </c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</row>
    <row r="35" spans="1:125" s="12" customFormat="1" ht="16.05" customHeight="1" x14ac:dyDescent="0.3">
      <c r="A35" t="s">
        <v>16</v>
      </c>
      <c r="B35" t="s">
        <v>59</v>
      </c>
      <c r="C35" t="s">
        <v>118</v>
      </c>
      <c r="D35" s="10">
        <f>D11*inputs!$E$11*inputs!$E$13*inputs!$E$15</f>
        <v>1282.9516229368137</v>
      </c>
      <c r="E35" t="str">
        <f t="shared" ca="1" si="0"/>
        <v>=D11*inputs!$E$11*inputs!$E$13*inputs!$E$15</v>
      </c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</row>
    <row r="36" spans="1:125" s="12" customFormat="1" ht="16.05" customHeight="1" x14ac:dyDescent="0.3">
      <c r="A36" t="s">
        <v>16</v>
      </c>
      <c r="B36" t="s">
        <v>59</v>
      </c>
      <c r="C36" t="s">
        <v>119</v>
      </c>
      <c r="D36" s="10">
        <f>D12*inputs!$E$11*inputs!$E$13*inputs!$E$15</f>
        <v>1282.0535568007581</v>
      </c>
      <c r="E36" t="str">
        <f t="shared" ca="1" si="0"/>
        <v>=D12*inputs!$E$11*inputs!$E$13*inputs!$E$15</v>
      </c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</row>
    <row r="37" spans="1:125" s="12" customFormat="1" ht="16.05" customHeight="1" x14ac:dyDescent="0.3">
      <c r="A37" t="s">
        <v>16</v>
      </c>
      <c r="B37" t="s">
        <v>59</v>
      </c>
      <c r="C37" t="s">
        <v>120</v>
      </c>
      <c r="D37" s="10">
        <f>D13*inputs!$E$11*inputs!$E$13*inputs!$E$15</f>
        <v>1281.1561193109974</v>
      </c>
      <c r="E37" t="str">
        <f t="shared" ca="1" si="0"/>
        <v>=D13*inputs!$E$11*inputs!$E$13*inputs!$E$15</v>
      </c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</row>
    <row r="38" spans="1:125" s="12" customFormat="1" ht="16.05" customHeight="1" x14ac:dyDescent="0.3">
      <c r="A38" t="s">
        <v>16</v>
      </c>
      <c r="B38" t="s">
        <v>63</v>
      </c>
      <c r="C38" t="s">
        <v>64</v>
      </c>
      <c r="D38" s="10">
        <f>D2*inputs!E10</f>
        <v>22672.979620520029</v>
      </c>
      <c r="E38" t="str">
        <f t="shared" ca="1" si="0"/>
        <v>=D2*inputs!E10</v>
      </c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</row>
    <row r="39" spans="1:125" s="12" customFormat="1" ht="16.05" customHeight="1" x14ac:dyDescent="0.3">
      <c r="A39" t="s">
        <v>16</v>
      </c>
      <c r="B39" t="s">
        <v>63</v>
      </c>
      <c r="C39" t="s">
        <v>65</v>
      </c>
      <c r="D39" s="10">
        <f>D3*inputs!E14</f>
        <v>64507.941810000004</v>
      </c>
      <c r="E39" t="str">
        <f t="shared" ca="1" si="0"/>
        <v>=D3*inputs!E14</v>
      </c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</row>
    <row r="40" spans="1:125" s="12" customFormat="1" ht="16.05" customHeight="1" x14ac:dyDescent="0.3">
      <c r="A40" t="s">
        <v>16</v>
      </c>
      <c r="B40" t="s">
        <v>63</v>
      </c>
      <c r="C40" t="s">
        <v>121</v>
      </c>
      <c r="D40" s="10">
        <f>D4*inputs!$E$14*inputs!$E$16</f>
        <v>3223.1393125366503</v>
      </c>
      <c r="E40" t="str">
        <f t="shared" ca="1" si="0"/>
        <v>=D4*inputs!$E$14*inputs!$E$16</v>
      </c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</row>
    <row r="41" spans="1:125" s="12" customFormat="1" ht="16.05" customHeight="1" x14ac:dyDescent="0.3">
      <c r="A41" t="s">
        <v>16</v>
      </c>
      <c r="B41" t="s">
        <v>63</v>
      </c>
      <c r="C41" t="s">
        <v>122</v>
      </c>
      <c r="D41" s="10">
        <f>D5*inputs!$E$14*inputs!$E$16</f>
        <v>3220.8831150178748</v>
      </c>
      <c r="E41" t="str">
        <f t="shared" ca="1" si="0"/>
        <v>=D5*inputs!$E$14*inputs!$E$16</v>
      </c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</row>
    <row r="42" spans="1:125" s="12" customFormat="1" ht="16.05" customHeight="1" x14ac:dyDescent="0.3">
      <c r="A42" t="s">
        <v>16</v>
      </c>
      <c r="B42" t="s">
        <v>63</v>
      </c>
      <c r="C42" t="s">
        <v>123</v>
      </c>
      <c r="D42" s="10">
        <f>D6*inputs!$E$14*inputs!$E$16</f>
        <v>3218.6284968373625</v>
      </c>
      <c r="E42" t="str">
        <f t="shared" ca="1" si="0"/>
        <v>=D6*inputs!$E$14*inputs!$E$16</v>
      </c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</row>
    <row r="43" spans="1:125" s="12" customFormat="1" ht="16.05" customHeight="1" x14ac:dyDescent="0.3">
      <c r="A43" t="s">
        <v>16</v>
      </c>
      <c r="B43" t="s">
        <v>63</v>
      </c>
      <c r="C43" t="s">
        <v>124</v>
      </c>
      <c r="D43" s="10">
        <f>D7*inputs!$E$14*inputs!$E$16</f>
        <v>3216.3754568895765</v>
      </c>
      <c r="E43" t="str">
        <f t="shared" ca="1" si="0"/>
        <v>=D7*inputs!$E$14*inputs!$E$16</v>
      </c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</row>
    <row r="44" spans="1:125" s="12" customFormat="1" ht="16.05" customHeight="1" x14ac:dyDescent="0.3">
      <c r="A44" t="s">
        <v>16</v>
      </c>
      <c r="B44" t="s">
        <v>63</v>
      </c>
      <c r="C44" t="s">
        <v>125</v>
      </c>
      <c r="D44" s="10">
        <f>D8*inputs!$E$14*inputs!$E$16</f>
        <v>3214.1239940697542</v>
      </c>
      <c r="E44" t="str">
        <f t="shared" ca="1" si="0"/>
        <v>=D8*inputs!$E$14*inputs!$E$16</v>
      </c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</row>
    <row r="45" spans="1:125" s="12" customFormat="1" ht="16.05" customHeight="1" x14ac:dyDescent="0.3">
      <c r="A45" t="s">
        <v>16</v>
      </c>
      <c r="B45" t="s">
        <v>63</v>
      </c>
      <c r="C45" t="s">
        <v>126</v>
      </c>
      <c r="D45" s="10">
        <f>D9*inputs!$E$14*inputs!$E$16</f>
        <v>3211.8741072739053</v>
      </c>
      <c r="E45" t="str">
        <f t="shared" ca="1" si="0"/>
        <v>=D9*inputs!$E$14*inputs!$E$16</v>
      </c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</row>
    <row r="46" spans="1:125" s="12" customFormat="1" ht="16.05" customHeight="1" x14ac:dyDescent="0.3">
      <c r="A46" t="s">
        <v>16</v>
      </c>
      <c r="B46" t="s">
        <v>63</v>
      </c>
      <c r="C46" t="s">
        <v>127</v>
      </c>
      <c r="D46" s="10">
        <f>D10*inputs!$E$14*inputs!$E$16</f>
        <v>3209.6257953988134</v>
      </c>
      <c r="E46" t="str">
        <f t="shared" ca="1" si="0"/>
        <v>=D10*inputs!$E$14*inputs!$E$16</v>
      </c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</row>
    <row r="47" spans="1:125" s="12" customFormat="1" ht="16.05" customHeight="1" x14ac:dyDescent="0.3">
      <c r="A47" t="s">
        <v>16</v>
      </c>
      <c r="B47" t="s">
        <v>63</v>
      </c>
      <c r="C47" t="s">
        <v>128</v>
      </c>
      <c r="D47" s="10">
        <f>D11*inputs!$E$14*inputs!$E$16</f>
        <v>3207.3790573420342</v>
      </c>
      <c r="E47" t="str">
        <f t="shared" ca="1" si="0"/>
        <v>=D11*inputs!$E$14*inputs!$E$16</v>
      </c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</row>
    <row r="48" spans="1:125" s="12" customFormat="1" ht="16.05" customHeight="1" x14ac:dyDescent="0.3">
      <c r="A48" t="s">
        <v>16</v>
      </c>
      <c r="B48" t="s">
        <v>63</v>
      </c>
      <c r="C48" t="s">
        <v>129</v>
      </c>
      <c r="D48" s="10">
        <f>D12*inputs!$E$14*inputs!$E$16</f>
        <v>3205.1338920018948</v>
      </c>
      <c r="E48" t="str">
        <f t="shared" ca="1" si="0"/>
        <v>=D12*inputs!$E$14*inputs!$E$16</v>
      </c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</row>
    <row r="49" spans="1:125" s="12" customFormat="1" ht="16.05" customHeight="1" x14ac:dyDescent="0.3">
      <c r="A49" t="s">
        <v>16</v>
      </c>
      <c r="B49" t="s">
        <v>63</v>
      </c>
      <c r="C49" t="s">
        <v>130</v>
      </c>
      <c r="D49" s="10">
        <f>D13*inputs!$E$14*inputs!$E$16</f>
        <v>3202.8902982774935</v>
      </c>
      <c r="E49" t="str">
        <f t="shared" ca="1" si="0"/>
        <v>=D13*inputs!$E$14*inputs!$E$16</v>
      </c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</row>
    <row r="50" spans="1:125" s="12" customFormat="1" ht="16.05" customHeight="1" x14ac:dyDescent="0.3">
      <c r="A50" t="s">
        <v>16</v>
      </c>
      <c r="B50" t="s">
        <v>107</v>
      </c>
      <c r="C50" t="s">
        <v>150</v>
      </c>
      <c r="D50" s="40">
        <f>inputs!E24*(D2+D3)/100000</f>
        <v>71.108335970602909</v>
      </c>
      <c r="E50" t="str">
        <f t="shared" ca="1" si="0"/>
        <v>=inputs!E24*(D2+D3)/100000</v>
      </c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</row>
    <row r="51" spans="1:125" s="12" customFormat="1" x14ac:dyDescent="0.3">
      <c r="A51" t="s">
        <v>16</v>
      </c>
      <c r="B51" t="s">
        <v>190</v>
      </c>
      <c r="C51" t="s">
        <v>66</v>
      </c>
      <c r="D51" s="10">
        <f>(D14*inputs!E17*inputs!E18)/(inputs!E31^0)</f>
        <v>10261.142776829636</v>
      </c>
      <c r="E51" t="str">
        <f t="shared" ca="1" si="0"/>
        <v>=(D14*inputs!E17*inputs!E18)/(inputs!E31^0)</v>
      </c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</row>
    <row r="52" spans="1:125" s="12" customFormat="1" x14ac:dyDescent="0.3">
      <c r="A52" t="s">
        <v>16</v>
      </c>
      <c r="B52" t="s">
        <v>190</v>
      </c>
      <c r="C52" t="s">
        <v>67</v>
      </c>
      <c r="D52" s="10">
        <f>(D15*inputs!E17*inputs!E18)/(inputs!E31^1)</f>
        <v>9920.4446434019428</v>
      </c>
      <c r="E52" t="str">
        <f t="shared" ca="1" si="0"/>
        <v>=(D15*inputs!E17*inputs!E18)/(inputs!E31^1)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</row>
    <row r="53" spans="1:125" s="12" customFormat="1" x14ac:dyDescent="0.3">
      <c r="A53" t="s">
        <v>16</v>
      </c>
      <c r="B53" t="s">
        <v>190</v>
      </c>
      <c r="C53" t="s">
        <v>151</v>
      </c>
      <c r="D53" s="10">
        <f>(D16*inputs!$E$18)/(inputs!$E$31^2)</f>
        <v>1924.9515208061284</v>
      </c>
      <c r="E53" t="str">
        <f t="shared" ca="1" si="0"/>
        <v>=(D16*inputs!$E$18)/(inputs!$E$31^2)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</row>
    <row r="54" spans="1:125" s="12" customFormat="1" x14ac:dyDescent="0.3">
      <c r="A54" t="s">
        <v>16</v>
      </c>
      <c r="B54" t="s">
        <v>190</v>
      </c>
      <c r="C54" t="s">
        <v>152</v>
      </c>
      <c r="D54" s="10">
        <f>(D17*inputs!$E$18)/(inputs!$E$31^3)</f>
        <v>1867.5767521762762</v>
      </c>
      <c r="E54" t="str">
        <f t="shared" ca="1" si="0"/>
        <v>=(D17*inputs!$E$18)/(inputs!$E$31^3)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</row>
    <row r="55" spans="1:125" s="12" customFormat="1" x14ac:dyDescent="0.3">
      <c r="A55" t="s">
        <v>16</v>
      </c>
      <c r="B55" t="s">
        <v>190</v>
      </c>
      <c r="C55" t="s">
        <v>166</v>
      </c>
      <c r="D55" s="10">
        <f>(D18*inputs!$E$18)/(inputs!$E$31^4)</f>
        <v>1811.9120858735466</v>
      </c>
      <c r="E55" t="str">
        <f t="shared" ca="1" si="0"/>
        <v>=(D18*inputs!$E$18)/(inputs!$E$31^4)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</row>
    <row r="56" spans="1:125" s="12" customFormat="1" x14ac:dyDescent="0.3">
      <c r="A56" t="s">
        <v>16</v>
      </c>
      <c r="B56" t="s">
        <v>190</v>
      </c>
      <c r="C56" t="s">
        <v>167</v>
      </c>
      <c r="D56" s="10">
        <f>(D19*inputs!$E$18)/(inputs!$E$31^5)</f>
        <v>1757.9065508868307</v>
      </c>
      <c r="E56" t="str">
        <f t="shared" ca="1" si="0"/>
        <v>=(D19*inputs!$E$18)/(inputs!$E$31^5)</v>
      </c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</row>
    <row r="57" spans="1:125" s="12" customFormat="1" x14ac:dyDescent="0.3">
      <c r="A57" t="s">
        <v>16</v>
      </c>
      <c r="B57" t="s">
        <v>190</v>
      </c>
      <c r="C57" t="s">
        <v>168</v>
      </c>
      <c r="D57" s="10">
        <f>(D20*inputs!$E$18)/(inputs!$E$31^6)</f>
        <v>1705.5106954380678</v>
      </c>
      <c r="E57" t="str">
        <f t="shared" ca="1" si="0"/>
        <v>=(D20*inputs!$E$18)/(inputs!$E$31^6)</v>
      </c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</row>
    <row r="58" spans="1:125" s="12" customFormat="1" x14ac:dyDescent="0.3">
      <c r="A58" t="s">
        <v>16</v>
      </c>
      <c r="B58" t="s">
        <v>190</v>
      </c>
      <c r="C58" t="s">
        <v>169</v>
      </c>
      <c r="D58" s="10">
        <f>(D21*inputs!$E$18)/(inputs!$E$31^7)</f>
        <v>1654.6765417002532</v>
      </c>
      <c r="E58" t="str">
        <f t="shared" ca="1" si="0"/>
        <v>=(D21*inputs!$E$18)/(inputs!$E$31^7)</v>
      </c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</row>
    <row r="59" spans="1:125" s="12" customFormat="1" x14ac:dyDescent="0.3">
      <c r="A59" t="s">
        <v>16</v>
      </c>
      <c r="B59" t="s">
        <v>190</v>
      </c>
      <c r="C59" t="s">
        <v>170</v>
      </c>
      <c r="D59" s="10">
        <f>(D22*inputs!$E$18)/(inputs!$E$31^8)</f>
        <v>1605.3575418651099</v>
      </c>
      <c r="E59" t="str">
        <f t="shared" ca="1" si="0"/>
        <v>=(D22*inputs!$E$18)/(inputs!$E$31^8)</v>
      </c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</row>
    <row r="60" spans="1:125" s="12" customFormat="1" x14ac:dyDescent="0.3">
      <c r="A60" t="s">
        <v>16</v>
      </c>
      <c r="B60" t="s">
        <v>190</v>
      </c>
      <c r="C60" t="s">
        <v>171</v>
      </c>
      <c r="D60" s="10">
        <f>(D23*inputs!$E$18)/(inputs!$E$31^9)</f>
        <v>1557.5085355201984</v>
      </c>
      <c r="E60" t="str">
        <f t="shared" ca="1" si="0"/>
        <v>=(D23*inputs!$E$18)/(inputs!$E$31^9)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</row>
    <row r="61" spans="1:125" s="12" customFormat="1" x14ac:dyDescent="0.3">
      <c r="A61" t="s">
        <v>16</v>
      </c>
      <c r="B61" t="s">
        <v>190</v>
      </c>
      <c r="C61" t="s">
        <v>172</v>
      </c>
      <c r="D61" s="10">
        <f>(D24*inputs!$E$18)/(inputs!$E$31^10)</f>
        <v>1511.085708296441</v>
      </c>
      <c r="E61" t="str">
        <f t="shared" ca="1" si="0"/>
        <v>=(D24*inputs!$E$18)/(inputs!$E$31^10)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</row>
    <row r="62" spans="1:125" s="12" customFormat="1" x14ac:dyDescent="0.3">
      <c r="A62" t="s">
        <v>16</v>
      </c>
      <c r="B62" t="s">
        <v>190</v>
      </c>
      <c r="C62" t="s">
        <v>173</v>
      </c>
      <c r="D62" s="10">
        <f>(D25*inputs!$E$18)/(inputs!$E$31^11)</f>
        <v>1466.0465517481878</v>
      </c>
      <c r="E62" t="str">
        <f t="shared" ca="1" si="0"/>
        <v>=(D25*inputs!$E$18)/(inputs!$E$31^11)</v>
      </c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</row>
    <row r="63" spans="1:125" s="12" customFormat="1" x14ac:dyDescent="0.3">
      <c r="A63" t="s">
        <v>16</v>
      </c>
      <c r="B63" t="s">
        <v>190</v>
      </c>
      <c r="C63" t="s">
        <v>71</v>
      </c>
      <c r="D63" s="10">
        <f>D26*inputs!E17*inputs!E19</f>
        <v>4262.5201686577657</v>
      </c>
      <c r="E63" t="str">
        <f t="shared" ca="1" si="0"/>
        <v>=D26*inputs!E17*inputs!E19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</row>
    <row r="64" spans="1:125" s="12" customFormat="1" x14ac:dyDescent="0.3">
      <c r="A64" t="s">
        <v>16</v>
      </c>
      <c r="B64" t="s">
        <v>190</v>
      </c>
      <c r="C64" t="s">
        <v>69</v>
      </c>
      <c r="D64" s="10">
        <f>(D27*inputs!E17*inputs!E19)/(inputs!E31^1)</f>
        <v>4120.9927874737868</v>
      </c>
      <c r="E64" t="str">
        <f t="shared" ca="1" si="0"/>
        <v>=(D27*inputs!E17*inputs!E19)/(inputs!E31^1)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</row>
    <row r="65" spans="1:125" s="12" customFormat="1" x14ac:dyDescent="0.3">
      <c r="A65" t="s">
        <v>16</v>
      </c>
      <c r="B65" t="s">
        <v>190</v>
      </c>
      <c r="C65" t="s">
        <v>70</v>
      </c>
      <c r="D65" s="10">
        <f>(D28*inputs!$E$19)/(inputs!$E$31^2)</f>
        <v>799.63263932476809</v>
      </c>
      <c r="E65" t="str">
        <f t="shared" ca="1" si="0"/>
        <v>=(D28*inputs!$E$19)/(inputs!$E$31^2)</v>
      </c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</row>
    <row r="66" spans="1:125" s="12" customFormat="1" x14ac:dyDescent="0.3">
      <c r="A66" t="s">
        <v>16</v>
      </c>
      <c r="B66" t="s">
        <v>190</v>
      </c>
      <c r="C66" t="s">
        <v>164</v>
      </c>
      <c r="D66" s="10">
        <f>(D29*inputs!$E$19)/(inputs!$E$31^3)</f>
        <v>775.79892861868041</v>
      </c>
      <c r="E66" t="str">
        <f t="shared" ca="1" si="0"/>
        <v>=(D29*inputs!$E$19)/(inputs!$E$31^3)</v>
      </c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</row>
    <row r="67" spans="1:125" s="12" customFormat="1" x14ac:dyDescent="0.3">
      <c r="A67" t="s">
        <v>16</v>
      </c>
      <c r="B67" t="s">
        <v>190</v>
      </c>
      <c r="C67" t="s">
        <v>165</v>
      </c>
      <c r="D67" s="10">
        <f>(D30*inputs!$E$19)/(inputs!$E$31^4)</f>
        <v>752.67560132878384</v>
      </c>
      <c r="E67" t="str">
        <f t="shared" ref="E67:E131" ca="1" si="1">_xlfn.FORMULATEXT(D67)</f>
        <v>=(D30*inputs!$E$19)/(inputs!$E$31^4)</v>
      </c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</row>
    <row r="68" spans="1:125" s="12" customFormat="1" x14ac:dyDescent="0.3">
      <c r="A68" t="s">
        <v>16</v>
      </c>
      <c r="B68" t="s">
        <v>190</v>
      </c>
      <c r="C68" t="s">
        <v>174</v>
      </c>
      <c r="D68" s="10">
        <f>(D31*inputs!$E$19)/(inputs!$E$31^5)</f>
        <v>730.24148389112031</v>
      </c>
      <c r="E68" t="str">
        <f t="shared" ca="1" si="1"/>
        <v>=(D31*inputs!$E$19)/(inputs!$E$31^5)</v>
      </c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</row>
    <row r="69" spans="1:125" s="12" customFormat="1" x14ac:dyDescent="0.3">
      <c r="A69" t="s">
        <v>16</v>
      </c>
      <c r="B69" t="s">
        <v>190</v>
      </c>
      <c r="C69" t="s">
        <v>175</v>
      </c>
      <c r="D69" s="10">
        <f>(D32*inputs!$E$19)/(inputs!$E$31^6)</f>
        <v>708.47603383727812</v>
      </c>
      <c r="E69" t="str">
        <f t="shared" ca="1" si="1"/>
        <v>=(D32*inputs!$E$19)/(inputs!$E$31^6)</v>
      </c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</row>
    <row r="70" spans="1:125" s="12" customFormat="1" x14ac:dyDescent="0.3">
      <c r="A70" t="s">
        <v>16</v>
      </c>
      <c r="B70" t="s">
        <v>190</v>
      </c>
      <c r="C70" t="s">
        <v>176</v>
      </c>
      <c r="D70" s="10">
        <f>(D33*inputs!$E$19)/(inputs!$E$31^7)</f>
        <v>687.35932098406988</v>
      </c>
      <c r="E70" t="str">
        <f t="shared" ca="1" si="1"/>
        <v>=(D33*inputs!$E$19)/(inputs!$E$31^7)</v>
      </c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</row>
    <row r="71" spans="1:125" s="12" customFormat="1" x14ac:dyDescent="0.3">
      <c r="A71" t="s">
        <v>16</v>
      </c>
      <c r="B71" t="s">
        <v>190</v>
      </c>
      <c r="C71" t="s">
        <v>177</v>
      </c>
      <c r="D71" s="10">
        <f>(D34*inputs!$E$19)/(inputs!$E$31^8)</f>
        <v>666.87200918386509</v>
      </c>
      <c r="E71" t="str">
        <f t="shared" ca="1" si="1"/>
        <v>=(D34*inputs!$E$19)/(inputs!$E$31^8)</v>
      </c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</row>
    <row r="72" spans="1:125" s="12" customFormat="1" x14ac:dyDescent="0.3">
      <c r="A72" t="s">
        <v>16</v>
      </c>
      <c r="B72" t="s">
        <v>190</v>
      </c>
      <c r="C72" t="s">
        <v>178</v>
      </c>
      <c r="D72" s="10">
        <f>(D35*inputs!$E$19)/(inputs!$E$31^9)</f>
        <v>646.99533861887028</v>
      </c>
      <c r="E72" t="str">
        <f t="shared" ca="1" si="1"/>
        <v>=(D35*inputs!$E$19)/(inputs!$E$31^9)</v>
      </c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</row>
    <row r="73" spans="1:125" s="12" customFormat="1" x14ac:dyDescent="0.3">
      <c r="A73" t="s">
        <v>16</v>
      </c>
      <c r="B73" t="s">
        <v>190</v>
      </c>
      <c r="C73" t="s">
        <v>179</v>
      </c>
      <c r="D73" s="10">
        <f>(D36*inputs!$E$19)/(inputs!$E$31^10)</f>
        <v>627.71110862314276</v>
      </c>
      <c r="E73" t="str">
        <f t="shared" ca="1" si="1"/>
        <v>=(D36*inputs!$E$19)/(inputs!$E$31^10)</v>
      </c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</row>
    <row r="74" spans="1:125" s="12" customFormat="1" x14ac:dyDescent="0.3">
      <c r="A74" t="s">
        <v>16</v>
      </c>
      <c r="B74" t="s">
        <v>190</v>
      </c>
      <c r="C74" t="s">
        <v>180</v>
      </c>
      <c r="D74" s="10">
        <f>(D37*inputs!$E$19)/(inputs!$E$31^11)</f>
        <v>609.0016610166083</v>
      </c>
      <c r="E74" t="str">
        <f t="shared" ca="1" si="1"/>
        <v>=(D37*inputs!$E$19)/(inputs!$E$31^11)</v>
      </c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</row>
    <row r="75" spans="1:125" s="12" customFormat="1" x14ac:dyDescent="0.3">
      <c r="A75" t="s">
        <v>16</v>
      </c>
      <c r="B75" t="s">
        <v>190</v>
      </c>
      <c r="C75" t="s">
        <v>72</v>
      </c>
      <c r="D75" s="10">
        <f>D38*inputs!E17*inputs!E20</f>
        <v>753.87657238229099</v>
      </c>
      <c r="E75" t="str">
        <f t="shared" ca="1" si="1"/>
        <v>=D38*inputs!E17*inputs!E20</v>
      </c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</row>
    <row r="76" spans="1:125" s="12" customFormat="1" x14ac:dyDescent="0.3">
      <c r="A76" t="s">
        <v>16</v>
      </c>
      <c r="B76" t="s">
        <v>190</v>
      </c>
      <c r="C76" t="s">
        <v>73</v>
      </c>
      <c r="D76" s="10">
        <f>(D39*inputs!E17*inputs!E20)/(inputs!E31^1)</f>
        <v>2082.4165681383497</v>
      </c>
      <c r="E76" t="str">
        <f t="shared" ca="1" si="1"/>
        <v>=(D39*inputs!E17*inputs!E20)/(inputs!E31^1)</v>
      </c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</row>
    <row r="77" spans="1:125" s="12" customFormat="1" x14ac:dyDescent="0.3">
      <c r="A77" t="s">
        <v>16</v>
      </c>
      <c r="B77" t="s">
        <v>190</v>
      </c>
      <c r="C77" t="s">
        <v>74</v>
      </c>
      <c r="D77" s="10">
        <f>(D40*inputs!$E$20)/(inputs!$E$31^2)</f>
        <v>404.06968476517534</v>
      </c>
      <c r="E77" t="str">
        <f t="shared" ca="1" si="1"/>
        <v>=(D40*inputs!$E$20)/(inputs!$E$31^2)</v>
      </c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</row>
    <row r="78" spans="1:125" s="12" customFormat="1" x14ac:dyDescent="0.3">
      <c r="A78" t="s">
        <v>16</v>
      </c>
      <c r="B78" t="s">
        <v>190</v>
      </c>
      <c r="C78" t="s">
        <v>75</v>
      </c>
      <c r="D78" s="10">
        <f>(D41*inputs!$E$20)/(inputs!$E$31^3)</f>
        <v>392.02605435518421</v>
      </c>
      <c r="E78" t="str">
        <f t="shared" ca="1" si="1"/>
        <v>=(D41*inputs!$E$20)/(inputs!$E$31^3)</v>
      </c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</row>
    <row r="79" spans="1:125" s="12" customFormat="1" x14ac:dyDescent="0.3">
      <c r="A79" t="s">
        <v>16</v>
      </c>
      <c r="B79" t="s">
        <v>190</v>
      </c>
      <c r="C79" t="s">
        <v>76</v>
      </c>
      <c r="D79" s="10">
        <f>(D42*inputs!$E$20)/(inputs!$E$31^4)</f>
        <v>380.34139428848124</v>
      </c>
      <c r="E79" t="str">
        <f t="shared" ca="1" si="1"/>
        <v>=(D42*inputs!$E$20)/(inputs!$E$31^4)</v>
      </c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</row>
    <row r="80" spans="1:125" s="12" customFormat="1" x14ac:dyDescent="0.3">
      <c r="A80" t="s">
        <v>16</v>
      </c>
      <c r="B80" t="s">
        <v>190</v>
      </c>
      <c r="C80" t="s">
        <v>77</v>
      </c>
      <c r="D80" s="10">
        <f>(D43*inputs!$E$20)/(inputs!$E$31^5)</f>
        <v>369.00500515774689</v>
      </c>
      <c r="E80" t="str">
        <f t="shared" ca="1" si="1"/>
        <v>=(D43*inputs!$E$20)/(inputs!$E$31^5)</v>
      </c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</row>
    <row r="81" spans="1:125" s="12" customFormat="1" x14ac:dyDescent="0.3">
      <c r="A81" t="s">
        <v>16</v>
      </c>
      <c r="B81" t="s">
        <v>190</v>
      </c>
      <c r="C81" t="s">
        <v>78</v>
      </c>
      <c r="D81" s="10">
        <f>(D44*inputs!$E$20)/(inputs!$E$31^6)</f>
        <v>358.0065064603267</v>
      </c>
      <c r="E81" t="str">
        <f t="shared" ca="1" si="1"/>
        <v>=(D44*inputs!$E$20)/(inputs!$E$31^6)</v>
      </c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</row>
    <row r="82" spans="1:125" s="12" customFormat="1" x14ac:dyDescent="0.3">
      <c r="A82" t="s">
        <v>16</v>
      </c>
      <c r="B82" t="s">
        <v>190</v>
      </c>
      <c r="C82" t="s">
        <v>79</v>
      </c>
      <c r="D82" s="10">
        <f>(D45*inputs!$E$20)/(inputs!$E$31^7)</f>
        <v>347.33582709301402</v>
      </c>
      <c r="E82" t="str">
        <f t="shared" ca="1" si="1"/>
        <v>=(D45*inputs!$E$20)/(inputs!$E$31^7)</v>
      </c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</row>
    <row r="83" spans="1:125" s="12" customFormat="1" x14ac:dyDescent="0.3">
      <c r="A83" t="s">
        <v>16</v>
      </c>
      <c r="B83" t="s">
        <v>190</v>
      </c>
      <c r="C83" t="s">
        <v>80</v>
      </c>
      <c r="D83" s="10">
        <f>(D46*inputs!$E$20)/(inputs!$E$31^8)</f>
        <v>336.98319613014456</v>
      </c>
      <c r="E83" t="str">
        <f t="shared" ca="1" si="1"/>
        <v>=(D46*inputs!$E$20)/(inputs!$E$31^8)</v>
      </c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</row>
    <row r="84" spans="1:125" s="12" customFormat="1" x14ac:dyDescent="0.3">
      <c r="A84" t="s">
        <v>16</v>
      </c>
      <c r="B84" t="s">
        <v>190</v>
      </c>
      <c r="C84" t="s">
        <v>81</v>
      </c>
      <c r="D84" s="10">
        <f>(D47*inputs!$E$20)/(inputs!$E$31^9)</f>
        <v>326.93913387655681</v>
      </c>
      <c r="E84" t="str">
        <f t="shared" ca="1" si="1"/>
        <v>=(D47*inputs!$E$20)/(inputs!$E$31^9)</v>
      </c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</row>
    <row r="85" spans="1:125" s="12" customFormat="1" x14ac:dyDescent="0.3">
      <c r="A85" t="s">
        <v>16</v>
      </c>
      <c r="B85" t="s">
        <v>190</v>
      </c>
      <c r="C85" t="s">
        <v>82</v>
      </c>
      <c r="D85" s="10">
        <f>(D48*inputs!$E$20)/(inputs!$E$31^10)</f>
        <v>317.1944431872264</v>
      </c>
      <c r="E85" t="str">
        <f t="shared" ca="1" si="1"/>
        <v>=(D48*inputs!$E$20)/(inputs!$E$31^10)</v>
      </c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</row>
    <row r="86" spans="1:125" s="12" customFormat="1" x14ac:dyDescent="0.3">
      <c r="A86" t="s">
        <v>16</v>
      </c>
      <c r="B86" t="s">
        <v>190</v>
      </c>
      <c r="C86" t="s">
        <v>83</v>
      </c>
      <c r="D86" s="10">
        <f>(D49*inputs!$E$20)/(inputs!$E$31^11)</f>
        <v>307.74020104562652</v>
      </c>
      <c r="E86" t="str">
        <f t="shared" ca="1" si="1"/>
        <v>=(D49*inputs!$E$20)/(inputs!$E$31^11)</v>
      </c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</row>
    <row r="87" spans="1:125" s="12" customFormat="1" x14ac:dyDescent="0.3">
      <c r="A87" t="s">
        <v>16</v>
      </c>
      <c r="B87" t="s">
        <v>190</v>
      </c>
      <c r="C87" t="s">
        <v>153</v>
      </c>
      <c r="D87" s="10">
        <f>D50*inputs!E25</f>
        <v>4266.5001582361747</v>
      </c>
      <c r="E87" t="str">
        <f t="shared" ca="1" si="1"/>
        <v>=D50*inputs!E25</v>
      </c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</row>
    <row r="88" spans="1:125" s="12" customFormat="1" x14ac:dyDescent="0.3">
      <c r="A88" t="s">
        <v>16</v>
      </c>
      <c r="B88" t="s">
        <v>84</v>
      </c>
      <c r="C88" t="s">
        <v>85</v>
      </c>
      <c r="D88" s="10">
        <f>D51*(inputs!$E$26*inputs!$E$27)</f>
        <v>36796457.997711077</v>
      </c>
      <c r="E88" t="str">
        <f t="shared" ca="1" si="1"/>
        <v>=D51*(inputs!$E$26*inputs!$E$27)</v>
      </c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</row>
    <row r="89" spans="1:125" s="12" customFormat="1" x14ac:dyDescent="0.3">
      <c r="A89" t="s">
        <v>16</v>
      </c>
      <c r="B89" t="s">
        <v>84</v>
      </c>
      <c r="C89" t="s">
        <v>86</v>
      </c>
      <c r="D89" s="10">
        <f>D52*(inputs!$E$26*inputs!$E$27)</f>
        <v>35574714.491239369</v>
      </c>
      <c r="E89" t="str">
        <f t="shared" ca="1" si="1"/>
        <v>=D52*(inputs!$E$26*inputs!$E$27)</v>
      </c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</row>
    <row r="90" spans="1:125" s="12" customFormat="1" x14ac:dyDescent="0.3">
      <c r="A90" t="s">
        <v>16</v>
      </c>
      <c r="B90" t="s">
        <v>84</v>
      </c>
      <c r="C90" t="s">
        <v>163</v>
      </c>
      <c r="D90" s="10">
        <f>D53*(inputs!$E$26*inputs!$E$27)</f>
        <v>6902876.1536107762</v>
      </c>
      <c r="E90" t="str">
        <f t="shared" ca="1" si="1"/>
        <v>=D53*(inputs!$E$26*inputs!$E$27)</v>
      </c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</row>
    <row r="91" spans="1:125" s="12" customFormat="1" x14ac:dyDescent="0.3">
      <c r="A91" t="s">
        <v>16</v>
      </c>
      <c r="B91" t="s">
        <v>84</v>
      </c>
      <c r="C91" t="s">
        <v>181</v>
      </c>
      <c r="D91" s="10">
        <f>D54*(inputs!$E$26*inputs!$E$27)</f>
        <v>6697130.2333041262</v>
      </c>
      <c r="E91" t="str">
        <f t="shared" ca="1" si="1"/>
        <v>=D54*(inputs!$E$26*inputs!$E$27)</v>
      </c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</row>
    <row r="92" spans="1:125" s="12" customFormat="1" x14ac:dyDescent="0.3">
      <c r="A92" t="s">
        <v>16</v>
      </c>
      <c r="B92" t="s">
        <v>84</v>
      </c>
      <c r="C92" t="s">
        <v>182</v>
      </c>
      <c r="D92" s="10">
        <f>D55*(inputs!$E$26*inputs!$E$27)</f>
        <v>6497516.7399425386</v>
      </c>
      <c r="E92" t="str">
        <f t="shared" ca="1" si="1"/>
        <v>=D55*(inputs!$E$26*inputs!$E$27)</v>
      </c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</row>
    <row r="93" spans="1:125" s="12" customFormat="1" x14ac:dyDescent="0.3">
      <c r="A93" t="s">
        <v>16</v>
      </c>
      <c r="B93" t="s">
        <v>84</v>
      </c>
      <c r="C93" t="s">
        <v>183</v>
      </c>
      <c r="D93" s="10">
        <f>D56*(inputs!$E$26*inputs!$E$27)</f>
        <v>6303852.8914801748</v>
      </c>
      <c r="E93" t="str">
        <f t="shared" ca="1" si="1"/>
        <v>=D56*(inputs!$E$26*inputs!$E$27)</v>
      </c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</row>
    <row r="94" spans="1:125" s="12" customFormat="1" x14ac:dyDescent="0.3">
      <c r="A94" t="s">
        <v>16</v>
      </c>
      <c r="B94" t="s">
        <v>84</v>
      </c>
      <c r="C94" t="s">
        <v>184</v>
      </c>
      <c r="D94" s="10">
        <f>D57*(inputs!$E$26*inputs!$E$27)</f>
        <v>6115961.3538409108</v>
      </c>
      <c r="E94" t="str">
        <f t="shared" ca="1" si="1"/>
        <v>=D57*(inputs!$E$26*inputs!$E$27)</v>
      </c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</row>
    <row r="95" spans="1:125" s="12" customFormat="1" x14ac:dyDescent="0.3">
      <c r="A95" t="s">
        <v>16</v>
      </c>
      <c r="B95" t="s">
        <v>84</v>
      </c>
      <c r="C95" t="s">
        <v>185</v>
      </c>
      <c r="D95" s="10">
        <f>D58*(inputs!$E$26*inputs!$E$27)</f>
        <v>5933670.0785371084</v>
      </c>
      <c r="E95" t="str">
        <f t="shared" ca="1" si="1"/>
        <v>=D58*(inputs!$E$26*inputs!$E$27)</v>
      </c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</row>
    <row r="96" spans="1:125" s="12" customFormat="1" x14ac:dyDescent="0.3">
      <c r="A96" t="s">
        <v>16</v>
      </c>
      <c r="B96" t="s">
        <v>84</v>
      </c>
      <c r="C96" t="s">
        <v>186</v>
      </c>
      <c r="D96" s="10">
        <f>D59*(inputs!$E$26*inputs!$E$27)</f>
        <v>5756812.1451282836</v>
      </c>
      <c r="E96" t="str">
        <f t="shared" ca="1" si="1"/>
        <v>=D59*(inputs!$E$26*inputs!$E$27)</v>
      </c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</row>
    <row r="97" spans="1:125" s="12" customFormat="1" x14ac:dyDescent="0.3">
      <c r="A97" t="s">
        <v>16</v>
      </c>
      <c r="B97" t="s">
        <v>84</v>
      </c>
      <c r="C97" t="s">
        <v>187</v>
      </c>
      <c r="D97" s="10">
        <f>D60*(inputs!$E$26*inputs!$E$27)</f>
        <v>5585225.608375431</v>
      </c>
      <c r="E97" t="str">
        <f t="shared" ca="1" si="1"/>
        <v>=D60*(inputs!$E$26*inputs!$E$27)</v>
      </c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</row>
    <row r="98" spans="1:125" s="12" customFormat="1" x14ac:dyDescent="0.3">
      <c r="A98" t="s">
        <v>16</v>
      </c>
      <c r="B98" t="s">
        <v>84</v>
      </c>
      <c r="C98" t="s">
        <v>188</v>
      </c>
      <c r="D98" s="10">
        <f>D61*(inputs!$E$26*inputs!$E$27)</f>
        <v>5418753.3499510372</v>
      </c>
      <c r="E98" t="str">
        <f t="shared" ca="1" si="1"/>
        <v>=D61*(inputs!$E$26*inputs!$E$27)</v>
      </c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</row>
    <row r="99" spans="1:125" s="12" customFormat="1" x14ac:dyDescent="0.3">
      <c r="A99" t="s">
        <v>16</v>
      </c>
      <c r="B99" t="s">
        <v>84</v>
      </c>
      <c r="C99" t="s">
        <v>189</v>
      </c>
      <c r="D99" s="10">
        <f>D62*(inputs!$E$26*inputs!$E$27)</f>
        <v>5257242.9345690012</v>
      </c>
      <c r="E99" t="str">
        <f t="shared" ca="1" si="1"/>
        <v>=D62*(inputs!$E$26*inputs!$E$27)</v>
      </c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</row>
    <row r="100" spans="1:125" s="12" customFormat="1" x14ac:dyDescent="0.3">
      <c r="A100" t="s">
        <v>16</v>
      </c>
      <c r="B100" t="s">
        <v>84</v>
      </c>
      <c r="C100" t="s">
        <v>87</v>
      </c>
      <c r="D100" s="10">
        <f>D63*(inputs!$E$26*inputs!$E$27)</f>
        <v>15285397.324806748</v>
      </c>
      <c r="E100" t="str">
        <f t="shared" ca="1" si="1"/>
        <v>=D63*(inputs!$E$26*inputs!$E$27)</v>
      </c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</row>
    <row r="101" spans="1:125" s="12" customFormat="1" x14ac:dyDescent="0.3">
      <c r="A101" t="s">
        <v>16</v>
      </c>
      <c r="B101" t="s">
        <v>84</v>
      </c>
      <c r="C101" t="s">
        <v>88</v>
      </c>
      <c r="D101" s="10">
        <f>D64*(inputs!$E$26*inputs!$E$27)</f>
        <v>14777880.135880999</v>
      </c>
      <c r="E101" t="str">
        <f t="shared" ca="1" si="1"/>
        <v>=D64*(inputs!$E$26*inputs!$E$27)</v>
      </c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</row>
    <row r="102" spans="1:125" s="12" customFormat="1" x14ac:dyDescent="0.3">
      <c r="A102" t="s">
        <v>16</v>
      </c>
      <c r="B102" t="s">
        <v>84</v>
      </c>
      <c r="C102" t="s">
        <v>89</v>
      </c>
      <c r="D102" s="10">
        <f>D65*(inputs!$E$26*inputs!$E$27)</f>
        <v>2867482.6446186183</v>
      </c>
      <c r="E102" t="str">
        <f t="shared" ca="1" si="1"/>
        <v>=D65*(inputs!$E$26*inputs!$E$27)</v>
      </c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</row>
    <row r="103" spans="1:125" s="12" customFormat="1" x14ac:dyDescent="0.3">
      <c r="A103" t="s">
        <v>16</v>
      </c>
      <c r="B103" t="s">
        <v>84</v>
      </c>
      <c r="C103" t="s">
        <v>154</v>
      </c>
      <c r="D103" s="10">
        <f>D66*(inputs!$E$26*inputs!$E$27)</f>
        <v>2782014.958026588</v>
      </c>
      <c r="E103" t="str">
        <f t="shared" ca="1" si="1"/>
        <v>=D66*(inputs!$E$26*inputs!$E$27)</v>
      </c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</row>
    <row r="104" spans="1:125" s="12" customFormat="1" x14ac:dyDescent="0.3">
      <c r="A104" t="s">
        <v>16</v>
      </c>
      <c r="B104" t="s">
        <v>84</v>
      </c>
      <c r="C104" t="s">
        <v>155</v>
      </c>
      <c r="D104" s="10">
        <f>D67*(inputs!$E$26*inputs!$E$27)</f>
        <v>2699094.7063650191</v>
      </c>
      <c r="E104" t="str">
        <f t="shared" ca="1" si="1"/>
        <v>=D67*(inputs!$E$26*inputs!$E$27)</v>
      </c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</row>
    <row r="105" spans="1:125" s="12" customFormat="1" x14ac:dyDescent="0.3">
      <c r="A105" t="s">
        <v>16</v>
      </c>
      <c r="B105" t="s">
        <v>84</v>
      </c>
      <c r="C105" t="s">
        <v>156</v>
      </c>
      <c r="D105" s="10">
        <f>D68*(inputs!$E$26*inputs!$E$27)</f>
        <v>2618645.9612335572</v>
      </c>
      <c r="E105" t="str">
        <f t="shared" ca="1" si="1"/>
        <v>=D68*(inputs!$E$26*inputs!$E$27)</v>
      </c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</row>
    <row r="106" spans="1:125" s="12" customFormat="1" x14ac:dyDescent="0.3">
      <c r="A106" t="s">
        <v>16</v>
      </c>
      <c r="B106" t="s">
        <v>84</v>
      </c>
      <c r="C106" t="s">
        <v>157</v>
      </c>
      <c r="D106" s="10">
        <f>D69*(inputs!$E$26*inputs!$E$27)</f>
        <v>2540595.0573404795</v>
      </c>
      <c r="E106" t="str">
        <f t="shared" ca="1" si="1"/>
        <v>=D69*(inputs!$E$26*inputs!$E$27)</v>
      </c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</row>
    <row r="107" spans="1:125" s="12" customFormat="1" x14ac:dyDescent="0.3">
      <c r="A107" t="s">
        <v>16</v>
      </c>
      <c r="B107" t="s">
        <v>84</v>
      </c>
      <c r="C107" t="s">
        <v>158</v>
      </c>
      <c r="D107" s="10">
        <f>D70*(inputs!$E$26*inputs!$E$27)</f>
        <v>2464870.5250488748</v>
      </c>
      <c r="E107" t="str">
        <f t="shared" ca="1" si="1"/>
        <v>=D70*(inputs!$E$26*inputs!$E$27)</v>
      </c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</row>
    <row r="108" spans="1:125" s="12" customFormat="1" x14ac:dyDescent="0.3">
      <c r="A108" t="s">
        <v>16</v>
      </c>
      <c r="B108" t="s">
        <v>84</v>
      </c>
      <c r="C108" t="s">
        <v>159</v>
      </c>
      <c r="D108" s="10">
        <f>D71*(inputs!$E$26*inputs!$E$27)</f>
        <v>2391403.02493334</v>
      </c>
      <c r="E108" t="str">
        <f t="shared" ca="1" si="1"/>
        <v>=D71*(inputs!$E$26*inputs!$E$27)</v>
      </c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</row>
    <row r="109" spans="1:125" s="12" customFormat="1" x14ac:dyDescent="0.3">
      <c r="A109" t="s">
        <v>16</v>
      </c>
      <c r="B109" t="s">
        <v>84</v>
      </c>
      <c r="C109" t="s">
        <v>160</v>
      </c>
      <c r="D109" s="10">
        <f>D72*(inputs!$E$26*inputs!$E$27)</f>
        <v>2320125.2842872688</v>
      </c>
      <c r="E109" t="str">
        <f t="shared" ca="1" si="1"/>
        <v>=D72*(inputs!$E$26*inputs!$E$27)</v>
      </c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</row>
    <row r="110" spans="1:125" s="12" customFormat="1" x14ac:dyDescent="0.3">
      <c r="A110" t="s">
        <v>16</v>
      </c>
      <c r="B110" t="s">
        <v>84</v>
      </c>
      <c r="C110" t="s">
        <v>161</v>
      </c>
      <c r="D110" s="10">
        <f>D73*(inputs!$E$26*inputs!$E$27)</f>
        <v>2250972.0355225899</v>
      </c>
      <c r="E110" t="str">
        <f t="shared" ca="1" si="1"/>
        <v>=D73*(inputs!$E$26*inputs!$E$27)</v>
      </c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</row>
    <row r="111" spans="1:125" s="12" customFormat="1" x14ac:dyDescent="0.3">
      <c r="A111" t="s">
        <v>16</v>
      </c>
      <c r="B111" t="s">
        <v>84</v>
      </c>
      <c r="C111" t="s">
        <v>162</v>
      </c>
      <c r="D111" s="10">
        <f>D74*(inputs!$E$26*inputs!$E$27)</f>
        <v>2183879.9564055572</v>
      </c>
      <c r="E111" t="str">
        <f t="shared" ca="1" si="1"/>
        <v>=D74*(inputs!$E$26*inputs!$E$27)</v>
      </c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</row>
    <row r="112" spans="1:125" s="12" customFormat="1" x14ac:dyDescent="0.3">
      <c r="A112" t="s">
        <v>16</v>
      </c>
      <c r="B112" t="s">
        <v>84</v>
      </c>
      <c r="C112" t="s">
        <v>90</v>
      </c>
      <c r="D112" s="10">
        <f>D75*(inputs!$E$26*inputs!$E$27)</f>
        <v>2703401.3885628954</v>
      </c>
      <c r="E112" t="str">
        <f t="shared" ca="1" si="1"/>
        <v>=D75*(inputs!$E$26*inputs!$E$27)</v>
      </c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</row>
    <row r="113" spans="1:125" s="12" customFormat="1" x14ac:dyDescent="0.3">
      <c r="A113" t="s">
        <v>16</v>
      </c>
      <c r="B113" t="s">
        <v>84</v>
      </c>
      <c r="C113" t="s">
        <v>91</v>
      </c>
      <c r="D113" s="10">
        <f>D76*(inputs!$E$26*inputs!$E$27)</f>
        <v>7467545.8133441219</v>
      </c>
      <c r="E113" t="str">
        <f t="shared" ca="1" si="1"/>
        <v>=D76*(inputs!$E$26*inputs!$E$27)</v>
      </c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</row>
    <row r="114" spans="1:125" s="12" customFormat="1" x14ac:dyDescent="0.3">
      <c r="A114" t="s">
        <v>16</v>
      </c>
      <c r="B114" t="s">
        <v>84</v>
      </c>
      <c r="C114" t="s">
        <v>92</v>
      </c>
      <c r="D114" s="10">
        <f>D77*(inputs!$E$26*inputs!$E$27)</f>
        <v>1448993.8895679188</v>
      </c>
      <c r="E114" t="str">
        <f t="shared" ca="1" si="1"/>
        <v>=D77*(inputs!$E$26*inputs!$E$27)</v>
      </c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</row>
    <row r="115" spans="1:125" s="12" customFormat="1" x14ac:dyDescent="0.3">
      <c r="A115" t="s">
        <v>16</v>
      </c>
      <c r="B115" t="s">
        <v>84</v>
      </c>
      <c r="C115" t="s">
        <v>93</v>
      </c>
      <c r="D115" s="10">
        <f>D78*(inputs!$E$26*inputs!$E$27)</f>
        <v>1405805.4309176905</v>
      </c>
      <c r="E115" t="str">
        <f t="shared" ca="1" si="1"/>
        <v>=D78*(inputs!$E$26*inputs!$E$27)</v>
      </c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</row>
    <row r="116" spans="1:125" s="12" customFormat="1" x14ac:dyDescent="0.3">
      <c r="A116" t="s">
        <v>16</v>
      </c>
      <c r="B116" t="s">
        <v>84</v>
      </c>
      <c r="C116" t="s">
        <v>94</v>
      </c>
      <c r="D116" s="10">
        <f>D79*(inputs!$E$26*inputs!$E$27)</f>
        <v>1363904.2399184937</v>
      </c>
      <c r="E116" t="str">
        <f t="shared" ca="1" si="1"/>
        <v>=D79*(inputs!$E$26*inputs!$E$27)</v>
      </c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</row>
    <row r="117" spans="1:125" s="12" customFormat="1" x14ac:dyDescent="0.3">
      <c r="A117" t="s">
        <v>16</v>
      </c>
      <c r="B117" t="s">
        <v>84</v>
      </c>
      <c r="C117" t="s">
        <v>95</v>
      </c>
      <c r="D117" s="10">
        <f>D80*(inputs!$E$26*inputs!$E$27)</f>
        <v>1323251.9484956805</v>
      </c>
      <c r="E117" t="str">
        <f t="shared" ca="1" si="1"/>
        <v>=D80*(inputs!$E$26*inputs!$E$27)</v>
      </c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</row>
    <row r="118" spans="1:125" s="12" customFormat="1" x14ac:dyDescent="0.3">
      <c r="A118" t="s">
        <v>16</v>
      </c>
      <c r="B118" t="s">
        <v>84</v>
      </c>
      <c r="C118" t="s">
        <v>96</v>
      </c>
      <c r="D118" s="10">
        <f>D81*(inputs!$E$26*inputs!$E$27)</f>
        <v>1283811.3321667316</v>
      </c>
      <c r="E118" t="str">
        <f t="shared" ca="1" si="1"/>
        <v>=D81*(inputs!$E$26*inputs!$E$27)</v>
      </c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</row>
    <row r="119" spans="1:125" s="12" customFormat="1" x14ac:dyDescent="0.3">
      <c r="A119" t="s">
        <v>16</v>
      </c>
      <c r="B119" t="s">
        <v>84</v>
      </c>
      <c r="C119" t="s">
        <v>97</v>
      </c>
      <c r="D119" s="10">
        <f>D82*(inputs!$E$26*inputs!$E$27)</f>
        <v>1245546.2759555483</v>
      </c>
      <c r="E119" t="str">
        <f t="shared" ca="1" si="1"/>
        <v>=D82*(inputs!$E$26*inputs!$E$27)</v>
      </c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</row>
    <row r="120" spans="1:125" s="12" customFormat="1" x14ac:dyDescent="0.3">
      <c r="A120" t="s">
        <v>16</v>
      </c>
      <c r="B120" t="s">
        <v>84</v>
      </c>
      <c r="C120" t="s">
        <v>98</v>
      </c>
      <c r="D120" s="10">
        <f>D83*(inputs!$E$26*inputs!$E$27)</f>
        <v>1208421.7413226983</v>
      </c>
      <c r="E120" t="str">
        <f t="shared" ca="1" si="1"/>
        <v>=D83*(inputs!$E$26*inputs!$E$27)</v>
      </c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</row>
    <row r="121" spans="1:125" s="12" customFormat="1" x14ac:dyDescent="0.3">
      <c r="A121" t="s">
        <v>16</v>
      </c>
      <c r="B121" t="s">
        <v>84</v>
      </c>
      <c r="C121" t="s">
        <v>99</v>
      </c>
      <c r="D121" s="10">
        <f>D84*(inputs!$E$26*inputs!$E$27)</f>
        <v>1172403.7340813328</v>
      </c>
      <c r="E121" t="str">
        <f t="shared" ca="1" si="1"/>
        <v>=D84*(inputs!$E$26*inputs!$E$27)</v>
      </c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</row>
    <row r="122" spans="1:125" s="12" customFormat="1" x14ac:dyDescent="0.3">
      <c r="A122" t="s">
        <v>16</v>
      </c>
      <c r="B122" t="s">
        <v>84</v>
      </c>
      <c r="C122" t="s">
        <v>100</v>
      </c>
      <c r="D122" s="10">
        <f>D85*(inputs!$E$26*inputs!$E$27)</f>
        <v>1137459.2732693939</v>
      </c>
      <c r="E122" t="str">
        <f t="shared" ca="1" si="1"/>
        <v>=D85*(inputs!$E$26*inputs!$E$27)</v>
      </c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</row>
    <row r="123" spans="1:125" s="12" customFormat="1" x14ac:dyDescent="0.3">
      <c r="A123" t="s">
        <v>16</v>
      </c>
      <c r="B123" t="s">
        <v>84</v>
      </c>
      <c r="C123" t="s">
        <v>101</v>
      </c>
      <c r="D123" s="10">
        <f>D86*(inputs!$E$26*inputs!$E$27)</f>
        <v>1103556.3609496166</v>
      </c>
      <c r="E123" t="str">
        <f t="shared" ca="1" si="1"/>
        <v>=D86*(inputs!$E$26*inputs!$E$27)</v>
      </c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</row>
    <row r="124" spans="1:125" s="12" customFormat="1" x14ac:dyDescent="0.3">
      <c r="A124" t="s">
        <v>16</v>
      </c>
      <c r="B124" t="s">
        <v>84</v>
      </c>
      <c r="C124" t="s">
        <v>755</v>
      </c>
      <c r="D124" s="10">
        <f>D87*(inputs!E26*inputs!E27)</f>
        <v>15299669.567434922</v>
      </c>
      <c r="E124" t="str">
        <f t="shared" ca="1" si="1"/>
        <v>=D87*(inputs!E26*inputs!E27)</v>
      </c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</row>
    <row r="125" spans="1:125" x14ac:dyDescent="0.3">
      <c r="A125" t="s">
        <v>16</v>
      </c>
      <c r="B125" t="s">
        <v>191</v>
      </c>
      <c r="C125" t="s">
        <v>824</v>
      </c>
      <c r="D125">
        <f>(D14+D26)*inputs!E28</f>
        <v>287234261.82110232</v>
      </c>
      <c r="E125" t="str">
        <f t="shared" ca="1" si="1"/>
        <v>=(D14+D26)*inputs!E28</v>
      </c>
    </row>
    <row r="126" spans="1:125" x14ac:dyDescent="0.3">
      <c r="A126" t="s">
        <v>16</v>
      </c>
      <c r="B126" t="s">
        <v>191</v>
      </c>
      <c r="C126" t="s">
        <v>825</v>
      </c>
      <c r="D126" s="10">
        <f>((D15+D27)*inputs!E28)/(inputs!E31^1)</f>
        <v>277697295.13159227</v>
      </c>
      <c r="E126" t="str">
        <f t="shared" ca="1" si="1"/>
        <v>=((D15+D27)*inputs!E28)/(inputs!E31^1)</v>
      </c>
    </row>
    <row r="127" spans="1:125" s="12" customFormat="1" x14ac:dyDescent="0.3">
      <c r="A127" t="s">
        <v>16</v>
      </c>
      <c r="B127" t="s">
        <v>191</v>
      </c>
      <c r="C127" t="s">
        <v>826</v>
      </c>
      <c r="D127" s="20">
        <f>(($D$16+$D$28)*inputs!$E$28)/(inputs!$E$31^2)</f>
        <v>13471014.904126221</v>
      </c>
      <c r="E127" s="19" t="str">
        <f t="shared" ca="1" si="1"/>
        <v>=(($D$16+$D$28)*inputs!$E$28)/(inputs!$E$31^2)</v>
      </c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</row>
    <row r="128" spans="1:125" s="12" customFormat="1" x14ac:dyDescent="0.3">
      <c r="A128" t="s">
        <v>16</v>
      </c>
      <c r="B128" t="s">
        <v>191</v>
      </c>
      <c r="C128" t="s">
        <v>827</v>
      </c>
      <c r="D128" s="20">
        <f>(($D$17+$D$29)*inputs!$E$28)/(inputs!$E$31^3)</f>
        <v>13069500.188051781</v>
      </c>
      <c r="E128" s="19" t="str">
        <f ca="1">_xlfn.FORMULATEXT(D128)</f>
        <v>=(($D$17+$D$29)*inputs!$E$28)/(inputs!$E$31^3)</v>
      </c>
      <c r="F128"/>
      <c r="G128"/>
      <c r="H128"/>
      <c r="I128"/>
      <c r="J128"/>
      <c r="K128"/>
      <c r="L128"/>
      <c r="M128"/>
      <c r="N128"/>
      <c r="O128"/>
      <c r="P128"/>
      <c r="Q128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  <c r="AJ128"/>
      <c r="AK128"/>
      <c r="AL128"/>
      <c r="AM128"/>
      <c r="AN128"/>
      <c r="AO128"/>
      <c r="AP128"/>
      <c r="AQ128"/>
      <c r="AR128"/>
      <c r="AS128"/>
      <c r="AT128"/>
      <c r="AU128"/>
      <c r="AV128"/>
      <c r="AW128"/>
      <c r="AX128"/>
      <c r="AY128"/>
      <c r="AZ128"/>
      <c r="BA128"/>
      <c r="BB128"/>
      <c r="BC128"/>
      <c r="BD128"/>
      <c r="BE128"/>
      <c r="BF128"/>
      <c r="BG128"/>
      <c r="BH128"/>
      <c r="BI128"/>
      <c r="BJ128"/>
      <c r="BK128"/>
      <c r="BL128"/>
      <c r="BM128"/>
      <c r="BN128"/>
      <c r="BO128"/>
      <c r="BP128"/>
      <c r="BQ128"/>
      <c r="BR128"/>
      <c r="BS128"/>
      <c r="BT128"/>
      <c r="BU128"/>
      <c r="BV128"/>
      <c r="BW128"/>
      <c r="BX128"/>
      <c r="BY128"/>
      <c r="BZ128"/>
      <c r="CA128"/>
      <c r="CB128"/>
      <c r="CC128"/>
      <c r="CD128"/>
      <c r="CE128"/>
      <c r="CF128"/>
      <c r="CG128"/>
    </row>
    <row r="129" spans="1:85" s="12" customFormat="1" x14ac:dyDescent="0.3">
      <c r="A129" t="s">
        <v>16</v>
      </c>
      <c r="B129" t="s">
        <v>191</v>
      </c>
      <c r="C129" t="s">
        <v>828</v>
      </c>
      <c r="D129" s="20">
        <f>(($D$18+$D$30)*inputs!$E$28)/(inputs!$E$31^4)</f>
        <v>12679952.949437035</v>
      </c>
      <c r="E129" s="19" t="str">
        <f t="shared" ca="1" si="1"/>
        <v>=(($D$18+$D$30)*inputs!$E$28)/(inputs!$E$31^4)</v>
      </c>
      <c r="F129"/>
      <c r="G129"/>
      <c r="H129"/>
      <c r="I129"/>
      <c r="J129"/>
      <c r="K129"/>
      <c r="L129"/>
      <c r="M129"/>
      <c r="N129"/>
      <c r="O129"/>
      <c r="P129"/>
      <c r="Q129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  <c r="AJ129"/>
      <c r="AK129"/>
      <c r="AL129"/>
      <c r="AM129"/>
      <c r="AN129"/>
      <c r="AO129"/>
      <c r="AP129"/>
      <c r="AQ129"/>
      <c r="AR129"/>
      <c r="AS129"/>
      <c r="AT129"/>
      <c r="AU129"/>
      <c r="AV129"/>
      <c r="AW129"/>
      <c r="AX129"/>
      <c r="AY129"/>
      <c r="AZ129"/>
      <c r="BA129"/>
      <c r="BB129"/>
      <c r="BC129"/>
      <c r="BD129"/>
      <c r="BE129"/>
      <c r="BF129"/>
      <c r="BG129"/>
      <c r="BH129"/>
      <c r="BI129"/>
      <c r="BJ129"/>
      <c r="BK129"/>
      <c r="BL129"/>
      <c r="BM129"/>
      <c r="BN129"/>
      <c r="BO129"/>
      <c r="BP129"/>
      <c r="BQ129"/>
      <c r="BR129"/>
      <c r="BS129"/>
      <c r="BT129"/>
      <c r="BU129"/>
      <c r="BV129"/>
      <c r="BW129"/>
      <c r="BX129"/>
      <c r="BY129"/>
      <c r="BZ129"/>
      <c r="CA129"/>
      <c r="CB129"/>
      <c r="CC129"/>
      <c r="CD129"/>
      <c r="CE129"/>
      <c r="CF129"/>
      <c r="CG129"/>
    </row>
    <row r="130" spans="1:85" s="12" customFormat="1" x14ac:dyDescent="0.3">
      <c r="A130" t="s">
        <v>16</v>
      </c>
      <c r="B130" t="s">
        <v>191</v>
      </c>
      <c r="C130" t="s">
        <v>829</v>
      </c>
      <c r="D130" s="20">
        <f>(($D$19+$D$31)*inputs!$E$28)/(inputs!$E$31^5)</f>
        <v>12302016.487740226</v>
      </c>
      <c r="E130" s="19" t="str">
        <f t="shared" ca="1" si="1"/>
        <v>=(($D$19+$D$31)*inputs!$E$28)/(inputs!$E$31^5)</v>
      </c>
      <c r="F130"/>
      <c r="G130"/>
      <c r="H130"/>
      <c r="I130"/>
      <c r="J130"/>
      <c r="K130"/>
      <c r="L130"/>
      <c r="M130"/>
      <c r="N130"/>
      <c r="O130"/>
      <c r="P130"/>
      <c r="Q130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  <c r="AJ130"/>
      <c r="AK130"/>
      <c r="AL130"/>
      <c r="AM130"/>
      <c r="AN130"/>
      <c r="AO130"/>
      <c r="AP130"/>
      <c r="AQ130"/>
      <c r="AR130"/>
      <c r="AS130"/>
      <c r="AT130"/>
      <c r="AU130"/>
      <c r="AV130"/>
      <c r="AW130"/>
      <c r="AX130"/>
      <c r="AY130"/>
      <c r="AZ130"/>
      <c r="BA130"/>
      <c r="BB130"/>
      <c r="BC130"/>
      <c r="BD130"/>
      <c r="BE130"/>
      <c r="BF130"/>
      <c r="BG130"/>
      <c r="BH130"/>
      <c r="BI130"/>
      <c r="BJ130"/>
      <c r="BK130"/>
      <c r="BL130"/>
      <c r="BM130"/>
      <c r="BN130"/>
      <c r="BO130"/>
      <c r="BP130"/>
      <c r="BQ130"/>
      <c r="BR130"/>
      <c r="BS130"/>
      <c r="BT130"/>
      <c r="BU130"/>
      <c r="BV130"/>
      <c r="BW130"/>
      <c r="BX130"/>
      <c r="BY130"/>
      <c r="BZ130"/>
      <c r="CA130"/>
      <c r="CB130"/>
      <c r="CC130"/>
      <c r="CD130"/>
      <c r="CE130"/>
      <c r="CF130"/>
      <c r="CG130"/>
    </row>
    <row r="131" spans="1:85" s="12" customFormat="1" x14ac:dyDescent="0.3">
      <c r="A131" t="s">
        <v>16</v>
      </c>
      <c r="B131" t="s">
        <v>191</v>
      </c>
      <c r="C131" t="s">
        <v>830</v>
      </c>
      <c r="D131" s="20">
        <f>(($D$20+$D$32)*inputs!$E$28)/(inputs!$E$31^6)</f>
        <v>11935344.734173598</v>
      </c>
      <c r="E131" s="19" t="str">
        <f t="shared" ca="1" si="1"/>
        <v>=(($D$20+$D$32)*inputs!$E$28)/(inputs!$E$31^6)</v>
      </c>
      <c r="F131"/>
      <c r="G131"/>
      <c r="H131"/>
      <c r="I131"/>
      <c r="J131"/>
      <c r="K131"/>
      <c r="L131"/>
      <c r="M131"/>
      <c r="N131"/>
      <c r="O131"/>
      <c r="P131"/>
      <c r="Q131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  <c r="AJ131"/>
      <c r="AK131"/>
      <c r="AL131"/>
      <c r="AM131"/>
      <c r="AN131"/>
      <c r="AO131"/>
      <c r="AP131"/>
      <c r="AQ131"/>
      <c r="AR131"/>
      <c r="AS131"/>
      <c r="AT131"/>
      <c r="AU131"/>
      <c r="AV131"/>
      <c r="AW131"/>
      <c r="AX131"/>
      <c r="AY131"/>
      <c r="AZ131"/>
      <c r="BA131"/>
      <c r="BB131"/>
      <c r="BC131"/>
      <c r="BD131"/>
      <c r="BE131"/>
      <c r="BF131"/>
      <c r="BG131"/>
      <c r="BH131"/>
      <c r="BI131"/>
      <c r="BJ131"/>
      <c r="BK131"/>
      <c r="BL131"/>
      <c r="BM131"/>
      <c r="BN131"/>
      <c r="BO131"/>
      <c r="BP131"/>
      <c r="BQ131"/>
      <c r="BR131"/>
      <c r="BS131"/>
      <c r="BT131"/>
      <c r="BU131"/>
      <c r="BV131"/>
      <c r="BW131"/>
      <c r="BX131"/>
      <c r="BY131"/>
      <c r="BZ131"/>
      <c r="CA131"/>
      <c r="CB131"/>
      <c r="CC131"/>
      <c r="CD131"/>
      <c r="CE131"/>
      <c r="CF131"/>
      <c r="CG131"/>
    </row>
    <row r="132" spans="1:85" s="12" customFormat="1" x14ac:dyDescent="0.3">
      <c r="A132" t="s">
        <v>16</v>
      </c>
      <c r="B132" t="s">
        <v>191</v>
      </c>
      <c r="C132" t="s">
        <v>831</v>
      </c>
      <c r="D132" s="20">
        <f>(($D$21+$D$33)*inputs!$E$28)/(inputs!$E$31^7)</f>
        <v>11579601.934815221</v>
      </c>
      <c r="E132" s="19" t="str">
        <f t="shared" ref="E132:E148" ca="1" si="2">_xlfn.FORMULATEXT(D132)</f>
        <v>=(($D$21+$D$33)*inputs!$E$28)/(inputs!$E$31^7)</v>
      </c>
      <c r="F132"/>
      <c r="G132"/>
      <c r="H132"/>
      <c r="I132"/>
      <c r="J132"/>
      <c r="K132"/>
      <c r="L132"/>
      <c r="M132"/>
      <c r="N132"/>
      <c r="O132"/>
      <c r="P132"/>
      <c r="Q132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  <c r="AJ132"/>
      <c r="AK132"/>
      <c r="AL132"/>
      <c r="AM132"/>
      <c r="AN132"/>
      <c r="AO132"/>
      <c r="AP132"/>
      <c r="AQ132"/>
      <c r="AR132"/>
      <c r="AS132"/>
      <c r="AT132"/>
      <c r="AU132"/>
      <c r="AV132"/>
      <c r="AW132"/>
      <c r="AX132"/>
      <c r="AY132"/>
      <c r="AZ132"/>
      <c r="BA132"/>
      <c r="BB132"/>
      <c r="BC132"/>
      <c r="BD132"/>
      <c r="BE132"/>
      <c r="BF132"/>
      <c r="BG132"/>
      <c r="BH132"/>
      <c r="BI132"/>
      <c r="BJ132"/>
      <c r="BK132"/>
      <c r="BL132"/>
      <c r="BM132"/>
      <c r="BN132"/>
      <c r="BO132"/>
      <c r="BP132"/>
      <c r="BQ132"/>
      <c r="BR132"/>
      <c r="BS132"/>
      <c r="BT132"/>
      <c r="BU132"/>
      <c r="BV132"/>
      <c r="BW132"/>
      <c r="BX132"/>
      <c r="BY132"/>
      <c r="BZ132"/>
      <c r="CA132"/>
      <c r="CB132"/>
      <c r="CC132"/>
      <c r="CD132"/>
      <c r="CE132"/>
      <c r="CF132"/>
      <c r="CG132"/>
    </row>
    <row r="133" spans="1:85" s="12" customFormat="1" x14ac:dyDescent="0.3">
      <c r="A133" t="s">
        <v>16</v>
      </c>
      <c r="B133" t="s">
        <v>191</v>
      </c>
      <c r="C133" t="s">
        <v>832</v>
      </c>
      <c r="D133" s="20">
        <f>(($D$22+$D$34)*inputs!$E$28)/(inputs!$E$31^8)</f>
        <v>11234462.343165873</v>
      </c>
      <c r="E133" s="19" t="str">
        <f t="shared" ca="1" si="2"/>
        <v>=(($D$22+$D$34)*inputs!$E$28)/(inputs!$E$31^8)</v>
      </c>
      <c r="F133"/>
      <c r="G133"/>
      <c r="H133"/>
      <c r="I133"/>
      <c r="J133"/>
      <c r="K133"/>
      <c r="L133"/>
      <c r="M133"/>
      <c r="N133"/>
      <c r="O133"/>
      <c r="P133"/>
      <c r="Q133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  <c r="AJ133"/>
      <c r="AK133"/>
      <c r="AL133"/>
      <c r="AM133"/>
      <c r="AN133"/>
      <c r="AO133"/>
      <c r="AP133"/>
      <c r="AQ133"/>
      <c r="AR133"/>
      <c r="AS133"/>
      <c r="AT133"/>
      <c r="AU133"/>
      <c r="AV133"/>
      <c r="AW133"/>
      <c r="AX133"/>
      <c r="AY133"/>
      <c r="AZ133"/>
      <c r="BA133"/>
      <c r="BB133"/>
      <c r="BC133"/>
      <c r="BD133"/>
      <c r="BE133"/>
      <c r="BF133"/>
      <c r="BG133"/>
      <c r="BH133"/>
      <c r="BI133"/>
      <c r="BJ133"/>
      <c r="BK133"/>
      <c r="BL133"/>
      <c r="BM133"/>
      <c r="BN133"/>
      <c r="BO133"/>
      <c r="BP133"/>
      <c r="BQ133"/>
      <c r="BR133"/>
      <c r="BS133"/>
      <c r="BT133"/>
      <c r="BU133"/>
      <c r="BV133"/>
      <c r="BW133"/>
      <c r="BX133"/>
      <c r="BY133"/>
      <c r="BZ133"/>
      <c r="CA133"/>
      <c r="CB133"/>
      <c r="CC133"/>
      <c r="CD133"/>
      <c r="CE133"/>
      <c r="CF133"/>
      <c r="CG133"/>
    </row>
    <row r="134" spans="1:85" s="12" customFormat="1" x14ac:dyDescent="0.3">
      <c r="A134" t="s">
        <v>16</v>
      </c>
      <c r="B134" t="s">
        <v>191</v>
      </c>
      <c r="C134" t="s">
        <v>833</v>
      </c>
      <c r="D134" s="20">
        <f>(($D$23+$D$35)*inputs!$E$28)/(inputs!$E$31^9)</f>
        <v>10899609.921869569</v>
      </c>
      <c r="E134" s="19" t="str">
        <f t="shared" ca="1" si="2"/>
        <v>=(($D$23+$D$35)*inputs!$E$28)/(inputs!$E$31^9)</v>
      </c>
      <c r="F134"/>
      <c r="G134"/>
      <c r="H134"/>
      <c r="I134"/>
      <c r="J134"/>
      <c r="K134"/>
      <c r="L134"/>
      <c r="M134"/>
      <c r="N134"/>
      <c r="O134"/>
      <c r="P134"/>
      <c r="Q134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  <c r="AJ134"/>
      <c r="AK134"/>
      <c r="AL134"/>
      <c r="AM134"/>
      <c r="AN134"/>
      <c r="AO134"/>
      <c r="AP134"/>
      <c r="AQ134"/>
      <c r="AR134"/>
      <c r="AS134"/>
      <c r="AT134"/>
      <c r="AU134"/>
      <c r="AV134"/>
      <c r="AW134"/>
      <c r="AX134"/>
      <c r="AY134"/>
      <c r="AZ134"/>
      <c r="BA134"/>
      <c r="BB134"/>
      <c r="BC134"/>
      <c r="BD134"/>
      <c r="BE134"/>
      <c r="BF134"/>
      <c r="BG134"/>
      <c r="BH134"/>
      <c r="BI134"/>
      <c r="BJ134"/>
      <c r="BK134"/>
      <c r="BL134"/>
      <c r="BM134"/>
      <c r="BN134"/>
      <c r="BO134"/>
      <c r="BP134"/>
      <c r="BQ134"/>
      <c r="BR134"/>
      <c r="BS134"/>
      <c r="BT134"/>
      <c r="BU134"/>
      <c r="BV134"/>
      <c r="BW134"/>
      <c r="BX134"/>
      <c r="BY134"/>
      <c r="BZ134"/>
      <c r="CA134"/>
      <c r="CB134"/>
      <c r="CC134"/>
      <c r="CD134"/>
      <c r="CE134"/>
      <c r="CF134"/>
      <c r="CG134"/>
    </row>
    <row r="135" spans="1:85" s="12" customFormat="1" x14ac:dyDescent="0.3">
      <c r="A135" t="s">
        <v>16</v>
      </c>
      <c r="B135" t="s">
        <v>191</v>
      </c>
      <c r="C135" t="s">
        <v>834</v>
      </c>
      <c r="D135" s="20">
        <f>(($D$24+$D$36)*inputs!$E$28)/(inputs!$E$31^10)</f>
        <v>10574738.053324526</v>
      </c>
      <c r="E135" s="19" t="str">
        <f t="shared" ca="1" si="2"/>
        <v>=(($D$24+$D$36)*inputs!$E$28)/(inputs!$E$31^10)</v>
      </c>
      <c r="F135"/>
      <c r="G135"/>
      <c r="H135"/>
      <c r="I135"/>
      <c r="J135"/>
      <c r="K135"/>
      <c r="L135"/>
      <c r="M135"/>
      <c r="N135"/>
      <c r="O135"/>
      <c r="P135"/>
      <c r="Q135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  <c r="AJ135"/>
      <c r="AK135"/>
      <c r="AL135"/>
      <c r="AM135"/>
      <c r="AN135"/>
      <c r="AO135"/>
      <c r="AP135"/>
      <c r="AQ135"/>
      <c r="AR135"/>
      <c r="AS135"/>
      <c r="AT135"/>
      <c r="AU135"/>
      <c r="AV135"/>
      <c r="AW135"/>
      <c r="AX135"/>
      <c r="AY135"/>
      <c r="AZ135"/>
      <c r="BA135"/>
      <c r="BB135"/>
      <c r="BC135"/>
      <c r="BD135"/>
      <c r="BE135"/>
      <c r="BF135"/>
      <c r="BG135"/>
      <c r="BH135"/>
      <c r="BI135"/>
      <c r="BJ135"/>
      <c r="BK135"/>
      <c r="BL135"/>
      <c r="BM135"/>
      <c r="BN135"/>
      <c r="BO135"/>
      <c r="BP135"/>
      <c r="BQ135"/>
      <c r="BR135"/>
      <c r="BS135"/>
      <c r="BT135"/>
      <c r="BU135"/>
      <c r="BV135"/>
      <c r="BW135"/>
      <c r="BX135"/>
      <c r="BY135"/>
      <c r="BZ135"/>
      <c r="CA135"/>
      <c r="CB135"/>
      <c r="CC135"/>
      <c r="CD135"/>
      <c r="CE135"/>
      <c r="CF135"/>
      <c r="CG135"/>
    </row>
    <row r="136" spans="1:85" s="12" customFormat="1" x14ac:dyDescent="0.3">
      <c r="A136" t="s">
        <v>16</v>
      </c>
      <c r="B136" t="s">
        <v>191</v>
      </c>
      <c r="C136" t="s">
        <v>835</v>
      </c>
      <c r="D136" s="20">
        <f>(($D$25+$D$37)*inputs!$E$28)/(inputs!$E$31^11)</f>
        <v>10259549.258919608</v>
      </c>
      <c r="E136" s="19" t="str">
        <f t="shared" ca="1" si="2"/>
        <v>=(($D$25+$D$37)*inputs!$E$28)/(inputs!$E$31^11)</v>
      </c>
      <c r="F136"/>
      <c r="G136"/>
      <c r="H136"/>
      <c r="I136"/>
      <c r="J136"/>
      <c r="K136"/>
      <c r="L136"/>
      <c r="M136"/>
      <c r="N136"/>
      <c r="O136"/>
      <c r="P136"/>
      <c r="Q13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  <c r="AJ136"/>
      <c r="AK136"/>
      <c r="AL136"/>
      <c r="AM136"/>
      <c r="AN136"/>
      <c r="AO136"/>
      <c r="AP136"/>
      <c r="AQ136"/>
      <c r="AR136"/>
      <c r="AS136"/>
      <c r="AT136"/>
      <c r="AU136"/>
      <c r="AV136"/>
      <c r="AW136"/>
      <c r="AX136"/>
      <c r="AY136"/>
      <c r="AZ136"/>
      <c r="BA136"/>
      <c r="BB136"/>
      <c r="BC136"/>
      <c r="BD136"/>
      <c r="BE136"/>
      <c r="BF136"/>
      <c r="BG136"/>
      <c r="BH136"/>
      <c r="BI136"/>
      <c r="BJ136"/>
      <c r="BK136"/>
      <c r="BL136"/>
      <c r="BM136"/>
      <c r="BN136"/>
      <c r="BO136"/>
      <c r="BP136"/>
      <c r="BQ136"/>
      <c r="BR136"/>
      <c r="BS136"/>
      <c r="BT136"/>
      <c r="BU136"/>
      <c r="BV136"/>
      <c r="BW136"/>
      <c r="BX136"/>
      <c r="BY136"/>
      <c r="BZ136"/>
      <c r="CA136"/>
      <c r="CB136"/>
      <c r="CC136"/>
      <c r="CD136"/>
      <c r="CE136"/>
      <c r="CF136"/>
      <c r="CG136"/>
    </row>
    <row r="137" spans="1:85" s="12" customFormat="1" x14ac:dyDescent="0.3">
      <c r="A137" t="s">
        <v>16</v>
      </c>
      <c r="B137" t="s">
        <v>192</v>
      </c>
      <c r="C137" t="s">
        <v>131</v>
      </c>
      <c r="D137" s="10">
        <f>D38*inputs!E29</f>
        <v>50265995.818692908</v>
      </c>
      <c r="E137" t="str">
        <f t="shared" ca="1" si="2"/>
        <v>=D38*inputs!E29</v>
      </c>
      <c r="F137"/>
      <c r="G137"/>
      <c r="H137"/>
      <c r="I137"/>
      <c r="J137"/>
      <c r="K137"/>
      <c r="L137"/>
      <c r="M137"/>
      <c r="N137"/>
      <c r="O137"/>
      <c r="P137"/>
      <c r="Q137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  <c r="AJ137"/>
      <c r="AK137"/>
      <c r="AL137"/>
      <c r="AM137"/>
      <c r="AN137"/>
      <c r="AO137"/>
      <c r="AP137"/>
      <c r="AQ137"/>
      <c r="AR137"/>
      <c r="AS137"/>
      <c r="AT137"/>
      <c r="AU137"/>
      <c r="AV137"/>
      <c r="AW137"/>
      <c r="AX137"/>
      <c r="AY137"/>
      <c r="AZ137"/>
      <c r="BA137"/>
      <c r="BB137"/>
      <c r="BC137"/>
      <c r="BD137"/>
      <c r="BE137"/>
      <c r="BF137"/>
      <c r="BG137"/>
      <c r="BH137"/>
      <c r="BI137"/>
    </row>
    <row r="138" spans="1:85" s="12" customFormat="1" x14ac:dyDescent="0.3">
      <c r="A138" t="s">
        <v>16</v>
      </c>
      <c r="B138" t="s">
        <v>192</v>
      </c>
      <c r="C138" t="s">
        <v>132</v>
      </c>
      <c r="D138" s="10">
        <f>(D39*inputs!E29)/(inputs!E31^1)</f>
        <v>138848647.56579614</v>
      </c>
      <c r="E138" t="str">
        <f t="shared" ca="1" si="2"/>
        <v>=(D39*inputs!E29)/(inputs!E31^1)</v>
      </c>
      <c r="F138"/>
      <c r="G138"/>
      <c r="H138"/>
      <c r="I138"/>
      <c r="J138"/>
      <c r="K138"/>
      <c r="L138"/>
      <c r="M138"/>
      <c r="N138"/>
      <c r="O138"/>
      <c r="P138"/>
      <c r="Q138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  <c r="AJ138"/>
      <c r="AK138"/>
      <c r="AL138"/>
      <c r="AM138"/>
      <c r="AN138"/>
      <c r="AO138"/>
      <c r="AP138"/>
      <c r="AQ138"/>
      <c r="AR138"/>
      <c r="AS138"/>
      <c r="AT138"/>
      <c r="AU138"/>
      <c r="AV138"/>
      <c r="AW138"/>
      <c r="AX138"/>
      <c r="AY138"/>
      <c r="AZ138"/>
      <c r="BA138"/>
      <c r="BB138"/>
      <c r="BC138"/>
      <c r="BD138"/>
      <c r="BE138"/>
      <c r="BF138"/>
      <c r="BG138"/>
      <c r="BH138"/>
      <c r="BI138"/>
    </row>
    <row r="139" spans="1:85" s="12" customFormat="1" x14ac:dyDescent="0.3">
      <c r="A139" t="s">
        <v>16</v>
      </c>
      <c r="B139" t="s">
        <v>192</v>
      </c>
      <c r="C139" t="s">
        <v>133</v>
      </c>
      <c r="D139" s="10">
        <f>(D40*inputs!$E$29)/(inputs!$E$31^2)</f>
        <v>6735507.4520631107</v>
      </c>
      <c r="E139" t="str">
        <f t="shared" ca="1" si="2"/>
        <v>=(D40*inputs!$E$29)/(inputs!$E$31^2)</v>
      </c>
      <c r="F139"/>
      <c r="G139"/>
      <c r="H139"/>
      <c r="I139"/>
      <c r="J139"/>
      <c r="K139"/>
      <c r="L139"/>
      <c r="M139"/>
      <c r="N139"/>
      <c r="O139"/>
      <c r="P139"/>
      <c r="Q139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  <c r="AJ139"/>
      <c r="AK139"/>
      <c r="AL139"/>
      <c r="AM139"/>
      <c r="AN139"/>
      <c r="AO139"/>
      <c r="AP139"/>
      <c r="AQ139"/>
      <c r="AR139"/>
      <c r="AS139"/>
      <c r="AT139"/>
      <c r="AU139"/>
      <c r="AV139"/>
      <c r="AW139"/>
      <c r="AX139"/>
      <c r="AY139"/>
      <c r="AZ139"/>
      <c r="BA139"/>
      <c r="BB139"/>
      <c r="BC139"/>
      <c r="BD139"/>
      <c r="BE139"/>
      <c r="BF139"/>
      <c r="BG139"/>
      <c r="BH139"/>
      <c r="BI139"/>
    </row>
    <row r="140" spans="1:85" s="12" customFormat="1" x14ac:dyDescent="0.3">
      <c r="A140" t="s">
        <v>16</v>
      </c>
      <c r="B140" t="s">
        <v>192</v>
      </c>
      <c r="C140" t="s">
        <v>134</v>
      </c>
      <c r="D140" s="10">
        <f>(D41*inputs!$E$29)/(inputs!$E$31^3)</f>
        <v>6534750.0940258894</v>
      </c>
      <c r="E140" t="str">
        <f t="shared" ca="1" si="2"/>
        <v>=(D41*inputs!$E$29)/(inputs!$E$31^3)</v>
      </c>
      <c r="F140"/>
      <c r="G140"/>
      <c r="H140"/>
      <c r="I140"/>
      <c r="J140"/>
      <c r="K140"/>
      <c r="L140"/>
      <c r="M140"/>
      <c r="N140"/>
      <c r="O140"/>
      <c r="P140"/>
      <c r="Q140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  <c r="AJ140"/>
      <c r="AK140"/>
      <c r="AL140"/>
      <c r="AM140"/>
      <c r="AN140"/>
      <c r="AO140"/>
      <c r="AP140"/>
      <c r="AQ140"/>
      <c r="AR140"/>
      <c r="AS140"/>
      <c r="AT140"/>
      <c r="AU140"/>
      <c r="AV140"/>
      <c r="AW140"/>
      <c r="AX140"/>
      <c r="AY140"/>
      <c r="AZ140"/>
      <c r="BA140"/>
      <c r="BB140"/>
      <c r="BC140"/>
      <c r="BD140"/>
      <c r="BE140"/>
      <c r="BF140"/>
      <c r="BG140"/>
      <c r="BH140"/>
      <c r="BI140"/>
    </row>
    <row r="141" spans="1:85" s="12" customFormat="1" x14ac:dyDescent="0.3">
      <c r="A141" t="s">
        <v>16</v>
      </c>
      <c r="B141" t="s">
        <v>192</v>
      </c>
      <c r="C141" t="s">
        <v>135</v>
      </c>
      <c r="D141" s="10">
        <f>(D42*inputs!$E$29)/(inputs!$E$31^4)</f>
        <v>6339976.4747185167</v>
      </c>
      <c r="E141" t="str">
        <f t="shared" ca="1" si="2"/>
        <v>=(D42*inputs!$E$29)/(inputs!$E$31^4)</v>
      </c>
      <c r="F141"/>
      <c r="G141"/>
      <c r="H141"/>
      <c r="I141"/>
      <c r="J141"/>
      <c r="K141"/>
      <c r="L141"/>
      <c r="M141"/>
      <c r="N141"/>
      <c r="O141"/>
      <c r="P141"/>
      <c r="Q141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  <c r="AJ141"/>
      <c r="AK141"/>
      <c r="AL141"/>
      <c r="AM141"/>
      <c r="AN141"/>
      <c r="AO141"/>
      <c r="AP141"/>
      <c r="AQ141"/>
      <c r="AR141"/>
      <c r="AS141"/>
      <c r="AT141"/>
      <c r="AU141"/>
      <c r="AV141"/>
      <c r="AW141"/>
      <c r="AX141"/>
      <c r="AY141"/>
      <c r="AZ141"/>
      <c r="BA141"/>
      <c r="BB141"/>
      <c r="BC141"/>
      <c r="BD141"/>
      <c r="BE141"/>
      <c r="BF141"/>
      <c r="BG141"/>
      <c r="BH141"/>
      <c r="BI141"/>
    </row>
    <row r="142" spans="1:85" s="12" customFormat="1" x14ac:dyDescent="0.3">
      <c r="A142" t="s">
        <v>16</v>
      </c>
      <c r="B142" t="s">
        <v>192</v>
      </c>
      <c r="C142" t="s">
        <v>136</v>
      </c>
      <c r="D142" s="10">
        <f>(D43*inputs!$E$29)/(inputs!$E$31^5)</f>
        <v>6151008.2438701121</v>
      </c>
      <c r="E142" t="str">
        <f t="shared" ca="1" si="2"/>
        <v>=(D43*inputs!$E$29)/(inputs!$E$31^5)</v>
      </c>
      <c r="F142"/>
      <c r="G142"/>
      <c r="H142"/>
      <c r="I142"/>
      <c r="J142"/>
      <c r="K142"/>
      <c r="L142"/>
      <c r="M142"/>
      <c r="N142"/>
      <c r="O142"/>
      <c r="P142"/>
      <c r="Q142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  <c r="AJ142"/>
      <c r="AK142"/>
      <c r="AL142"/>
      <c r="AM142"/>
      <c r="AN142"/>
      <c r="AO142"/>
      <c r="AP142"/>
      <c r="AQ142"/>
      <c r="AR142"/>
      <c r="AS142"/>
      <c r="AT142"/>
      <c r="AU142"/>
      <c r="AV142"/>
      <c r="AW142"/>
      <c r="AX142"/>
      <c r="AY142"/>
      <c r="AZ142"/>
      <c r="BA142"/>
      <c r="BB142"/>
      <c r="BC142"/>
      <c r="BD142"/>
      <c r="BE142"/>
      <c r="BF142"/>
      <c r="BG142"/>
      <c r="BH142"/>
      <c r="BI142"/>
    </row>
    <row r="143" spans="1:85" s="12" customFormat="1" x14ac:dyDescent="0.3">
      <c r="A143" t="s">
        <v>16</v>
      </c>
      <c r="B143" t="s">
        <v>192</v>
      </c>
      <c r="C143" t="s">
        <v>137</v>
      </c>
      <c r="D143" s="10">
        <f>(D44*inputs!$E$29)/(inputs!$E$31^6)</f>
        <v>5967672.3670867989</v>
      </c>
      <c r="E143" t="str">
        <f t="shared" ca="1" si="2"/>
        <v>=(D44*inputs!$E$29)/(inputs!$E$31^6)</v>
      </c>
      <c r="F143"/>
      <c r="G143"/>
      <c r="H143"/>
      <c r="I143"/>
      <c r="J143"/>
      <c r="K143"/>
      <c r="L143"/>
      <c r="M143"/>
      <c r="N143"/>
      <c r="O143"/>
      <c r="P143"/>
      <c r="Q143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  <c r="AJ143"/>
      <c r="AK143"/>
      <c r="AL143"/>
      <c r="AM143"/>
      <c r="AN143"/>
      <c r="AO143"/>
      <c r="AP143"/>
      <c r="AQ143"/>
      <c r="AR143"/>
      <c r="AS143"/>
      <c r="AT143"/>
      <c r="AU143"/>
      <c r="AV143"/>
      <c r="AW143"/>
      <c r="AX143"/>
      <c r="AY143"/>
      <c r="AZ143"/>
      <c r="BA143"/>
      <c r="BB143"/>
      <c r="BC143"/>
      <c r="BD143"/>
      <c r="BE143"/>
      <c r="BF143"/>
      <c r="BG143"/>
      <c r="BH143"/>
      <c r="BI143"/>
    </row>
    <row r="144" spans="1:85" s="12" customFormat="1" x14ac:dyDescent="0.3">
      <c r="A144" t="s">
        <v>16</v>
      </c>
      <c r="B144" t="s">
        <v>192</v>
      </c>
      <c r="C144" t="s">
        <v>138</v>
      </c>
      <c r="D144" s="10">
        <f>(D45*inputs!$E$29)/(inputs!$E$31^7)</f>
        <v>5789800.9674076093</v>
      </c>
      <c r="E144" t="str">
        <f t="shared" ca="1" si="2"/>
        <v>=(D45*inputs!$E$29)/(inputs!$E$31^7)</v>
      </c>
      <c r="F144"/>
      <c r="G144"/>
      <c r="H144"/>
      <c r="I144"/>
      <c r="J144"/>
      <c r="K144"/>
      <c r="L144"/>
      <c r="M144"/>
      <c r="N144"/>
      <c r="O144"/>
      <c r="P144"/>
      <c r="Q144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  <c r="AJ144"/>
      <c r="AK144"/>
      <c r="AL144"/>
      <c r="AM144"/>
      <c r="AN144"/>
      <c r="AO144"/>
      <c r="AP144"/>
      <c r="AQ144"/>
      <c r="AR144"/>
      <c r="AS144"/>
      <c r="AT144"/>
      <c r="AU144"/>
      <c r="AV144"/>
      <c r="AW144"/>
      <c r="AX144"/>
      <c r="AY144"/>
      <c r="AZ144"/>
      <c r="BA144"/>
      <c r="BB144"/>
      <c r="BC144"/>
      <c r="BD144"/>
      <c r="BE144"/>
      <c r="BF144"/>
      <c r="BG144"/>
      <c r="BH144"/>
      <c r="BI144"/>
    </row>
    <row r="145" spans="1:119" s="12" customFormat="1" x14ac:dyDescent="0.3">
      <c r="A145" s="12" t="s">
        <v>16</v>
      </c>
      <c r="B145" s="12" t="s">
        <v>192</v>
      </c>
      <c r="C145" s="12" t="s">
        <v>139</v>
      </c>
      <c r="D145" s="13">
        <f>(D46*inputs!$E$29)/(inputs!$E$31^8)</f>
        <v>5617231.1715829363</v>
      </c>
      <c r="E145" s="12" t="str">
        <f t="shared" ca="1" si="2"/>
        <v>=(D46*inputs!$E$29)/(inputs!$E$31^8)</v>
      </c>
    </row>
    <row r="146" spans="1:119" s="12" customFormat="1" x14ac:dyDescent="0.3">
      <c r="A146" s="12" t="s">
        <v>16</v>
      </c>
      <c r="B146" s="12" t="s">
        <v>192</v>
      </c>
      <c r="C146" s="12" t="s">
        <v>140</v>
      </c>
      <c r="D146" s="13">
        <f>(D47*inputs!$E$29)/(inputs!$E$31^9)</f>
        <v>5449804.9609347843</v>
      </c>
      <c r="E146" s="12" t="str">
        <f t="shared" ca="1" si="2"/>
        <v>=(D47*inputs!$E$29)/(inputs!$E$31^9)</v>
      </c>
    </row>
    <row r="147" spans="1:119" s="12" customFormat="1" x14ac:dyDescent="0.3">
      <c r="A147" s="12" t="s">
        <v>16</v>
      </c>
      <c r="B147" s="12" t="s">
        <v>192</v>
      </c>
      <c r="C147" s="12" t="s">
        <v>141</v>
      </c>
      <c r="D147" s="13">
        <f>(D48*inputs!$E$29)/(inputs!$E$31^10)</f>
        <v>5287369.0266622622</v>
      </c>
      <c r="E147" s="12" t="str">
        <f t="shared" ca="1" si="2"/>
        <v>=(D48*inputs!$E$29)/(inputs!$E$31^10)</v>
      </c>
    </row>
    <row r="148" spans="1:119" s="12" customFormat="1" x14ac:dyDescent="0.3">
      <c r="A148" s="12" t="s">
        <v>16</v>
      </c>
      <c r="B148" s="12" t="s">
        <v>192</v>
      </c>
      <c r="C148" s="12" t="s">
        <v>142</v>
      </c>
      <c r="D148" s="13">
        <f>(D49*inputs!$E$29)/(inputs!$E$31^11)</f>
        <v>5129774.6294598039</v>
      </c>
      <c r="E148" s="12" t="str">
        <f t="shared" ca="1" si="2"/>
        <v>=(D49*inputs!$E$29)/(inputs!$E$31^11)</v>
      </c>
    </row>
    <row r="149" spans="1:119" x14ac:dyDescent="0.3">
      <c r="A149" t="s">
        <v>32</v>
      </c>
      <c r="B149" t="s">
        <v>289</v>
      </c>
      <c r="C149" t="s">
        <v>252</v>
      </c>
      <c r="D149" s="10">
        <f>(D2*inputs!E39*inputs!E50*inputs!E61)-inputs!E32*(D2*inputs!E39*inputs!E50*inputs!E61)</f>
        <v>31005.364411002916</v>
      </c>
      <c r="E149" t="str">
        <f ca="1">_xlfn.FORMULATEXT(D149)</f>
        <v>=(D2*inputs!E39*inputs!E50*inputs!E61)-inputs!E32*(D2*inputs!E39*inputs!E50*inputs!E61)</v>
      </c>
    </row>
    <row r="150" spans="1:119" x14ac:dyDescent="0.3">
      <c r="A150" t="s">
        <v>32</v>
      </c>
      <c r="B150" t="s">
        <v>289</v>
      </c>
      <c r="C150" t="s">
        <v>279</v>
      </c>
      <c r="D150" s="38">
        <f>(D2*inputs!E40*inputs!E51*inputs!E62)-inputs!E32*(D2*inputs!E40*inputs!E51*inputs!E62)</f>
        <v>21356.39208392732</v>
      </c>
      <c r="E150" t="str">
        <f ca="1">_xlfn.FORMULATEXT(D150)</f>
        <v>=(D2*inputs!E40*inputs!E51*inputs!E62)-inputs!E32*(D2*inputs!E40*inputs!E51*inputs!E62)</v>
      </c>
    </row>
    <row r="151" spans="1:119" s="14" customFormat="1" x14ac:dyDescent="0.3">
      <c r="A151" t="s">
        <v>32</v>
      </c>
      <c r="B151" t="s">
        <v>289</v>
      </c>
      <c r="C151" t="s">
        <v>280</v>
      </c>
      <c r="D151" s="10">
        <f>(D3*inputs!E41*inputs!E52*inputs!E63)-inputs!E33*(D3*inputs!E41*inputs!E52*inputs!E63)</f>
        <v>0</v>
      </c>
      <c r="E151" t="str">
        <f ca="1">_xlfn.FORMULATEXT(D151)</f>
        <v>=(D3*inputs!E41*inputs!E52*inputs!E63)-inputs!E33*(D3*inputs!E41*inputs!E52*inputs!E63)</v>
      </c>
      <c r="F151" t="s">
        <v>814</v>
      </c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  <c r="AM151"/>
      <c r="AN151"/>
      <c r="AO151"/>
      <c r="AP151"/>
      <c r="AQ151"/>
      <c r="AR151"/>
      <c r="AS151"/>
      <c r="AT151"/>
      <c r="AU151"/>
      <c r="AV151"/>
      <c r="AW151"/>
      <c r="AX151"/>
      <c r="AY151"/>
      <c r="AZ151"/>
      <c r="BA151"/>
      <c r="BB151"/>
      <c r="BC151"/>
      <c r="BD151"/>
      <c r="BE151"/>
      <c r="BF151"/>
      <c r="BG151"/>
      <c r="BH151"/>
      <c r="BI151"/>
      <c r="BJ151"/>
      <c r="BK151"/>
      <c r="BL151"/>
      <c r="BM151"/>
      <c r="BN151"/>
      <c r="BO151"/>
      <c r="BP151"/>
      <c r="BQ151"/>
      <c r="BR151"/>
      <c r="BS151"/>
      <c r="BT151"/>
      <c r="BU151"/>
      <c r="BV151"/>
      <c r="BW151"/>
      <c r="BX151"/>
      <c r="BY151"/>
      <c r="BZ151"/>
      <c r="CA151"/>
      <c r="CB151"/>
      <c r="CC151"/>
      <c r="CD151"/>
      <c r="CE151"/>
      <c r="CF151"/>
      <c r="CG151"/>
      <c r="CH151"/>
      <c r="CI151"/>
      <c r="CJ151"/>
      <c r="CK151"/>
      <c r="CL151"/>
      <c r="CM151"/>
      <c r="CN151"/>
      <c r="CO151"/>
      <c r="CP151"/>
      <c r="CQ151"/>
      <c r="CR151"/>
      <c r="CS151"/>
      <c r="CT151"/>
      <c r="CU151"/>
      <c r="CV151"/>
      <c r="CW151"/>
      <c r="CX151"/>
      <c r="CY151"/>
      <c r="CZ151"/>
      <c r="DA151"/>
      <c r="DB151"/>
      <c r="DC151"/>
      <c r="DD151"/>
      <c r="DE151"/>
      <c r="DF151"/>
      <c r="DG151"/>
      <c r="DH151"/>
      <c r="DI151"/>
      <c r="DJ151"/>
      <c r="DK151"/>
      <c r="DL151"/>
      <c r="DM151"/>
      <c r="DN151"/>
      <c r="DO151"/>
    </row>
    <row r="152" spans="1:119" s="14" customFormat="1" x14ac:dyDescent="0.3">
      <c r="A152" t="s">
        <v>32</v>
      </c>
      <c r="B152" t="s">
        <v>289</v>
      </c>
      <c r="C152" t="s">
        <v>281</v>
      </c>
      <c r="D152" s="10">
        <f>(D3*inputs!E42*inputs!E53*inputs!E64)-inputs!E33*(D3*inputs!E42*inputs!E53*inputs!E64)</f>
        <v>0</v>
      </c>
      <c r="E152" t="str">
        <f t="shared" ref="E152:E214" ca="1" si="3">_xlfn.FORMULATEXT(D152)</f>
        <v>=(D3*inputs!E42*inputs!E53*inputs!E64)-inputs!E33*(D3*inputs!E42*inputs!E53*inputs!E64)</v>
      </c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  <c r="AJ152"/>
      <c r="AK152"/>
      <c r="AL152"/>
      <c r="AM152"/>
      <c r="AN152"/>
      <c r="AO152"/>
      <c r="AP152"/>
      <c r="AQ152"/>
      <c r="AR152"/>
      <c r="AS152"/>
      <c r="AT152"/>
      <c r="AU152"/>
      <c r="AV152"/>
      <c r="AW152"/>
      <c r="AX152"/>
      <c r="AY152"/>
      <c r="AZ152"/>
      <c r="BA152"/>
      <c r="BB152"/>
      <c r="BC152"/>
      <c r="BD152"/>
      <c r="BE152"/>
      <c r="BF152"/>
      <c r="BG152"/>
      <c r="BH152"/>
      <c r="BI152"/>
      <c r="BJ152"/>
      <c r="BK152"/>
      <c r="BL152"/>
      <c r="BM152"/>
      <c r="BN152"/>
      <c r="BO152"/>
      <c r="BP152"/>
      <c r="BQ152"/>
      <c r="BR152"/>
      <c r="BS152"/>
      <c r="BT152"/>
      <c r="BU152"/>
      <c r="BV152"/>
      <c r="BW152"/>
      <c r="BX152"/>
      <c r="BY152"/>
      <c r="BZ152"/>
      <c r="CA152"/>
      <c r="CB152"/>
      <c r="CC152"/>
      <c r="CD152"/>
      <c r="CE152"/>
      <c r="CF152"/>
      <c r="CG152"/>
      <c r="CH152"/>
      <c r="CI152"/>
      <c r="CJ152"/>
      <c r="CK152"/>
      <c r="CL152"/>
      <c r="CM152"/>
      <c r="CN152"/>
      <c r="CO152"/>
      <c r="CP152"/>
      <c r="CQ152"/>
      <c r="CR152"/>
      <c r="CS152"/>
      <c r="CT152"/>
      <c r="CU152"/>
      <c r="CV152"/>
      <c r="CW152"/>
      <c r="CX152"/>
      <c r="CY152"/>
      <c r="CZ152"/>
      <c r="DA152"/>
      <c r="DB152"/>
      <c r="DC152"/>
      <c r="DD152"/>
      <c r="DE152"/>
      <c r="DF152"/>
      <c r="DG152"/>
      <c r="DH152"/>
      <c r="DI152"/>
      <c r="DJ152"/>
      <c r="DK152"/>
      <c r="DL152"/>
      <c r="DM152"/>
      <c r="DN152"/>
      <c r="DO152"/>
    </row>
    <row r="153" spans="1:119" s="14" customFormat="1" x14ac:dyDescent="0.3">
      <c r="A153" t="s">
        <v>32</v>
      </c>
      <c r="B153" t="s">
        <v>289</v>
      </c>
      <c r="C153" t="s">
        <v>282</v>
      </c>
      <c r="D153" s="10">
        <f>(D3*inputs!E43*inputs!E54*inputs!E65)-inputs!E33*(D3*inputs!E43*inputs!E54*inputs!E65)</f>
        <v>0</v>
      </c>
      <c r="E153" t="str">
        <f t="shared" ca="1" si="3"/>
        <v>=(D3*inputs!E43*inputs!E54*inputs!E65)-inputs!E33*(D3*inputs!E43*inputs!E54*inputs!E65)</v>
      </c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  <c r="AJ153"/>
      <c r="AK153"/>
      <c r="AL153"/>
      <c r="AM153"/>
      <c r="AN153"/>
      <c r="AO153"/>
      <c r="AP153"/>
      <c r="AQ153"/>
      <c r="AR153"/>
      <c r="AS153"/>
      <c r="AT153"/>
      <c r="AU153"/>
      <c r="AV153"/>
      <c r="AW153"/>
      <c r="AX153"/>
      <c r="AY153"/>
      <c r="AZ153"/>
      <c r="BA153"/>
      <c r="BB153"/>
      <c r="BC153"/>
      <c r="BD153"/>
      <c r="BE153"/>
      <c r="BF153"/>
      <c r="BG153"/>
      <c r="BH153"/>
      <c r="BI153"/>
      <c r="BJ153"/>
      <c r="BK153"/>
      <c r="BL153"/>
      <c r="BM153"/>
      <c r="BN153"/>
      <c r="BO153"/>
      <c r="BP153"/>
      <c r="BQ153"/>
      <c r="BR153"/>
      <c r="BS153"/>
      <c r="BT153"/>
      <c r="BU153"/>
      <c r="BV153"/>
      <c r="BW153"/>
      <c r="BX153"/>
      <c r="BY153"/>
      <c r="BZ153"/>
      <c r="CA153"/>
      <c r="CB153"/>
      <c r="CC153"/>
      <c r="CD153"/>
      <c r="CE153"/>
      <c r="CF153"/>
      <c r="CG153"/>
      <c r="CH153"/>
      <c r="CI153"/>
      <c r="CJ153"/>
      <c r="CK153"/>
      <c r="CL153"/>
      <c r="CM153"/>
      <c r="CN153"/>
      <c r="CO153"/>
      <c r="CP153"/>
      <c r="CQ153"/>
      <c r="CR153"/>
      <c r="CS153"/>
      <c r="CT153"/>
      <c r="CU153"/>
      <c r="CV153"/>
      <c r="CW153"/>
      <c r="CX153"/>
      <c r="CY153"/>
      <c r="CZ153"/>
      <c r="DA153"/>
      <c r="DB153"/>
      <c r="DC153"/>
      <c r="DD153"/>
      <c r="DE153"/>
      <c r="DF153"/>
      <c r="DG153"/>
      <c r="DH153"/>
      <c r="DI153"/>
      <c r="DJ153"/>
      <c r="DK153"/>
      <c r="DL153"/>
      <c r="DM153"/>
      <c r="DN153"/>
      <c r="DO153"/>
    </row>
    <row r="154" spans="1:119" s="14" customFormat="1" x14ac:dyDescent="0.3">
      <c r="A154" t="s">
        <v>32</v>
      </c>
      <c r="B154" t="s">
        <v>289</v>
      </c>
      <c r="C154" t="s">
        <v>283</v>
      </c>
      <c r="D154" s="10">
        <f>(D3*inputs!E44*inputs!E55*inputs!E66)-inputs!E33*(D3*inputs!E44*inputs!E55*inputs!E66)</f>
        <v>0</v>
      </c>
      <c r="E154" t="str">
        <f t="shared" ca="1" si="3"/>
        <v>=(D3*inputs!E44*inputs!E55*inputs!E66)-inputs!E33*(D3*inputs!E44*inputs!E55*inputs!E66)</v>
      </c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  <c r="AJ154"/>
      <c r="AK154"/>
      <c r="AL154"/>
      <c r="AM154"/>
      <c r="AN154"/>
      <c r="AO154"/>
      <c r="AP154"/>
      <c r="AQ154"/>
      <c r="AR154"/>
      <c r="AS154"/>
      <c r="AT154"/>
      <c r="AU154"/>
      <c r="AV154"/>
      <c r="AW154"/>
      <c r="AX154"/>
      <c r="AY154"/>
      <c r="AZ154"/>
      <c r="BA154"/>
      <c r="BB154"/>
      <c r="BC154"/>
      <c r="BD154"/>
      <c r="BE154"/>
      <c r="BF154"/>
      <c r="BG154"/>
      <c r="BH154"/>
      <c r="BI154"/>
      <c r="BJ154"/>
      <c r="BK154"/>
      <c r="BL154"/>
      <c r="BM154"/>
      <c r="BN154"/>
      <c r="BO154"/>
      <c r="BP154"/>
      <c r="BQ154"/>
      <c r="BR154"/>
      <c r="BS154"/>
      <c r="BT154"/>
      <c r="BU154"/>
      <c r="BV154"/>
      <c r="BW154"/>
      <c r="BX154"/>
      <c r="BY154"/>
      <c r="BZ154"/>
      <c r="CA154"/>
      <c r="CB154"/>
      <c r="CC154"/>
      <c r="CD154"/>
      <c r="CE154"/>
      <c r="CF154"/>
      <c r="CG154"/>
      <c r="CH154"/>
      <c r="CI154"/>
      <c r="CJ154"/>
      <c r="CK154"/>
      <c r="CL154"/>
      <c r="CM154"/>
      <c r="CN154"/>
      <c r="CO154"/>
      <c r="CP154"/>
      <c r="CQ154"/>
      <c r="CR154"/>
      <c r="CS154"/>
      <c r="CT154"/>
      <c r="CU154"/>
      <c r="CV154"/>
      <c r="CW154"/>
      <c r="CX154"/>
      <c r="CY154"/>
      <c r="CZ154"/>
      <c r="DA154"/>
      <c r="DB154"/>
      <c r="DC154"/>
      <c r="DD154"/>
      <c r="DE154"/>
      <c r="DF154"/>
      <c r="DG154"/>
      <c r="DH154"/>
      <c r="DI154"/>
      <c r="DJ154"/>
      <c r="DK154"/>
      <c r="DL154"/>
      <c r="DM154"/>
      <c r="DN154"/>
      <c r="DO154"/>
    </row>
    <row r="155" spans="1:119" s="14" customFormat="1" x14ac:dyDescent="0.3">
      <c r="A155" t="s">
        <v>32</v>
      </c>
      <c r="B155" t="s">
        <v>289</v>
      </c>
      <c r="C155" t="s">
        <v>284</v>
      </c>
      <c r="D155" s="10">
        <f>(D3*inputs!E45*inputs!E56*inputs!E67)-inputs!E33*(D3*inputs!E45*inputs!E56*inputs!E67)</f>
        <v>27348.321004395963</v>
      </c>
      <c r="E155" t="str">
        <f t="shared" ca="1" si="3"/>
        <v>=(D3*inputs!E45*inputs!E56*inputs!E67)-inputs!E33*(D3*inputs!E45*inputs!E56*inputs!E67)</v>
      </c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  <c r="AJ155"/>
      <c r="AK155"/>
      <c r="AL155"/>
      <c r="AM155"/>
      <c r="AN155"/>
      <c r="AO155"/>
      <c r="AP155"/>
      <c r="AQ155"/>
      <c r="AR155"/>
      <c r="AS155"/>
      <c r="AT155"/>
      <c r="AU155"/>
      <c r="AV155"/>
      <c r="AW155"/>
      <c r="AX155"/>
      <c r="AY155"/>
      <c r="AZ155"/>
      <c r="BA155"/>
      <c r="BB155"/>
      <c r="BC155"/>
      <c r="BD155"/>
      <c r="BE155"/>
      <c r="BF155"/>
      <c r="BG155"/>
      <c r="BH155"/>
      <c r="BI155"/>
      <c r="BJ155"/>
      <c r="BK155"/>
      <c r="BL155"/>
      <c r="BM155"/>
      <c r="BN155"/>
      <c r="BO155"/>
      <c r="BP155"/>
      <c r="BQ155"/>
      <c r="BR155"/>
      <c r="BS155"/>
      <c r="BT155"/>
      <c r="BU155"/>
      <c r="BV155"/>
      <c r="BW155"/>
      <c r="BX155"/>
      <c r="BY155"/>
      <c r="BZ155"/>
      <c r="CA155"/>
      <c r="CB155"/>
      <c r="CC155"/>
      <c r="CD155"/>
      <c r="CE155"/>
      <c r="CF155"/>
      <c r="CG155"/>
      <c r="CH155"/>
      <c r="CI155"/>
      <c r="CJ155"/>
      <c r="CK155"/>
      <c r="CL155"/>
      <c r="CM155"/>
      <c r="CN155"/>
      <c r="CO155"/>
      <c r="CP155"/>
      <c r="CQ155"/>
      <c r="CR155"/>
      <c r="CS155"/>
      <c r="CT155"/>
      <c r="CU155"/>
      <c r="CV155"/>
      <c r="CW155"/>
      <c r="CX155"/>
      <c r="CY155"/>
      <c r="CZ155"/>
      <c r="DA155"/>
      <c r="DB155"/>
      <c r="DC155"/>
      <c r="DD155"/>
      <c r="DE155"/>
      <c r="DF155"/>
      <c r="DG155"/>
      <c r="DH155"/>
      <c r="DI155"/>
      <c r="DJ155"/>
      <c r="DK155"/>
      <c r="DL155"/>
      <c r="DM155"/>
      <c r="DN155"/>
      <c r="DO155"/>
    </row>
    <row r="156" spans="1:119" s="14" customFormat="1" x14ac:dyDescent="0.3">
      <c r="A156" t="s">
        <v>32</v>
      </c>
      <c r="B156" t="s">
        <v>289</v>
      </c>
      <c r="C156" t="s">
        <v>285</v>
      </c>
      <c r="D156" s="10">
        <f>(D3*inputs!E46*inputs!E57*inputs!E68)-inputs!E33*(D3*inputs!E46*inputs!E57*inputs!E68)</f>
        <v>16251.124535719164</v>
      </c>
      <c r="E156" t="str">
        <f t="shared" ca="1" si="3"/>
        <v>=(D3*inputs!E46*inputs!E57*inputs!E68)-inputs!E33*(D3*inputs!E46*inputs!E57*inputs!E68)</v>
      </c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  <c r="AJ156"/>
      <c r="AK156"/>
      <c r="AL156"/>
      <c r="AM156"/>
      <c r="AN156"/>
      <c r="AO156"/>
      <c r="AP156"/>
      <c r="AQ156"/>
      <c r="AR156"/>
      <c r="AS156"/>
      <c r="AT156"/>
      <c r="AU156"/>
      <c r="AV156"/>
      <c r="AW156"/>
      <c r="AX156"/>
      <c r="AY156"/>
      <c r="AZ156"/>
      <c r="BA156"/>
      <c r="BB156"/>
      <c r="BC156"/>
      <c r="BD156"/>
      <c r="BE156"/>
      <c r="BF156"/>
      <c r="BG156"/>
      <c r="BH156"/>
      <c r="BI156"/>
      <c r="BJ156"/>
      <c r="BK156"/>
      <c r="BL156"/>
      <c r="BM156"/>
      <c r="BN156"/>
      <c r="BO156"/>
      <c r="BP156"/>
      <c r="BQ156"/>
      <c r="BR156"/>
      <c r="BS156"/>
      <c r="BT156"/>
      <c r="BU156"/>
      <c r="BV156"/>
      <c r="BW156"/>
      <c r="BX156"/>
      <c r="BY156"/>
      <c r="BZ156"/>
      <c r="CA156"/>
      <c r="CB156"/>
      <c r="CC156"/>
      <c r="CD156"/>
      <c r="CE156"/>
      <c r="CF156"/>
      <c r="CG156"/>
      <c r="CH156"/>
      <c r="CI156"/>
      <c r="CJ156"/>
      <c r="CK156"/>
      <c r="CL156"/>
      <c r="CM156"/>
      <c r="CN156"/>
      <c r="CO156"/>
      <c r="CP156"/>
      <c r="CQ156"/>
      <c r="CR156"/>
      <c r="CS156"/>
      <c r="CT156"/>
      <c r="CU156"/>
      <c r="CV156"/>
      <c r="CW156"/>
      <c r="CX156"/>
      <c r="CY156"/>
      <c r="CZ156"/>
      <c r="DA156"/>
      <c r="DB156"/>
      <c r="DC156"/>
      <c r="DD156"/>
      <c r="DE156"/>
      <c r="DF156"/>
      <c r="DG156"/>
      <c r="DH156"/>
      <c r="DI156"/>
      <c r="DJ156"/>
      <c r="DK156"/>
      <c r="DL156"/>
      <c r="DM156"/>
      <c r="DN156"/>
      <c r="DO156"/>
    </row>
    <row r="157" spans="1:119" s="14" customFormat="1" x14ac:dyDescent="0.3">
      <c r="A157" t="s">
        <v>32</v>
      </c>
      <c r="B157" t="s">
        <v>289</v>
      </c>
      <c r="C157" t="s">
        <v>286</v>
      </c>
      <c r="D157" s="10">
        <f>(D3*inputs!E47*inputs!E58*inputs!E69)-inputs!E33*(D3*inputs!E47*inputs!E58*inputs!E69)</f>
        <v>0</v>
      </c>
      <c r="E157" t="str">
        <f t="shared" ca="1" si="3"/>
        <v>=(D3*inputs!E47*inputs!E58*inputs!E69)-inputs!E33*(D3*inputs!E47*inputs!E58*inputs!E69)</v>
      </c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  <c r="AJ157"/>
      <c r="AK157"/>
      <c r="AL157"/>
      <c r="AM157"/>
      <c r="AN157"/>
      <c r="AO157"/>
      <c r="AP157"/>
      <c r="AQ157"/>
      <c r="AR157"/>
      <c r="AS157"/>
      <c r="AT157"/>
      <c r="AU157"/>
      <c r="AV157"/>
      <c r="AW157"/>
      <c r="AX157"/>
      <c r="AY157"/>
      <c r="AZ157"/>
      <c r="BA157"/>
      <c r="BB157"/>
      <c r="BC157"/>
      <c r="BD157"/>
      <c r="BE157"/>
      <c r="BF157"/>
      <c r="BG157"/>
      <c r="BH157"/>
      <c r="BI157"/>
      <c r="BJ157"/>
      <c r="BK157"/>
      <c r="BL157"/>
      <c r="BM157"/>
      <c r="BN157"/>
      <c r="BO157"/>
      <c r="BP157"/>
      <c r="BQ157"/>
      <c r="BR157"/>
      <c r="BS157"/>
      <c r="BT157"/>
      <c r="BU157"/>
      <c r="BV157"/>
      <c r="BW157"/>
      <c r="BX157"/>
      <c r="BY157"/>
      <c r="BZ157"/>
      <c r="CA157"/>
      <c r="CB157"/>
      <c r="CC157"/>
      <c r="CD157"/>
      <c r="CE157"/>
      <c r="CF157"/>
      <c r="CG157"/>
      <c r="CH157"/>
      <c r="CI157"/>
      <c r="CJ157"/>
      <c r="CK157"/>
      <c r="CL157"/>
      <c r="CM157"/>
      <c r="CN157"/>
      <c r="CO157"/>
      <c r="CP157"/>
      <c r="CQ157"/>
      <c r="CR157"/>
      <c r="CS157"/>
      <c r="CT157"/>
      <c r="CU157"/>
      <c r="CV157"/>
      <c r="CW157"/>
      <c r="CX157"/>
      <c r="CY157"/>
      <c r="CZ157"/>
      <c r="DA157"/>
      <c r="DB157"/>
      <c r="DC157"/>
      <c r="DD157"/>
      <c r="DE157"/>
      <c r="DF157"/>
      <c r="DG157"/>
      <c r="DH157"/>
      <c r="DI157"/>
      <c r="DJ157"/>
      <c r="DK157"/>
      <c r="DL157"/>
      <c r="DM157"/>
      <c r="DN157"/>
      <c r="DO157"/>
    </row>
    <row r="158" spans="1:119" s="14" customFormat="1" x14ac:dyDescent="0.3">
      <c r="A158" t="s">
        <v>32</v>
      </c>
      <c r="B158" t="s">
        <v>289</v>
      </c>
      <c r="C158" t="s">
        <v>287</v>
      </c>
      <c r="D158" s="10">
        <f>(D3*inputs!E48*inputs!E59*inputs!E70)-inputs!E33*(D3*inputs!E48*inputs!E59*inputs!E70)</f>
        <v>0</v>
      </c>
      <c r="E158" t="str">
        <f t="shared" ca="1" si="3"/>
        <v>=(D3*inputs!E48*inputs!E59*inputs!E70)-inputs!E33*(D3*inputs!E48*inputs!E59*inputs!E70)</v>
      </c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  <c r="AJ158"/>
      <c r="AK158"/>
      <c r="AL158"/>
      <c r="AM158"/>
      <c r="AN158"/>
      <c r="AO158"/>
      <c r="AP158"/>
      <c r="AQ158"/>
      <c r="AR158"/>
      <c r="AS158"/>
      <c r="AT158"/>
      <c r="AU158"/>
      <c r="AV158"/>
      <c r="AW158"/>
      <c r="AX158"/>
      <c r="AY158"/>
      <c r="AZ158"/>
      <c r="BA158"/>
      <c r="BB158"/>
      <c r="BC158"/>
      <c r="BD158"/>
      <c r="BE158"/>
      <c r="BF158"/>
      <c r="BG158"/>
      <c r="BH158"/>
      <c r="BI158"/>
      <c r="BJ158"/>
      <c r="BK158"/>
      <c r="BL158"/>
      <c r="BM158"/>
      <c r="BN158"/>
      <c r="BO158"/>
      <c r="BP158"/>
      <c r="BQ158"/>
      <c r="BR158"/>
      <c r="BS158"/>
      <c r="BT158"/>
      <c r="BU158"/>
      <c r="BV158"/>
      <c r="BW158"/>
      <c r="BX158"/>
      <c r="BY158"/>
      <c r="BZ158"/>
      <c r="CA158"/>
      <c r="CB158"/>
      <c r="CC158"/>
      <c r="CD158"/>
      <c r="CE158"/>
      <c r="CF158"/>
      <c r="CG158"/>
      <c r="CH158"/>
      <c r="CI158"/>
      <c r="CJ158"/>
      <c r="CK158"/>
      <c r="CL158"/>
      <c r="CM158"/>
      <c r="CN158"/>
      <c r="CO158"/>
      <c r="CP158"/>
      <c r="CQ158"/>
      <c r="CR158"/>
      <c r="CS158"/>
      <c r="CT158"/>
      <c r="CU158"/>
      <c r="CV158"/>
      <c r="CW158"/>
      <c r="CX158"/>
      <c r="CY158"/>
      <c r="CZ158"/>
      <c r="DA158"/>
      <c r="DB158"/>
      <c r="DC158"/>
      <c r="DD158"/>
      <c r="DE158"/>
      <c r="DF158"/>
      <c r="DG158"/>
      <c r="DH158"/>
      <c r="DI158"/>
      <c r="DJ158"/>
      <c r="DK158"/>
      <c r="DL158"/>
      <c r="DM158"/>
      <c r="DN158"/>
      <c r="DO158"/>
    </row>
    <row r="159" spans="1:119" s="14" customFormat="1" x14ac:dyDescent="0.3">
      <c r="A159" t="s">
        <v>32</v>
      </c>
      <c r="B159" t="s">
        <v>289</v>
      </c>
      <c r="C159" t="s">
        <v>288</v>
      </c>
      <c r="D159" s="10">
        <f>(D3*inputs!E49*inputs!E60*inputs!E71)-inputs!E33*(D3*inputs!E49*inputs!E60*inputs!E71)</f>
        <v>0</v>
      </c>
      <c r="E159" t="str">
        <f t="shared" ca="1" si="3"/>
        <v>=(D3*inputs!E49*inputs!E60*inputs!E71)-inputs!E33*(D3*inputs!E49*inputs!E60*inputs!E71)</v>
      </c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  <c r="AJ159"/>
      <c r="AK159"/>
      <c r="AL159"/>
      <c r="AM159"/>
      <c r="AN159"/>
      <c r="AO159"/>
      <c r="AP159"/>
      <c r="AQ159"/>
      <c r="AR159"/>
      <c r="AS159"/>
      <c r="AT159"/>
      <c r="AU159"/>
      <c r="AV159"/>
      <c r="AW159"/>
      <c r="AX159"/>
      <c r="AY159"/>
      <c r="AZ159"/>
      <c r="BA159"/>
      <c r="BB159"/>
      <c r="BC159"/>
      <c r="BD159"/>
      <c r="BE159"/>
      <c r="BF159"/>
      <c r="BG159"/>
      <c r="BH159"/>
      <c r="BI159"/>
      <c r="BJ159"/>
      <c r="BK159"/>
      <c r="BL159"/>
      <c r="BM159"/>
      <c r="BN159"/>
      <c r="BO159"/>
      <c r="BP159"/>
      <c r="BQ159"/>
      <c r="BR159"/>
      <c r="BS159"/>
      <c r="BT159"/>
      <c r="BU159"/>
      <c r="BV159"/>
      <c r="BW159"/>
      <c r="BX159"/>
      <c r="BY159"/>
      <c r="BZ159"/>
      <c r="CA159"/>
      <c r="CB159"/>
      <c r="CC159"/>
      <c r="CD159"/>
      <c r="CE159"/>
      <c r="CF159"/>
      <c r="CG159"/>
      <c r="CH159"/>
      <c r="CI159"/>
      <c r="CJ159"/>
      <c r="CK159"/>
      <c r="CL159"/>
      <c r="CM159"/>
      <c r="CN159"/>
      <c r="CO159"/>
      <c r="CP159"/>
      <c r="CQ159"/>
      <c r="CR159"/>
      <c r="CS159"/>
      <c r="CT159"/>
      <c r="CU159"/>
      <c r="CV159"/>
      <c r="CW159"/>
      <c r="CX159"/>
      <c r="CY159"/>
      <c r="CZ159"/>
      <c r="DA159"/>
      <c r="DB159"/>
      <c r="DC159"/>
      <c r="DD159"/>
      <c r="DE159"/>
      <c r="DF159"/>
      <c r="DG159"/>
      <c r="DH159"/>
      <c r="DI159"/>
      <c r="DJ159"/>
      <c r="DK159"/>
      <c r="DL159"/>
      <c r="DM159"/>
      <c r="DN159"/>
      <c r="DO159"/>
    </row>
    <row r="160" spans="1:119" x14ac:dyDescent="0.3">
      <c r="A160" t="s">
        <v>32</v>
      </c>
      <c r="B160" t="s">
        <v>290</v>
      </c>
      <c r="C160" t="s">
        <v>291</v>
      </c>
      <c r="D160" s="10">
        <f>$D$155-$D$155*inputs!$E$33</f>
        <v>27340.116508094645</v>
      </c>
      <c r="E160" t="str">
        <f t="shared" ca="1" si="3"/>
        <v>=$D$155-$D$155*inputs!$E$33</v>
      </c>
    </row>
    <row r="161" spans="1:119" s="16" customFormat="1" x14ac:dyDescent="0.3">
      <c r="A161" t="s">
        <v>32</v>
      </c>
      <c r="B161" t="s">
        <v>290</v>
      </c>
      <c r="C161" t="s">
        <v>292</v>
      </c>
      <c r="D161" s="10">
        <f>D160-D160*inputs!$E$33</f>
        <v>27331.914473142217</v>
      </c>
      <c r="E161" t="str">
        <f t="shared" ca="1" si="3"/>
        <v>=D160-D160*inputs!$E$33</v>
      </c>
      <c r="F161" t="s">
        <v>815</v>
      </c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  <c r="AJ161"/>
      <c r="AK161"/>
      <c r="AL161"/>
      <c r="AM161"/>
      <c r="AN161"/>
      <c r="AO161"/>
      <c r="AP161"/>
      <c r="AQ161"/>
      <c r="AR161"/>
      <c r="AS161"/>
      <c r="AT161"/>
      <c r="AU161"/>
      <c r="AV161"/>
      <c r="AW161"/>
      <c r="AX161"/>
      <c r="AY161"/>
      <c r="AZ161"/>
      <c r="BA161"/>
      <c r="BB161"/>
      <c r="BC161"/>
      <c r="BD161"/>
      <c r="BE161"/>
      <c r="BF161"/>
      <c r="BG161"/>
      <c r="BH161"/>
      <c r="BI161"/>
      <c r="BJ161"/>
      <c r="BK161"/>
      <c r="BL161"/>
      <c r="BM161"/>
      <c r="BN161"/>
      <c r="BO161"/>
      <c r="BP161"/>
      <c r="BQ161"/>
      <c r="BR161"/>
      <c r="BS161"/>
      <c r="BT161"/>
      <c r="BU161"/>
      <c r="BV161"/>
      <c r="BW161"/>
      <c r="BX161"/>
      <c r="BY161"/>
      <c r="BZ161"/>
      <c r="CA161"/>
      <c r="CB161"/>
      <c r="CC161"/>
      <c r="CD161"/>
      <c r="CE161"/>
      <c r="CF161"/>
      <c r="CG161"/>
      <c r="CH161"/>
      <c r="CI161"/>
      <c r="CJ161"/>
      <c r="CK161"/>
      <c r="CL161"/>
      <c r="CM161"/>
      <c r="CN161"/>
      <c r="CO161"/>
      <c r="CP161"/>
      <c r="CQ161"/>
      <c r="CR161"/>
      <c r="CS161"/>
      <c r="CT161"/>
      <c r="CU161"/>
      <c r="CV161"/>
      <c r="CW161"/>
      <c r="CX161"/>
      <c r="CY161"/>
      <c r="CZ161"/>
      <c r="DA161"/>
      <c r="DB161"/>
      <c r="DC161"/>
      <c r="DD161"/>
      <c r="DE161"/>
      <c r="DF161"/>
      <c r="DG161"/>
      <c r="DH161"/>
      <c r="DI161"/>
      <c r="DJ161"/>
      <c r="DK161"/>
      <c r="DL161"/>
      <c r="DM161"/>
      <c r="DN161"/>
      <c r="DO161"/>
    </row>
    <row r="162" spans="1:119" s="16" customFormat="1" x14ac:dyDescent="0.3">
      <c r="A162" t="s">
        <v>32</v>
      </c>
      <c r="B162" t="s">
        <v>290</v>
      </c>
      <c r="C162" t="s">
        <v>293</v>
      </c>
      <c r="D162" s="10">
        <f>D161-D161*inputs!$E$33</f>
        <v>27323.714898800274</v>
      </c>
      <c r="E162" t="str">
        <f t="shared" ca="1" si="3"/>
        <v>=D161-D161*inputs!$E$33</v>
      </c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  <c r="AJ162"/>
      <c r="AK162"/>
      <c r="AL162"/>
      <c r="AM162"/>
      <c r="AN162"/>
      <c r="AO162"/>
      <c r="AP162"/>
      <c r="AQ162"/>
      <c r="AR162"/>
      <c r="AS162"/>
      <c r="AT162"/>
      <c r="AU162"/>
      <c r="AV162"/>
      <c r="AW162"/>
      <c r="AX162"/>
      <c r="AY162"/>
      <c r="AZ162"/>
      <c r="BA162"/>
      <c r="BB162"/>
      <c r="BC162"/>
      <c r="BD162"/>
      <c r="BE162"/>
      <c r="BF162"/>
      <c r="BG162"/>
      <c r="BH162"/>
      <c r="BI162"/>
      <c r="BJ162"/>
      <c r="BK162"/>
      <c r="BL162"/>
      <c r="BM162"/>
      <c r="BN162"/>
      <c r="BO162"/>
      <c r="BP162"/>
      <c r="BQ162"/>
      <c r="BR162"/>
      <c r="BS162"/>
      <c r="BT162"/>
      <c r="BU162"/>
      <c r="BV162"/>
      <c r="BW162"/>
      <c r="BX162"/>
      <c r="BY162"/>
      <c r="BZ162"/>
      <c r="CA162"/>
      <c r="CB162"/>
      <c r="CC162"/>
      <c r="CD162"/>
      <c r="CE162"/>
      <c r="CF162"/>
      <c r="CG162"/>
      <c r="CH162"/>
      <c r="CI162"/>
      <c r="CJ162"/>
      <c r="CK162"/>
      <c r="CL162"/>
      <c r="CM162"/>
      <c r="CN162"/>
      <c r="CO162"/>
      <c r="CP162"/>
      <c r="CQ162"/>
      <c r="CR162"/>
      <c r="CS162"/>
      <c r="CT162"/>
      <c r="CU162"/>
      <c r="CV162"/>
      <c r="CW162"/>
      <c r="CX162"/>
      <c r="CY162"/>
      <c r="CZ162"/>
      <c r="DA162"/>
      <c r="DB162"/>
      <c r="DC162"/>
      <c r="DD162"/>
      <c r="DE162"/>
      <c r="DF162"/>
      <c r="DG162"/>
      <c r="DH162"/>
      <c r="DI162"/>
      <c r="DJ162"/>
      <c r="DK162"/>
      <c r="DL162"/>
      <c r="DM162"/>
      <c r="DN162"/>
      <c r="DO162"/>
    </row>
    <row r="163" spans="1:119" s="16" customFormat="1" x14ac:dyDescent="0.3">
      <c r="A163" t="s">
        <v>32</v>
      </c>
      <c r="B163" t="s">
        <v>290</v>
      </c>
      <c r="C163" t="s">
        <v>294</v>
      </c>
      <c r="D163" s="10">
        <f>D162-D162*inputs!$E$33</f>
        <v>27315.517784330634</v>
      </c>
      <c r="E163" t="str">
        <f t="shared" ca="1" si="3"/>
        <v>=D162-D162*inputs!$E$33</v>
      </c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  <c r="AJ163"/>
      <c r="AK163"/>
      <c r="AL163"/>
      <c r="AM163"/>
      <c r="AN163"/>
      <c r="AO163"/>
      <c r="AP163"/>
      <c r="AQ163"/>
      <c r="AR163"/>
      <c r="AS163"/>
      <c r="AT163"/>
      <c r="AU163"/>
      <c r="AV163"/>
      <c r="AW163"/>
      <c r="AX163"/>
      <c r="AY163"/>
      <c r="AZ163"/>
      <c r="BA163"/>
      <c r="BB163"/>
      <c r="BC163"/>
      <c r="BD163"/>
      <c r="BE163"/>
      <c r="BF163"/>
      <c r="BG163"/>
      <c r="BH163"/>
      <c r="BI163"/>
      <c r="BJ163"/>
      <c r="BK163"/>
      <c r="BL163"/>
      <c r="BM163"/>
      <c r="BN163"/>
      <c r="BO163"/>
      <c r="BP163"/>
      <c r="BQ163"/>
      <c r="BR163"/>
      <c r="BS163"/>
      <c r="BT163"/>
      <c r="BU163"/>
      <c r="BV163"/>
      <c r="BW163"/>
      <c r="BX163"/>
      <c r="BY163"/>
      <c r="BZ163"/>
      <c r="CA163"/>
      <c r="CB163"/>
      <c r="CC163"/>
      <c r="CD163"/>
      <c r="CE163"/>
      <c r="CF163"/>
      <c r="CG163"/>
      <c r="CH163"/>
      <c r="CI163"/>
      <c r="CJ163"/>
      <c r="CK163"/>
      <c r="CL163"/>
      <c r="CM163"/>
      <c r="CN163"/>
      <c r="CO163"/>
      <c r="CP163"/>
      <c r="CQ163"/>
      <c r="CR163"/>
      <c r="CS163"/>
      <c r="CT163"/>
      <c r="CU163"/>
      <c r="CV163"/>
      <c r="CW163"/>
      <c r="CX163"/>
      <c r="CY163"/>
      <c r="CZ163"/>
      <c r="DA163"/>
      <c r="DB163"/>
      <c r="DC163"/>
      <c r="DD163"/>
      <c r="DE163"/>
      <c r="DF163"/>
      <c r="DG163"/>
      <c r="DH163"/>
      <c r="DI163"/>
      <c r="DJ163"/>
      <c r="DK163"/>
      <c r="DL163"/>
      <c r="DM163"/>
      <c r="DN163"/>
      <c r="DO163"/>
    </row>
    <row r="164" spans="1:119" s="16" customFormat="1" x14ac:dyDescent="0.3">
      <c r="A164" t="s">
        <v>32</v>
      </c>
      <c r="B164" t="s">
        <v>290</v>
      </c>
      <c r="C164" t="s">
        <v>295</v>
      </c>
      <c r="D164" s="10">
        <f>D163-D163*inputs!$E$34</f>
        <v>27307.323128995333</v>
      </c>
      <c r="E164" t="str">
        <f t="shared" ca="1" si="3"/>
        <v>=D163-D163*inputs!$E$34</v>
      </c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  <c r="AJ164"/>
      <c r="AK164"/>
      <c r="AL164"/>
      <c r="AM164"/>
      <c r="AN164"/>
      <c r="AO164"/>
      <c r="AP164"/>
      <c r="AQ164"/>
      <c r="AR164"/>
      <c r="AS164"/>
      <c r="AT164"/>
      <c r="AU164"/>
      <c r="AV164"/>
      <c r="AW164"/>
      <c r="AX164"/>
      <c r="AY164"/>
      <c r="AZ164"/>
      <c r="BA164"/>
      <c r="BB164"/>
      <c r="BC164"/>
      <c r="BD164"/>
      <c r="BE164"/>
      <c r="BF164"/>
      <c r="BG164"/>
      <c r="BH164"/>
      <c r="BI164"/>
      <c r="BJ164"/>
      <c r="BK164"/>
      <c r="BL164"/>
      <c r="BM164"/>
      <c r="BN164"/>
      <c r="BO164"/>
      <c r="BP164"/>
      <c r="BQ164"/>
      <c r="BR164"/>
      <c r="BS164"/>
      <c r="BT164"/>
      <c r="BU164"/>
      <c r="BV164"/>
      <c r="BW164"/>
      <c r="BX164"/>
      <c r="BY164"/>
      <c r="BZ164"/>
      <c r="CA164"/>
      <c r="CB164"/>
      <c r="CC164"/>
      <c r="CD164"/>
      <c r="CE164"/>
      <c r="CF164"/>
      <c r="CG164"/>
      <c r="CH164"/>
      <c r="CI164"/>
      <c r="CJ164"/>
      <c r="CK164"/>
      <c r="CL164"/>
      <c r="CM164"/>
      <c r="CN164"/>
      <c r="CO164"/>
      <c r="CP164"/>
      <c r="CQ164"/>
      <c r="CR164"/>
      <c r="CS164"/>
      <c r="CT164"/>
      <c r="CU164"/>
      <c r="CV164"/>
      <c r="CW164"/>
      <c r="CX164"/>
      <c r="CY164"/>
      <c r="CZ164"/>
      <c r="DA164"/>
      <c r="DB164"/>
      <c r="DC164"/>
      <c r="DD164"/>
      <c r="DE164"/>
      <c r="DF164"/>
      <c r="DG164"/>
      <c r="DH164"/>
      <c r="DI164"/>
      <c r="DJ164"/>
      <c r="DK164"/>
      <c r="DL164"/>
      <c r="DM164"/>
      <c r="DN164"/>
      <c r="DO164"/>
    </row>
    <row r="165" spans="1:119" s="16" customFormat="1" x14ac:dyDescent="0.3">
      <c r="A165" t="s">
        <v>32</v>
      </c>
      <c r="B165" t="s">
        <v>290</v>
      </c>
      <c r="C165" t="s">
        <v>296</v>
      </c>
      <c r="D165" s="10">
        <f>D164-D164*inputs!$E$34</f>
        <v>27299.130932056632</v>
      </c>
      <c r="E165" t="str">
        <f t="shared" ca="1" si="3"/>
        <v>=D164-D164*inputs!$E$34</v>
      </c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  <c r="AJ165"/>
      <c r="AK165"/>
      <c r="AL165"/>
      <c r="AM165"/>
      <c r="AN165"/>
      <c r="AO165"/>
      <c r="AP165"/>
      <c r="AQ165"/>
      <c r="AR165"/>
      <c r="AS165"/>
      <c r="AT165"/>
      <c r="AU165"/>
      <c r="AV165"/>
      <c r="AW165"/>
      <c r="AX165"/>
      <c r="AY165"/>
      <c r="AZ165"/>
      <c r="BA165"/>
      <c r="BB165"/>
      <c r="BC165"/>
      <c r="BD165"/>
      <c r="BE165"/>
      <c r="BF165"/>
      <c r="BG165"/>
      <c r="BH165"/>
      <c r="BI165"/>
      <c r="BJ165"/>
      <c r="BK165"/>
      <c r="BL165"/>
      <c r="BM165"/>
      <c r="BN165"/>
      <c r="BO165"/>
      <c r="BP165"/>
      <c r="BQ165"/>
      <c r="BR165"/>
      <c r="BS165"/>
      <c r="BT165"/>
      <c r="BU165"/>
      <c r="BV165"/>
      <c r="BW165"/>
      <c r="BX165"/>
      <c r="BY165"/>
      <c r="BZ165"/>
      <c r="CA165"/>
      <c r="CB165"/>
      <c r="CC165"/>
      <c r="CD165"/>
      <c r="CE165"/>
      <c r="CF165"/>
      <c r="CG165"/>
      <c r="CH165"/>
      <c r="CI165"/>
      <c r="CJ165"/>
      <c r="CK165"/>
      <c r="CL165"/>
      <c r="CM165"/>
      <c r="CN165"/>
      <c r="CO165"/>
      <c r="CP165"/>
      <c r="CQ165"/>
      <c r="CR165"/>
      <c r="CS165"/>
      <c r="CT165"/>
      <c r="CU165"/>
      <c r="CV165"/>
      <c r="CW165"/>
      <c r="CX165"/>
      <c r="CY165"/>
      <c r="CZ165"/>
      <c r="DA165"/>
      <c r="DB165"/>
      <c r="DC165"/>
      <c r="DD165"/>
      <c r="DE165"/>
      <c r="DF165"/>
      <c r="DG165"/>
      <c r="DH165"/>
      <c r="DI165"/>
      <c r="DJ165"/>
      <c r="DK165"/>
      <c r="DL165"/>
      <c r="DM165"/>
      <c r="DN165"/>
      <c r="DO165"/>
    </row>
    <row r="166" spans="1:119" s="16" customFormat="1" x14ac:dyDescent="0.3">
      <c r="A166" t="s">
        <v>32</v>
      </c>
      <c r="B166" t="s">
        <v>290</v>
      </c>
      <c r="C166" t="s">
        <v>297</v>
      </c>
      <c r="D166" s="10">
        <f>D165-D165*inputs!$E$34</f>
        <v>27290.941192777016</v>
      </c>
      <c r="E166" t="str">
        <f t="shared" ca="1" si="3"/>
        <v>=D165-D165*inputs!$E$34</v>
      </c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  <c r="AJ166"/>
      <c r="AK166"/>
      <c r="AL166"/>
      <c r="AM166"/>
      <c r="AN166"/>
      <c r="AO166"/>
      <c r="AP166"/>
      <c r="AQ166"/>
      <c r="AR166"/>
      <c r="AS166"/>
      <c r="AT166"/>
      <c r="AU166"/>
      <c r="AV166"/>
      <c r="AW166"/>
      <c r="AX166"/>
      <c r="AY166"/>
      <c r="AZ166"/>
      <c r="BA166"/>
      <c r="BB166"/>
      <c r="BC166"/>
      <c r="BD166"/>
      <c r="BE166"/>
      <c r="BF166"/>
      <c r="BG166"/>
      <c r="BH166"/>
      <c r="BI166"/>
      <c r="BJ166"/>
      <c r="BK166"/>
      <c r="BL166"/>
      <c r="BM166"/>
      <c r="BN166"/>
      <c r="BO166"/>
      <c r="BP166"/>
      <c r="BQ166"/>
      <c r="BR166"/>
      <c r="BS166"/>
      <c r="BT166"/>
      <c r="BU166"/>
      <c r="BV166"/>
      <c r="BW166"/>
      <c r="BX166"/>
      <c r="BY166"/>
      <c r="BZ166"/>
      <c r="CA166"/>
      <c r="CB166"/>
      <c r="CC166"/>
      <c r="CD166"/>
      <c r="CE166"/>
      <c r="CF166"/>
      <c r="CG166"/>
      <c r="CH166"/>
      <c r="CI166"/>
      <c r="CJ166"/>
      <c r="CK166"/>
      <c r="CL166"/>
      <c r="CM166"/>
      <c r="CN166"/>
      <c r="CO166"/>
      <c r="CP166"/>
      <c r="CQ166"/>
      <c r="CR166"/>
      <c r="CS166"/>
      <c r="CT166"/>
      <c r="CU166"/>
      <c r="CV166"/>
      <c r="CW166"/>
      <c r="CX166"/>
      <c r="CY166"/>
      <c r="CZ166"/>
      <c r="DA166"/>
      <c r="DB166"/>
      <c r="DC166"/>
      <c r="DD166"/>
      <c r="DE166"/>
      <c r="DF166"/>
      <c r="DG166"/>
      <c r="DH166"/>
      <c r="DI166"/>
      <c r="DJ166"/>
      <c r="DK166"/>
      <c r="DL166"/>
      <c r="DM166"/>
      <c r="DN166"/>
      <c r="DO166"/>
    </row>
    <row r="167" spans="1:119" s="16" customFormat="1" x14ac:dyDescent="0.3">
      <c r="A167" t="s">
        <v>32</v>
      </c>
      <c r="B167" t="s">
        <v>290</v>
      </c>
      <c r="C167" t="s">
        <v>298</v>
      </c>
      <c r="D167" s="10">
        <f>D166-D166*inputs!$E$34</f>
        <v>27282.753910419182</v>
      </c>
      <c r="E167" t="str">
        <f t="shared" ca="1" si="3"/>
        <v>=D166-D166*inputs!$E$34</v>
      </c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  <c r="AJ167"/>
      <c r="AK167"/>
      <c r="AL167"/>
      <c r="AM167"/>
      <c r="AN167"/>
      <c r="AO167"/>
      <c r="AP167"/>
      <c r="AQ167"/>
      <c r="AR167"/>
      <c r="AS167"/>
      <c r="AT167"/>
      <c r="AU167"/>
      <c r="AV167"/>
      <c r="AW167"/>
      <c r="AX167"/>
      <c r="AY167"/>
      <c r="AZ167"/>
      <c r="BA167"/>
      <c r="BB167"/>
      <c r="BC167"/>
      <c r="BD167"/>
      <c r="BE167"/>
      <c r="BF167"/>
      <c r="BG167"/>
      <c r="BH167"/>
      <c r="BI167"/>
      <c r="BJ167"/>
      <c r="BK167"/>
      <c r="BL167"/>
      <c r="BM167"/>
      <c r="BN167"/>
      <c r="BO167"/>
      <c r="BP167"/>
      <c r="BQ167"/>
      <c r="BR167"/>
      <c r="BS167"/>
      <c r="BT167"/>
      <c r="BU167"/>
      <c r="BV167"/>
      <c r="BW167"/>
      <c r="BX167"/>
      <c r="BY167"/>
      <c r="BZ167"/>
      <c r="CA167"/>
      <c r="CB167"/>
      <c r="CC167"/>
      <c r="CD167"/>
      <c r="CE167"/>
      <c r="CF167"/>
      <c r="CG167"/>
      <c r="CH167"/>
      <c r="CI167"/>
      <c r="CJ167"/>
      <c r="CK167"/>
      <c r="CL167"/>
      <c r="CM167"/>
      <c r="CN167"/>
      <c r="CO167"/>
      <c r="CP167"/>
      <c r="CQ167"/>
      <c r="CR167"/>
      <c r="CS167"/>
      <c r="CT167"/>
      <c r="CU167"/>
      <c r="CV167"/>
      <c r="CW167"/>
      <c r="CX167"/>
      <c r="CY167"/>
      <c r="CZ167"/>
      <c r="DA167"/>
      <c r="DB167"/>
      <c r="DC167"/>
      <c r="DD167"/>
      <c r="DE167"/>
      <c r="DF167"/>
      <c r="DG167"/>
      <c r="DH167"/>
      <c r="DI167"/>
      <c r="DJ167"/>
      <c r="DK167"/>
      <c r="DL167"/>
      <c r="DM167"/>
      <c r="DN167"/>
      <c r="DO167"/>
    </row>
    <row r="168" spans="1:119" s="16" customFormat="1" x14ac:dyDescent="0.3">
      <c r="A168" t="s">
        <v>32</v>
      </c>
      <c r="B168" t="s">
        <v>290</v>
      </c>
      <c r="C168" t="s">
        <v>299</v>
      </c>
      <c r="D168" s="10">
        <f>D167-D167*inputs!$E$34</f>
        <v>27274.569084246057</v>
      </c>
      <c r="E168" t="str">
        <f t="shared" ca="1" si="3"/>
        <v>=D167-D167*inputs!$E$34</v>
      </c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  <c r="AJ168"/>
      <c r="AK168"/>
      <c r="AL168"/>
      <c r="AM168"/>
      <c r="AN168"/>
      <c r="AO168"/>
      <c r="AP168"/>
      <c r="AQ168"/>
      <c r="AR168"/>
      <c r="AS168"/>
      <c r="AT168"/>
      <c r="AU168"/>
      <c r="AV168"/>
      <c r="AW168"/>
      <c r="AX168"/>
      <c r="AY168"/>
      <c r="AZ168"/>
      <c r="BA168"/>
      <c r="BB168"/>
      <c r="BC168"/>
      <c r="BD168"/>
      <c r="BE168"/>
      <c r="BF168"/>
      <c r="BG168"/>
      <c r="BH168"/>
      <c r="BI168"/>
      <c r="BJ168"/>
      <c r="BK168"/>
      <c r="BL168"/>
      <c r="BM168"/>
      <c r="BN168"/>
      <c r="BO168"/>
      <c r="BP168"/>
      <c r="BQ168"/>
      <c r="BR168"/>
      <c r="BS168"/>
      <c r="BT168"/>
      <c r="BU168"/>
      <c r="BV168"/>
      <c r="BW168"/>
      <c r="BX168"/>
      <c r="BY168"/>
      <c r="BZ168"/>
      <c r="CA168"/>
      <c r="CB168"/>
      <c r="CC168"/>
      <c r="CD168"/>
      <c r="CE168"/>
      <c r="CF168"/>
      <c r="CG168"/>
      <c r="CH168"/>
      <c r="CI168"/>
      <c r="CJ168"/>
      <c r="CK168"/>
      <c r="CL168"/>
      <c r="CM168"/>
      <c r="CN168"/>
      <c r="CO168"/>
      <c r="CP168"/>
      <c r="CQ168"/>
      <c r="CR168"/>
      <c r="CS168"/>
      <c r="CT168"/>
      <c r="CU168"/>
      <c r="CV168"/>
      <c r="CW168"/>
      <c r="CX168"/>
      <c r="CY168"/>
      <c r="CZ168"/>
      <c r="DA168"/>
      <c r="DB168"/>
      <c r="DC168"/>
      <c r="DD168"/>
      <c r="DE168"/>
      <c r="DF168"/>
      <c r="DG168"/>
      <c r="DH168"/>
      <c r="DI168"/>
      <c r="DJ168"/>
      <c r="DK168"/>
      <c r="DL168"/>
      <c r="DM168"/>
      <c r="DN168"/>
      <c r="DO168"/>
    </row>
    <row r="169" spans="1:119" s="16" customFormat="1" x14ac:dyDescent="0.3">
      <c r="A169" t="s">
        <v>32</v>
      </c>
      <c r="B169" t="s">
        <v>290</v>
      </c>
      <c r="C169" t="s">
        <v>300</v>
      </c>
      <c r="D169" s="10">
        <f>D168-D168*inputs!$E$35</f>
        <v>27266.386713520784</v>
      </c>
      <c r="E169" t="str">
        <f t="shared" ca="1" si="3"/>
        <v>=D168-D168*inputs!$E$35</v>
      </c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  <c r="AJ169"/>
      <c r="AK169"/>
      <c r="AL169"/>
      <c r="AM169"/>
      <c r="AN169"/>
      <c r="AO169"/>
      <c r="AP169"/>
      <c r="AQ169"/>
      <c r="AR169"/>
      <c r="AS169"/>
      <c r="AT169"/>
      <c r="AU169"/>
      <c r="AV169"/>
      <c r="AW169"/>
      <c r="AX169"/>
      <c r="AY169"/>
      <c r="AZ169"/>
      <c r="BA169"/>
      <c r="BB169"/>
      <c r="BC169"/>
      <c r="BD169"/>
      <c r="BE169"/>
      <c r="BF169"/>
      <c r="BG169"/>
      <c r="BH169"/>
      <c r="BI169"/>
      <c r="BJ169"/>
      <c r="BK169"/>
      <c r="BL169"/>
      <c r="BM169"/>
      <c r="BN169"/>
      <c r="BO169"/>
      <c r="BP169"/>
      <c r="BQ169"/>
      <c r="BR169"/>
      <c r="BS169"/>
      <c r="BT169"/>
      <c r="BU169"/>
      <c r="BV169"/>
      <c r="BW169"/>
      <c r="BX169"/>
      <c r="BY169"/>
      <c r="BZ169"/>
      <c r="CA169"/>
      <c r="CB169"/>
      <c r="CC169"/>
      <c r="CD169"/>
      <c r="CE169"/>
      <c r="CF169"/>
      <c r="CG169"/>
      <c r="CH169"/>
      <c r="CI169"/>
      <c r="CJ169"/>
      <c r="CK169"/>
      <c r="CL169"/>
      <c r="CM169"/>
      <c r="CN169"/>
      <c r="CO169"/>
      <c r="CP169"/>
      <c r="CQ169"/>
      <c r="CR169"/>
      <c r="CS169"/>
      <c r="CT169"/>
      <c r="CU169"/>
      <c r="CV169"/>
      <c r="CW169"/>
      <c r="CX169"/>
      <c r="CY169"/>
      <c r="CZ169"/>
      <c r="DA169"/>
      <c r="DB169"/>
      <c r="DC169"/>
      <c r="DD169"/>
      <c r="DE169"/>
      <c r="DF169"/>
      <c r="DG169"/>
      <c r="DH169"/>
      <c r="DI169"/>
      <c r="DJ169"/>
      <c r="DK169"/>
      <c r="DL169"/>
      <c r="DM169"/>
      <c r="DN169"/>
      <c r="DO169"/>
    </row>
    <row r="170" spans="1:119" s="16" customFormat="1" x14ac:dyDescent="0.3">
      <c r="A170" t="s">
        <v>32</v>
      </c>
      <c r="B170" t="s">
        <v>290</v>
      </c>
      <c r="C170" t="s">
        <v>301</v>
      </c>
      <c r="D170" s="10">
        <f>D169-D169*inputs!$E$35</f>
        <v>27258.206797506729</v>
      </c>
      <c r="E170" t="str">
        <f t="shared" ca="1" si="3"/>
        <v>=D169-D169*inputs!$E$35</v>
      </c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  <c r="AJ170"/>
      <c r="AK170"/>
      <c r="AL170"/>
      <c r="AM170"/>
      <c r="AN170"/>
      <c r="AO170"/>
      <c r="AP170"/>
      <c r="AQ170"/>
      <c r="AR170"/>
      <c r="AS170"/>
      <c r="AT170"/>
      <c r="AU170"/>
      <c r="AV170"/>
      <c r="AW170"/>
      <c r="AX170"/>
      <c r="AY170"/>
      <c r="AZ170"/>
      <c r="BA170"/>
      <c r="BB170"/>
      <c r="BC170"/>
      <c r="BD170"/>
      <c r="BE170"/>
      <c r="BF170"/>
      <c r="BG170"/>
      <c r="BH170"/>
      <c r="BI170"/>
      <c r="BJ170"/>
      <c r="BK170"/>
      <c r="BL170"/>
      <c r="BM170"/>
      <c r="BN170"/>
      <c r="BO170"/>
      <c r="BP170"/>
      <c r="BQ170"/>
      <c r="BR170"/>
      <c r="BS170"/>
      <c r="BT170"/>
      <c r="BU170"/>
      <c r="BV170"/>
      <c r="BW170"/>
      <c r="BX170"/>
      <c r="BY170"/>
      <c r="BZ170"/>
      <c r="CA170"/>
      <c r="CB170"/>
      <c r="CC170"/>
      <c r="CD170"/>
      <c r="CE170"/>
      <c r="CF170"/>
      <c r="CG170"/>
      <c r="CH170"/>
      <c r="CI170"/>
      <c r="CJ170"/>
      <c r="CK170"/>
      <c r="CL170"/>
      <c r="CM170"/>
      <c r="CN170"/>
      <c r="CO170"/>
      <c r="CP170"/>
      <c r="CQ170"/>
      <c r="CR170"/>
      <c r="CS170"/>
      <c r="CT170"/>
      <c r="CU170"/>
      <c r="CV170"/>
      <c r="CW170"/>
      <c r="CX170"/>
      <c r="CY170"/>
      <c r="CZ170"/>
      <c r="DA170"/>
      <c r="DB170"/>
      <c r="DC170"/>
      <c r="DD170"/>
      <c r="DE170"/>
      <c r="DF170"/>
      <c r="DG170"/>
      <c r="DH170"/>
      <c r="DI170"/>
      <c r="DJ170"/>
      <c r="DK170"/>
      <c r="DL170"/>
      <c r="DM170"/>
      <c r="DN170"/>
      <c r="DO170"/>
    </row>
    <row r="171" spans="1:119" s="16" customFormat="1" x14ac:dyDescent="0.3">
      <c r="A171" t="s">
        <v>32</v>
      </c>
      <c r="B171" t="s">
        <v>290</v>
      </c>
      <c r="C171" t="s">
        <v>302</v>
      </c>
      <c r="D171" s="10">
        <f>D170-D170*inputs!$E$35</f>
        <v>27250.029335467476</v>
      </c>
      <c r="E171" t="str">
        <f t="shared" ca="1" si="3"/>
        <v>=D170-D170*inputs!$E$35</v>
      </c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  <c r="AJ171"/>
      <c r="AK171"/>
      <c r="AL171"/>
      <c r="AM171"/>
      <c r="AN171"/>
      <c r="AO171"/>
      <c r="AP171"/>
      <c r="AQ171"/>
      <c r="AR171"/>
      <c r="AS171"/>
      <c r="AT171"/>
      <c r="AU171"/>
      <c r="AV171"/>
      <c r="AW171"/>
      <c r="AX171"/>
      <c r="AY171"/>
      <c r="AZ171"/>
      <c r="BA171"/>
      <c r="BB171"/>
      <c r="BC171"/>
      <c r="BD171"/>
      <c r="BE171"/>
      <c r="BF171"/>
      <c r="BG171"/>
      <c r="BH171"/>
      <c r="BI171"/>
      <c r="BJ171"/>
      <c r="BK171"/>
      <c r="BL171"/>
      <c r="BM171"/>
      <c r="BN171"/>
      <c r="BO171"/>
      <c r="BP171"/>
      <c r="BQ171"/>
      <c r="BR171"/>
      <c r="BS171"/>
      <c r="BT171"/>
      <c r="BU171"/>
      <c r="BV171"/>
      <c r="BW171"/>
      <c r="BX171"/>
      <c r="BY171"/>
      <c r="BZ171"/>
      <c r="CA171"/>
      <c r="CB171"/>
      <c r="CC171"/>
      <c r="CD171"/>
      <c r="CE171"/>
      <c r="CF171"/>
      <c r="CG171"/>
      <c r="CH171"/>
      <c r="CI171"/>
      <c r="CJ171"/>
      <c r="CK171"/>
      <c r="CL171"/>
      <c r="CM171"/>
      <c r="CN171"/>
      <c r="CO171"/>
      <c r="CP171"/>
      <c r="CQ171"/>
      <c r="CR171"/>
      <c r="CS171"/>
      <c r="CT171"/>
      <c r="CU171"/>
      <c r="CV171"/>
      <c r="CW171"/>
      <c r="CX171"/>
      <c r="CY171"/>
      <c r="CZ171"/>
      <c r="DA171"/>
      <c r="DB171"/>
      <c r="DC171"/>
      <c r="DD171"/>
      <c r="DE171"/>
      <c r="DF171"/>
      <c r="DG171"/>
      <c r="DH171"/>
      <c r="DI171"/>
      <c r="DJ171"/>
      <c r="DK171"/>
      <c r="DL171"/>
      <c r="DM171"/>
      <c r="DN171"/>
      <c r="DO171"/>
    </row>
    <row r="172" spans="1:119" s="16" customFormat="1" x14ac:dyDescent="0.3">
      <c r="A172" t="s">
        <v>32</v>
      </c>
      <c r="B172" t="s">
        <v>290</v>
      </c>
      <c r="C172" t="s">
        <v>303</v>
      </c>
      <c r="D172" s="10">
        <f>D171-D171*inputs!$E$35</f>
        <v>27241.854326666835</v>
      </c>
      <c r="E172" t="str">
        <f t="shared" ca="1" si="3"/>
        <v>=D171-D171*inputs!$E$35</v>
      </c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  <c r="AJ172"/>
      <c r="AK172"/>
      <c r="AL172"/>
      <c r="AM172"/>
      <c r="AN172"/>
      <c r="AO172"/>
      <c r="AP172"/>
      <c r="AQ172"/>
      <c r="AR172"/>
      <c r="AS172"/>
      <c r="AT172"/>
      <c r="AU172"/>
      <c r="AV172"/>
      <c r="AW172"/>
      <c r="AX172"/>
      <c r="AY172"/>
      <c r="AZ172"/>
      <c r="BA172"/>
      <c r="BB172"/>
      <c r="BC172"/>
      <c r="BD172"/>
      <c r="BE172"/>
      <c r="BF172"/>
      <c r="BG172"/>
      <c r="BH172"/>
      <c r="BI172"/>
      <c r="BJ172"/>
      <c r="BK172"/>
      <c r="BL172"/>
      <c r="BM172"/>
      <c r="BN172"/>
      <c r="BO172"/>
      <c r="BP172"/>
      <c r="BQ172"/>
      <c r="BR172"/>
      <c r="BS172"/>
      <c r="BT172"/>
      <c r="BU172"/>
      <c r="BV172"/>
      <c r="BW172"/>
      <c r="BX172"/>
      <c r="BY172"/>
      <c r="BZ172"/>
      <c r="CA172"/>
      <c r="CB172"/>
      <c r="CC172"/>
      <c r="CD172"/>
      <c r="CE172"/>
      <c r="CF172"/>
      <c r="CG172"/>
      <c r="CH172"/>
      <c r="CI172"/>
      <c r="CJ172"/>
      <c r="CK172"/>
      <c r="CL172"/>
      <c r="CM172"/>
      <c r="CN172"/>
      <c r="CO172"/>
      <c r="CP172"/>
      <c r="CQ172"/>
      <c r="CR172"/>
      <c r="CS172"/>
      <c r="CT172"/>
      <c r="CU172"/>
      <c r="CV172"/>
      <c r="CW172"/>
      <c r="CX172"/>
      <c r="CY172"/>
      <c r="CZ172"/>
      <c r="DA172"/>
      <c r="DB172"/>
      <c r="DC172"/>
      <c r="DD172"/>
      <c r="DE172"/>
      <c r="DF172"/>
      <c r="DG172"/>
      <c r="DH172"/>
      <c r="DI172"/>
      <c r="DJ172"/>
      <c r="DK172"/>
      <c r="DL172"/>
      <c r="DM172"/>
      <c r="DN172"/>
      <c r="DO172"/>
    </row>
    <row r="173" spans="1:119" s="16" customFormat="1" x14ac:dyDescent="0.3">
      <c r="A173" t="s">
        <v>32</v>
      </c>
      <c r="B173" t="s">
        <v>290</v>
      </c>
      <c r="C173" t="s">
        <v>304</v>
      </c>
      <c r="D173" s="10">
        <f>D172-D172*inputs!$E$35</f>
        <v>27233.681770368836</v>
      </c>
      <c r="E173" t="str">
        <f t="shared" ca="1" si="3"/>
        <v>=D172-D172*inputs!$E$35</v>
      </c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  <c r="AJ173"/>
      <c r="AK173"/>
      <c r="AL173"/>
      <c r="AM173"/>
      <c r="AN173"/>
      <c r="AO173"/>
      <c r="AP173"/>
      <c r="AQ173"/>
      <c r="AR173"/>
      <c r="AS173"/>
      <c r="AT173"/>
      <c r="AU173"/>
      <c r="AV173"/>
      <c r="AW173"/>
      <c r="AX173"/>
      <c r="AY173"/>
      <c r="AZ173"/>
      <c r="BA173"/>
      <c r="BB173"/>
      <c r="BC173"/>
      <c r="BD173"/>
      <c r="BE173"/>
      <c r="BF173"/>
      <c r="BG173"/>
      <c r="BH173"/>
      <c r="BI173"/>
      <c r="BJ173"/>
      <c r="BK173"/>
      <c r="BL173"/>
      <c r="BM173"/>
      <c r="BN173"/>
      <c r="BO173"/>
      <c r="BP173"/>
      <c r="BQ173"/>
      <c r="BR173"/>
      <c r="BS173"/>
      <c r="BT173"/>
      <c r="BU173"/>
      <c r="BV173"/>
      <c r="BW173"/>
      <c r="BX173"/>
      <c r="BY173"/>
      <c r="BZ173"/>
      <c r="CA173"/>
      <c r="CB173"/>
      <c r="CC173"/>
      <c r="CD173"/>
      <c r="CE173"/>
      <c r="CF173"/>
      <c r="CG173"/>
      <c r="CH173"/>
      <c r="CI173"/>
      <c r="CJ173"/>
      <c r="CK173"/>
      <c r="CL173"/>
      <c r="CM173"/>
      <c r="CN173"/>
      <c r="CO173"/>
      <c r="CP173"/>
      <c r="CQ173"/>
      <c r="CR173"/>
      <c r="CS173"/>
      <c r="CT173"/>
      <c r="CU173"/>
      <c r="CV173"/>
      <c r="CW173"/>
      <c r="CX173"/>
      <c r="CY173"/>
      <c r="CZ173"/>
      <c r="DA173"/>
      <c r="DB173"/>
      <c r="DC173"/>
      <c r="DD173"/>
      <c r="DE173"/>
      <c r="DF173"/>
      <c r="DG173"/>
      <c r="DH173"/>
      <c r="DI173"/>
      <c r="DJ173"/>
      <c r="DK173"/>
      <c r="DL173"/>
      <c r="DM173"/>
      <c r="DN173"/>
      <c r="DO173"/>
    </row>
    <row r="174" spans="1:119" s="16" customFormat="1" x14ac:dyDescent="0.3">
      <c r="A174" t="s">
        <v>32</v>
      </c>
      <c r="B174" t="s">
        <v>290</v>
      </c>
      <c r="C174" t="s">
        <v>305</v>
      </c>
      <c r="D174" s="10">
        <f>D173-D173*inputs!$E$35</f>
        <v>27225.511665837726</v>
      </c>
      <c r="E174" t="str">
        <f t="shared" ca="1" si="3"/>
        <v>=D173-D173*inputs!$E$35</v>
      </c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  <c r="AJ174"/>
      <c r="AK174"/>
      <c r="AL174"/>
      <c r="AM174"/>
      <c r="AN174"/>
      <c r="AO174"/>
      <c r="AP174"/>
      <c r="AQ174"/>
      <c r="AR174"/>
      <c r="AS174"/>
      <c r="AT174"/>
      <c r="AU174"/>
      <c r="AV174"/>
      <c r="AW174"/>
      <c r="AX174"/>
      <c r="AY174"/>
      <c r="AZ174"/>
      <c r="BA174"/>
      <c r="BB174"/>
      <c r="BC174"/>
      <c r="BD174"/>
      <c r="BE174"/>
      <c r="BF174"/>
      <c r="BG174"/>
      <c r="BH174"/>
      <c r="BI174"/>
      <c r="BJ174"/>
      <c r="BK174"/>
      <c r="BL174"/>
      <c r="BM174"/>
      <c r="BN174"/>
      <c r="BO174"/>
      <c r="BP174"/>
      <c r="BQ174"/>
      <c r="BR174"/>
      <c r="BS174"/>
      <c r="BT174"/>
      <c r="BU174"/>
      <c r="BV174"/>
      <c r="BW174"/>
      <c r="BX174"/>
      <c r="BY174"/>
      <c r="BZ174"/>
      <c r="CA174"/>
      <c r="CB174"/>
      <c r="CC174"/>
      <c r="CD174"/>
      <c r="CE174"/>
      <c r="CF174"/>
      <c r="CG174"/>
      <c r="CH174"/>
      <c r="CI174"/>
      <c r="CJ174"/>
      <c r="CK174"/>
      <c r="CL174"/>
      <c r="CM174"/>
      <c r="CN174"/>
      <c r="CO174"/>
      <c r="CP174"/>
      <c r="CQ174"/>
      <c r="CR174"/>
      <c r="CS174"/>
      <c r="CT174"/>
      <c r="CU174"/>
      <c r="CV174"/>
      <c r="CW174"/>
      <c r="CX174"/>
      <c r="CY174"/>
      <c r="CZ174"/>
      <c r="DA174"/>
      <c r="DB174"/>
      <c r="DC174"/>
      <c r="DD174"/>
      <c r="DE174"/>
      <c r="DF174"/>
      <c r="DG174"/>
      <c r="DH174"/>
      <c r="DI174"/>
      <c r="DJ174"/>
      <c r="DK174"/>
      <c r="DL174"/>
      <c r="DM174"/>
      <c r="DN174"/>
      <c r="DO174"/>
    </row>
    <row r="175" spans="1:119" s="16" customFormat="1" x14ac:dyDescent="0.3">
      <c r="A175" t="s">
        <v>32</v>
      </c>
      <c r="B175" t="s">
        <v>290</v>
      </c>
      <c r="C175" t="s">
        <v>306</v>
      </c>
      <c r="D175" s="10">
        <f>D174-D174*inputs!$E$35</f>
        <v>27217.344012337977</v>
      </c>
      <c r="E175" t="str">
        <f t="shared" ca="1" si="3"/>
        <v>=D174-D174*inputs!$E$35</v>
      </c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  <c r="AJ175"/>
      <c r="AK175"/>
      <c r="AL175"/>
      <c r="AM175"/>
      <c r="AN175"/>
      <c r="AO175"/>
      <c r="AP175"/>
      <c r="AQ175"/>
      <c r="AR175"/>
      <c r="AS175"/>
      <c r="AT175"/>
      <c r="AU175"/>
      <c r="AV175"/>
      <c r="AW175"/>
      <c r="AX175"/>
      <c r="AY175"/>
      <c r="AZ175"/>
      <c r="BA175"/>
      <c r="BB175"/>
      <c r="BC175"/>
      <c r="BD175"/>
      <c r="BE175"/>
      <c r="BF175"/>
      <c r="BG175"/>
      <c r="BH175"/>
      <c r="BI175"/>
      <c r="BJ175"/>
      <c r="BK175"/>
      <c r="BL175"/>
      <c r="BM175"/>
      <c r="BN175"/>
      <c r="BO175"/>
      <c r="BP175"/>
      <c r="BQ175"/>
      <c r="BR175"/>
      <c r="BS175"/>
      <c r="BT175"/>
      <c r="BU175"/>
      <c r="BV175"/>
      <c r="BW175"/>
      <c r="BX175"/>
      <c r="BY175"/>
      <c r="BZ175"/>
      <c r="CA175"/>
      <c r="CB175"/>
      <c r="CC175"/>
      <c r="CD175"/>
      <c r="CE175"/>
      <c r="CF175"/>
      <c r="CG175"/>
      <c r="CH175"/>
      <c r="CI175"/>
      <c r="CJ175"/>
      <c r="CK175"/>
      <c r="CL175"/>
      <c r="CM175"/>
      <c r="CN175"/>
      <c r="CO175"/>
      <c r="CP175"/>
      <c r="CQ175"/>
      <c r="CR175"/>
      <c r="CS175"/>
      <c r="CT175"/>
      <c r="CU175"/>
      <c r="CV175"/>
      <c r="CW175"/>
      <c r="CX175"/>
      <c r="CY175"/>
      <c r="CZ175"/>
      <c r="DA175"/>
      <c r="DB175"/>
      <c r="DC175"/>
      <c r="DD175"/>
      <c r="DE175"/>
      <c r="DF175"/>
      <c r="DG175"/>
      <c r="DH175"/>
      <c r="DI175"/>
      <c r="DJ175"/>
      <c r="DK175"/>
      <c r="DL175"/>
      <c r="DM175"/>
      <c r="DN175"/>
      <c r="DO175"/>
    </row>
    <row r="176" spans="1:119" s="16" customFormat="1" x14ac:dyDescent="0.3">
      <c r="A176" t="s">
        <v>32</v>
      </c>
      <c r="B176" t="s">
        <v>290</v>
      </c>
      <c r="C176" t="s">
        <v>307</v>
      </c>
      <c r="D176" s="10">
        <f>D175-D175*inputs!$E$35</f>
        <v>27209.178809134275</v>
      </c>
      <c r="E176" t="str">
        <f t="shared" ca="1" si="3"/>
        <v>=D175-D175*inputs!$E$35</v>
      </c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  <c r="AJ176"/>
      <c r="AK176"/>
      <c r="AL176"/>
      <c r="AM176"/>
      <c r="AN176"/>
      <c r="AO176"/>
      <c r="AP176"/>
      <c r="AQ176"/>
      <c r="AR176"/>
      <c r="AS176"/>
      <c r="AT176"/>
      <c r="AU176"/>
      <c r="AV176"/>
      <c r="AW176"/>
      <c r="AX176"/>
      <c r="AY176"/>
      <c r="AZ176"/>
      <c r="BA176"/>
      <c r="BB176"/>
      <c r="BC176"/>
      <c r="BD176"/>
      <c r="BE176"/>
      <c r="BF176"/>
      <c r="BG176"/>
      <c r="BH176"/>
      <c r="BI176"/>
      <c r="BJ176"/>
      <c r="BK176"/>
      <c r="BL176"/>
      <c r="BM176"/>
      <c r="BN176"/>
      <c r="BO176"/>
      <c r="BP176"/>
      <c r="BQ176"/>
      <c r="BR176"/>
      <c r="BS176"/>
      <c r="BT176"/>
      <c r="BU176"/>
      <c r="BV176"/>
      <c r="BW176"/>
      <c r="BX176"/>
      <c r="BY176"/>
      <c r="BZ176"/>
      <c r="CA176"/>
      <c r="CB176"/>
      <c r="CC176"/>
      <c r="CD176"/>
      <c r="CE176"/>
      <c r="CF176"/>
      <c r="CG176"/>
      <c r="CH176"/>
      <c r="CI176"/>
      <c r="CJ176"/>
      <c r="CK176"/>
      <c r="CL176"/>
      <c r="CM176"/>
      <c r="CN176"/>
      <c r="CO176"/>
      <c r="CP176"/>
      <c r="CQ176"/>
      <c r="CR176"/>
      <c r="CS176"/>
      <c r="CT176"/>
      <c r="CU176"/>
      <c r="CV176"/>
      <c r="CW176"/>
      <c r="CX176"/>
      <c r="CY176"/>
      <c r="CZ176"/>
      <c r="DA176"/>
      <c r="DB176"/>
      <c r="DC176"/>
      <c r="DD176"/>
      <c r="DE176"/>
      <c r="DF176"/>
      <c r="DG176"/>
      <c r="DH176"/>
      <c r="DI176"/>
      <c r="DJ176"/>
      <c r="DK176"/>
      <c r="DL176"/>
      <c r="DM176"/>
      <c r="DN176"/>
      <c r="DO176"/>
    </row>
    <row r="177" spans="1:121" s="16" customFormat="1" x14ac:dyDescent="0.3">
      <c r="A177" t="s">
        <v>32</v>
      </c>
      <c r="B177" t="s">
        <v>290</v>
      </c>
      <c r="C177" t="s">
        <v>308</v>
      </c>
      <c r="D177" s="10">
        <f>D176-D176*inputs!$E$35</f>
        <v>27201.016055491535</v>
      </c>
      <c r="E177" t="str">
        <f t="shared" ca="1" si="3"/>
        <v>=D176-D176*inputs!$E$35</v>
      </c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  <c r="AJ177"/>
      <c r="AK177"/>
      <c r="AL177"/>
      <c r="AM177"/>
      <c r="AN177"/>
      <c r="AO177"/>
      <c r="AP177"/>
      <c r="AQ177"/>
      <c r="AR177"/>
      <c r="AS177"/>
      <c r="AT177"/>
      <c r="AU177"/>
      <c r="AV177"/>
      <c r="AW177"/>
      <c r="AX177"/>
      <c r="AY177"/>
      <c r="AZ177"/>
      <c r="BA177"/>
      <c r="BB177"/>
      <c r="BC177"/>
      <c r="BD177"/>
      <c r="BE177"/>
      <c r="BF177"/>
      <c r="BG177"/>
      <c r="BH177"/>
      <c r="BI177"/>
      <c r="BJ177"/>
      <c r="BK177"/>
      <c r="BL177"/>
      <c r="BM177"/>
      <c r="BN177"/>
      <c r="BO177"/>
      <c r="BP177"/>
      <c r="BQ177"/>
      <c r="BR177"/>
      <c r="BS177"/>
      <c r="BT177"/>
      <c r="BU177"/>
      <c r="BV177"/>
      <c r="BW177"/>
      <c r="BX177"/>
      <c r="BY177"/>
      <c r="BZ177"/>
      <c r="CA177"/>
      <c r="CB177"/>
      <c r="CC177"/>
      <c r="CD177"/>
      <c r="CE177"/>
      <c r="CF177"/>
      <c r="CG177"/>
      <c r="CH177"/>
      <c r="CI177"/>
      <c r="CJ177"/>
      <c r="CK177"/>
      <c r="CL177"/>
      <c r="CM177"/>
      <c r="CN177"/>
      <c r="CO177"/>
      <c r="CP177"/>
      <c r="CQ177"/>
      <c r="CR177"/>
      <c r="CS177"/>
      <c r="CT177"/>
      <c r="CU177"/>
      <c r="CV177"/>
      <c r="CW177"/>
      <c r="CX177"/>
      <c r="CY177"/>
      <c r="CZ177"/>
      <c r="DA177"/>
      <c r="DB177"/>
      <c r="DC177"/>
      <c r="DD177"/>
      <c r="DE177"/>
      <c r="DF177"/>
      <c r="DG177"/>
      <c r="DH177"/>
      <c r="DI177"/>
      <c r="DJ177"/>
      <c r="DK177"/>
      <c r="DL177"/>
      <c r="DM177"/>
      <c r="DN177"/>
      <c r="DO177"/>
    </row>
    <row r="178" spans="1:121" s="16" customFormat="1" x14ac:dyDescent="0.3">
      <c r="A178" t="s">
        <v>32</v>
      </c>
      <c r="B178" t="s">
        <v>290</v>
      </c>
      <c r="C178" t="s">
        <v>309</v>
      </c>
      <c r="D178" s="10">
        <f>D177-D177*inputs!$E$35</f>
        <v>27192.855750674888</v>
      </c>
      <c r="E178" t="str">
        <f t="shared" ca="1" si="3"/>
        <v>=D177-D177*inputs!$E$35</v>
      </c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  <c r="AJ178"/>
      <c r="AK178"/>
      <c r="AL178"/>
      <c r="AM178"/>
      <c r="AN178"/>
      <c r="AO178"/>
      <c r="AP178"/>
      <c r="AQ178"/>
      <c r="AR178"/>
      <c r="AS178"/>
      <c r="AT178"/>
      <c r="AU178"/>
      <c r="AV178"/>
      <c r="AW178"/>
      <c r="AX178"/>
      <c r="AY178"/>
      <c r="AZ178"/>
      <c r="BA178"/>
      <c r="BB178"/>
      <c r="BC178"/>
      <c r="BD178"/>
      <c r="BE178"/>
      <c r="BF178"/>
      <c r="BG178"/>
      <c r="BH178"/>
      <c r="BI178"/>
      <c r="BJ178"/>
      <c r="BK178"/>
      <c r="BL178"/>
      <c r="BM178"/>
      <c r="BN178"/>
      <c r="BO178"/>
      <c r="BP178"/>
      <c r="BQ178"/>
      <c r="BR178"/>
      <c r="BS178"/>
      <c r="BT178"/>
      <c r="BU178"/>
      <c r="BV178"/>
      <c r="BW178"/>
      <c r="BX178"/>
      <c r="BY178"/>
      <c r="BZ178"/>
      <c r="CA178"/>
      <c r="CB178"/>
      <c r="CC178"/>
      <c r="CD178"/>
      <c r="CE178"/>
      <c r="CF178"/>
      <c r="CG178"/>
      <c r="CH178"/>
      <c r="CI178"/>
      <c r="CJ178"/>
      <c r="CK178"/>
      <c r="CL178"/>
      <c r="CM178"/>
      <c r="CN178"/>
      <c r="CO178"/>
      <c r="CP178"/>
      <c r="CQ178"/>
      <c r="CR178"/>
      <c r="CS178"/>
      <c r="CT178"/>
      <c r="CU178"/>
      <c r="CV178"/>
      <c r="CW178"/>
      <c r="CX178"/>
      <c r="CY178"/>
      <c r="CZ178"/>
      <c r="DA178"/>
      <c r="DB178"/>
      <c r="DC178"/>
      <c r="DD178"/>
      <c r="DE178"/>
      <c r="DF178"/>
      <c r="DG178"/>
      <c r="DH178"/>
      <c r="DI178"/>
      <c r="DJ178"/>
      <c r="DK178"/>
      <c r="DL178"/>
      <c r="DM178"/>
      <c r="DN178"/>
      <c r="DO178"/>
    </row>
    <row r="179" spans="1:121" s="16" customFormat="1" x14ac:dyDescent="0.3">
      <c r="A179" t="s">
        <v>32</v>
      </c>
      <c r="B179" t="s">
        <v>290</v>
      </c>
      <c r="C179" t="s">
        <v>310</v>
      </c>
      <c r="D179" s="10">
        <f>D178-D178*inputs!$E$36</f>
        <v>27165.662894924211</v>
      </c>
      <c r="E179" t="str">
        <f t="shared" ca="1" si="3"/>
        <v>=D178-D178*inputs!$E$36</v>
      </c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  <c r="AJ179"/>
      <c r="AK179"/>
      <c r="AL179"/>
      <c r="AM179"/>
      <c r="AN179"/>
      <c r="AO179"/>
      <c r="AP179"/>
      <c r="AQ179"/>
      <c r="AR179"/>
      <c r="AS179"/>
      <c r="AT179"/>
      <c r="AU179"/>
      <c r="AV179"/>
      <c r="AW179"/>
      <c r="AX179"/>
      <c r="AY179"/>
      <c r="AZ179"/>
      <c r="BA179"/>
      <c r="BB179"/>
      <c r="BC179"/>
      <c r="BD179"/>
      <c r="BE179"/>
      <c r="BF179"/>
      <c r="BG179"/>
      <c r="BH179"/>
      <c r="BI179"/>
      <c r="BJ179"/>
      <c r="BK179"/>
      <c r="BL179"/>
      <c r="BM179"/>
      <c r="BN179"/>
      <c r="BO179"/>
      <c r="BP179"/>
      <c r="BQ179"/>
      <c r="BR179"/>
      <c r="BS179"/>
      <c r="BT179"/>
      <c r="BU179"/>
      <c r="BV179"/>
      <c r="BW179"/>
      <c r="BX179"/>
      <c r="BY179"/>
      <c r="BZ179"/>
      <c r="CA179"/>
      <c r="CB179"/>
      <c r="CC179"/>
      <c r="CD179"/>
      <c r="CE179"/>
      <c r="CF179"/>
      <c r="CG179"/>
      <c r="CH179"/>
      <c r="CI179"/>
      <c r="CJ179"/>
      <c r="CK179"/>
      <c r="CL179"/>
      <c r="CM179"/>
      <c r="CN179"/>
      <c r="CO179"/>
      <c r="CP179"/>
      <c r="CQ179"/>
      <c r="CR179"/>
      <c r="CS179"/>
      <c r="CT179"/>
      <c r="CU179"/>
      <c r="CV179"/>
      <c r="CW179"/>
      <c r="CX179"/>
      <c r="CY179"/>
      <c r="CZ179"/>
      <c r="DA179"/>
      <c r="DB179"/>
      <c r="DC179"/>
      <c r="DD179"/>
      <c r="DE179"/>
      <c r="DF179"/>
      <c r="DG179"/>
      <c r="DH179"/>
      <c r="DI179"/>
      <c r="DJ179"/>
      <c r="DK179"/>
      <c r="DL179"/>
      <c r="DM179"/>
      <c r="DN179"/>
      <c r="DO179"/>
    </row>
    <row r="180" spans="1:121" s="16" customFormat="1" x14ac:dyDescent="0.3">
      <c r="A180" t="s">
        <v>32</v>
      </c>
      <c r="B180" t="s">
        <v>290</v>
      </c>
      <c r="C180" t="s">
        <v>311</v>
      </c>
      <c r="D180" s="10">
        <f>D179-D179*inputs!$E$36</f>
        <v>27138.497232029287</v>
      </c>
      <c r="E180" t="str">
        <f t="shared" ca="1" si="3"/>
        <v>=D179-D179*inputs!$E$36</v>
      </c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  <c r="AJ180"/>
      <c r="AK180"/>
      <c r="AL180"/>
      <c r="AM180"/>
      <c r="AN180"/>
      <c r="AO180"/>
      <c r="AP180"/>
      <c r="AQ180"/>
      <c r="AR180"/>
      <c r="AS180"/>
      <c r="AT180"/>
      <c r="AU180"/>
      <c r="AV180"/>
      <c r="AW180"/>
      <c r="AX180"/>
      <c r="AY180"/>
      <c r="AZ180"/>
      <c r="BA180"/>
      <c r="BB180"/>
      <c r="BC180"/>
      <c r="BD180"/>
      <c r="BE180"/>
      <c r="BF180"/>
      <c r="BG180"/>
      <c r="BH180"/>
      <c r="BI180"/>
      <c r="BJ180"/>
      <c r="BK180"/>
      <c r="BL180"/>
      <c r="BM180"/>
      <c r="BN180"/>
      <c r="BO180"/>
      <c r="BP180"/>
      <c r="BQ180"/>
      <c r="BR180"/>
      <c r="BS180"/>
      <c r="BT180"/>
      <c r="BU180"/>
      <c r="BV180"/>
      <c r="BW180"/>
      <c r="BX180"/>
      <c r="BY180"/>
      <c r="BZ180"/>
      <c r="CA180"/>
      <c r="CB180"/>
      <c r="CC180"/>
      <c r="CD180"/>
      <c r="CE180"/>
      <c r="CF180"/>
      <c r="CG180"/>
      <c r="CH180"/>
      <c r="CI180"/>
      <c r="CJ180"/>
      <c r="CK180"/>
      <c r="CL180"/>
      <c r="CM180"/>
      <c r="CN180"/>
      <c r="CO180"/>
      <c r="CP180"/>
      <c r="CQ180"/>
      <c r="CR180"/>
      <c r="CS180"/>
      <c r="CT180"/>
      <c r="CU180"/>
      <c r="CV180"/>
      <c r="CW180"/>
      <c r="CX180"/>
      <c r="CY180"/>
      <c r="CZ180"/>
      <c r="DA180"/>
      <c r="DB180"/>
      <c r="DC180"/>
      <c r="DD180"/>
      <c r="DE180"/>
      <c r="DF180"/>
      <c r="DG180"/>
      <c r="DH180"/>
      <c r="DI180"/>
      <c r="DJ180"/>
      <c r="DK180"/>
      <c r="DL180"/>
      <c r="DM180"/>
      <c r="DN180"/>
      <c r="DO180"/>
    </row>
    <row r="181" spans="1:121" s="16" customFormat="1" x14ac:dyDescent="0.3">
      <c r="A181" t="s">
        <v>32</v>
      </c>
      <c r="B181" t="s">
        <v>290</v>
      </c>
      <c r="C181" t="s">
        <v>312</v>
      </c>
      <c r="D181" s="10">
        <f>D180-D180*inputs!$E$36</f>
        <v>27111.358734797257</v>
      </c>
      <c r="E181" t="str">
        <f t="shared" ca="1" si="3"/>
        <v>=D180-D180*inputs!$E$36</v>
      </c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  <c r="AJ181"/>
      <c r="AK181"/>
      <c r="AL181"/>
      <c r="AM181"/>
      <c r="AN181"/>
      <c r="AO181"/>
      <c r="AP181"/>
      <c r="AQ181"/>
      <c r="AR181"/>
      <c r="AS181"/>
      <c r="AT181"/>
      <c r="AU181"/>
      <c r="AV181"/>
      <c r="AW181"/>
      <c r="AX181"/>
      <c r="AY181"/>
      <c r="AZ181"/>
      <c r="BA181"/>
      <c r="BB181"/>
      <c r="BC181"/>
      <c r="BD181"/>
      <c r="BE181"/>
      <c r="BF181"/>
      <c r="BG181"/>
      <c r="BH181"/>
      <c r="BI181"/>
      <c r="BJ181"/>
      <c r="BK181"/>
      <c r="BL181"/>
      <c r="BM181"/>
      <c r="BN181"/>
      <c r="BO181"/>
      <c r="BP181"/>
      <c r="BQ181"/>
      <c r="BR181"/>
      <c r="BS181"/>
      <c r="BT181"/>
      <c r="BU181"/>
      <c r="BV181"/>
      <c r="BW181"/>
      <c r="BX181"/>
      <c r="BY181"/>
      <c r="BZ181"/>
      <c r="CA181"/>
      <c r="CB181"/>
      <c r="CC181"/>
      <c r="CD181"/>
      <c r="CE181"/>
      <c r="CF181"/>
      <c r="CG181"/>
      <c r="CH181"/>
      <c r="CI181"/>
      <c r="CJ181"/>
      <c r="CK181"/>
      <c r="CL181"/>
      <c r="CM181"/>
      <c r="CN181"/>
      <c r="CO181"/>
      <c r="CP181"/>
      <c r="CQ181"/>
      <c r="CR181"/>
      <c r="CS181"/>
      <c r="CT181"/>
      <c r="CU181"/>
      <c r="CV181"/>
      <c r="CW181"/>
      <c r="CX181"/>
      <c r="CY181"/>
      <c r="CZ181"/>
      <c r="DA181"/>
      <c r="DB181"/>
      <c r="DC181"/>
      <c r="DD181"/>
      <c r="DE181"/>
      <c r="DF181"/>
      <c r="DG181"/>
      <c r="DH181"/>
      <c r="DI181"/>
      <c r="DJ181"/>
      <c r="DK181"/>
      <c r="DL181"/>
      <c r="DM181"/>
      <c r="DN181"/>
      <c r="DO181"/>
    </row>
    <row r="182" spans="1:121" s="16" customFormat="1" x14ac:dyDescent="0.3">
      <c r="A182" t="s">
        <v>32</v>
      </c>
      <c r="B182" t="s">
        <v>290</v>
      </c>
      <c r="C182" t="s">
        <v>313</v>
      </c>
      <c r="D182" s="10">
        <f>D181-D181*inputs!$E$36</f>
        <v>27084.24737606246</v>
      </c>
      <c r="E182" t="str">
        <f t="shared" ca="1" si="3"/>
        <v>=D181-D181*inputs!$E$36</v>
      </c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  <c r="AJ182"/>
      <c r="AK182"/>
      <c r="AL182"/>
      <c r="AM182"/>
      <c r="AN182"/>
      <c r="AO182"/>
      <c r="AP182"/>
      <c r="AQ182"/>
      <c r="AR182"/>
      <c r="AS182"/>
      <c r="AT182"/>
      <c r="AU182"/>
      <c r="AV182"/>
      <c r="AW182"/>
      <c r="AX182"/>
      <c r="AY182"/>
      <c r="AZ182"/>
      <c r="BA182"/>
      <c r="BB182"/>
      <c r="BC182"/>
      <c r="BD182"/>
      <c r="BE182"/>
      <c r="BF182"/>
      <c r="BG182"/>
      <c r="BH182"/>
      <c r="BI182"/>
      <c r="BJ182"/>
      <c r="BK182"/>
      <c r="BL182"/>
      <c r="BM182"/>
      <c r="BN182"/>
      <c r="BO182"/>
      <c r="BP182"/>
      <c r="BQ182"/>
      <c r="BR182"/>
      <c r="BS182"/>
      <c r="BT182"/>
      <c r="BU182"/>
      <c r="BV182"/>
      <c r="BW182"/>
      <c r="BX182"/>
      <c r="BY182"/>
      <c r="BZ182"/>
      <c r="CA182"/>
      <c r="CB182"/>
      <c r="CC182"/>
      <c r="CD182"/>
      <c r="CE182"/>
      <c r="CF182"/>
      <c r="CG182"/>
      <c r="CH182"/>
      <c r="CI182"/>
      <c r="CJ182"/>
      <c r="CK182"/>
      <c r="CL182"/>
      <c r="CM182"/>
      <c r="CN182"/>
      <c r="CO182"/>
      <c r="CP182"/>
      <c r="CQ182"/>
      <c r="CR182"/>
      <c r="CS182"/>
      <c r="CT182"/>
      <c r="CU182"/>
      <c r="CV182"/>
      <c r="CW182"/>
      <c r="CX182"/>
      <c r="CY182"/>
      <c r="CZ182"/>
      <c r="DA182"/>
      <c r="DB182"/>
      <c r="DC182"/>
      <c r="DD182"/>
      <c r="DE182"/>
      <c r="DF182"/>
      <c r="DG182"/>
      <c r="DH182"/>
      <c r="DI182"/>
      <c r="DJ182"/>
      <c r="DK182"/>
      <c r="DL182"/>
      <c r="DM182"/>
      <c r="DN182"/>
      <c r="DO182"/>
    </row>
    <row r="183" spans="1:121" s="16" customFormat="1" x14ac:dyDescent="0.3">
      <c r="A183" t="s">
        <v>32</v>
      </c>
      <c r="B183" t="s">
        <v>290</v>
      </c>
      <c r="C183" t="s">
        <v>314</v>
      </c>
      <c r="D183" s="20">
        <f>D182-D182*inputs!$E$36</f>
        <v>27057.163128686396</v>
      </c>
      <c r="E183" s="19" t="str">
        <f t="shared" ca="1" si="3"/>
        <v>=D182-D182*inputs!$E$36</v>
      </c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  <c r="AJ183"/>
      <c r="AK183"/>
      <c r="AL183"/>
      <c r="AM183"/>
      <c r="AN183"/>
      <c r="AO183"/>
      <c r="AP183"/>
      <c r="AQ183"/>
      <c r="AR183"/>
      <c r="AS183"/>
      <c r="AT183"/>
      <c r="AU183"/>
      <c r="AV183"/>
      <c r="AW183"/>
      <c r="AX183"/>
      <c r="AY183"/>
      <c r="AZ183"/>
      <c r="BA183"/>
      <c r="BB183"/>
      <c r="BC183"/>
      <c r="BD183"/>
      <c r="BE183"/>
      <c r="BF183"/>
      <c r="BG183"/>
      <c r="BH183"/>
      <c r="BI183"/>
      <c r="BJ183"/>
      <c r="BK183"/>
      <c r="BL183"/>
      <c r="BM183"/>
      <c r="BN183"/>
      <c r="BO183"/>
      <c r="BP183"/>
      <c r="BQ183"/>
      <c r="BR183"/>
      <c r="BS183"/>
      <c r="BT183"/>
      <c r="BU183"/>
      <c r="BV183"/>
      <c r="BW183"/>
      <c r="BX183"/>
      <c r="BY183"/>
      <c r="BZ183"/>
      <c r="CA183"/>
      <c r="CB183"/>
      <c r="CC183"/>
      <c r="CD183"/>
      <c r="CE183"/>
      <c r="CF183"/>
      <c r="CG183"/>
      <c r="CH183"/>
      <c r="CI183"/>
      <c r="CJ183"/>
      <c r="CK183"/>
      <c r="CL183"/>
      <c r="CM183"/>
      <c r="CN183"/>
      <c r="CO183"/>
      <c r="CP183"/>
      <c r="CQ183"/>
      <c r="CR183"/>
      <c r="CS183"/>
      <c r="CT183"/>
      <c r="CU183"/>
      <c r="CV183"/>
      <c r="CW183"/>
      <c r="CX183"/>
      <c r="CY183"/>
      <c r="CZ183"/>
      <c r="DA183"/>
      <c r="DB183"/>
      <c r="DC183"/>
      <c r="DD183"/>
      <c r="DE183"/>
      <c r="DF183"/>
      <c r="DG183"/>
      <c r="DH183"/>
      <c r="DI183"/>
      <c r="DJ183"/>
      <c r="DK183"/>
      <c r="DL183"/>
      <c r="DM183"/>
      <c r="DN183"/>
      <c r="DO183"/>
      <c r="DP183"/>
      <c r="DQ183"/>
    </row>
    <row r="184" spans="1:121" s="16" customFormat="1" x14ac:dyDescent="0.3">
      <c r="A184" t="s">
        <v>32</v>
      </c>
      <c r="B184" t="s">
        <v>290</v>
      </c>
      <c r="C184" t="s">
        <v>315</v>
      </c>
      <c r="D184" s="10">
        <f>D183-D183*inputs!$E$37</f>
        <v>27003.048802429024</v>
      </c>
      <c r="E184" t="str">
        <f t="shared" ca="1" si="3"/>
        <v>=D183-D183*inputs!$E$37</v>
      </c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  <c r="AJ184"/>
      <c r="AK184"/>
      <c r="AL184"/>
      <c r="AM184"/>
      <c r="AN184"/>
      <c r="AO184"/>
      <c r="AP184"/>
      <c r="AQ184"/>
      <c r="AR184"/>
      <c r="AS184"/>
      <c r="AT184"/>
      <c r="AU184"/>
      <c r="AV184"/>
      <c r="AW184"/>
      <c r="AX184"/>
      <c r="AY184"/>
      <c r="AZ184"/>
      <c r="BA184"/>
      <c r="BB184"/>
      <c r="BC184"/>
      <c r="BD184"/>
      <c r="BE184"/>
      <c r="BF184"/>
      <c r="BG184"/>
      <c r="BH184"/>
      <c r="BI184"/>
      <c r="BJ184"/>
      <c r="BK184"/>
      <c r="BL184"/>
      <c r="BM184"/>
      <c r="BN184"/>
      <c r="BO184"/>
      <c r="BP184"/>
      <c r="BQ184"/>
      <c r="BR184"/>
      <c r="BS184"/>
      <c r="BT184"/>
      <c r="BU184"/>
      <c r="BV184"/>
      <c r="BW184"/>
      <c r="BX184"/>
      <c r="BY184"/>
      <c r="BZ184"/>
      <c r="CA184"/>
      <c r="CB184"/>
      <c r="CC184"/>
      <c r="CD184"/>
      <c r="CE184"/>
      <c r="CF184"/>
      <c r="CG184"/>
      <c r="CH184"/>
      <c r="CI184"/>
      <c r="CJ184"/>
      <c r="CK184"/>
      <c r="CL184"/>
      <c r="CM184"/>
      <c r="CN184"/>
      <c r="CO184"/>
      <c r="CP184"/>
      <c r="CQ184"/>
      <c r="CR184"/>
      <c r="CS184"/>
      <c r="CT184"/>
      <c r="CU184"/>
      <c r="CV184"/>
      <c r="CW184"/>
      <c r="CX184"/>
      <c r="CY184"/>
      <c r="CZ184"/>
      <c r="DA184"/>
      <c r="DB184"/>
      <c r="DC184"/>
      <c r="DD184"/>
      <c r="DE184"/>
      <c r="DF184"/>
      <c r="DG184"/>
      <c r="DH184"/>
      <c r="DI184"/>
      <c r="DJ184"/>
      <c r="DK184"/>
      <c r="DL184"/>
      <c r="DM184"/>
      <c r="DN184"/>
      <c r="DO184"/>
      <c r="DP184"/>
      <c r="DQ184"/>
    </row>
    <row r="185" spans="1:121" s="16" customFormat="1" x14ac:dyDescent="0.3">
      <c r="A185" t="s">
        <v>32</v>
      </c>
      <c r="B185" t="s">
        <v>290</v>
      </c>
      <c r="C185" t="s">
        <v>316</v>
      </c>
      <c r="D185" s="10">
        <f>D184-D184*inputs!$E$37</f>
        <v>26949.042704824165</v>
      </c>
      <c r="E185" t="str">
        <f t="shared" ca="1" si="3"/>
        <v>=D184-D184*inputs!$E$37</v>
      </c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  <c r="BT185"/>
      <c r="BU185"/>
      <c r="BV185"/>
      <c r="BW185"/>
      <c r="BX185"/>
      <c r="BY185"/>
      <c r="BZ185"/>
      <c r="CA185"/>
      <c r="CB185"/>
      <c r="CC185"/>
      <c r="CD185"/>
      <c r="CE185"/>
      <c r="CF185"/>
      <c r="CG185"/>
      <c r="CH185"/>
      <c r="CI185"/>
      <c r="CJ185"/>
      <c r="CK185"/>
      <c r="CL185"/>
      <c r="CM185"/>
      <c r="CN185"/>
      <c r="CO185"/>
      <c r="CP185"/>
      <c r="CQ185"/>
      <c r="CR185"/>
      <c r="CS185"/>
      <c r="CT185"/>
      <c r="CU185"/>
      <c r="CV185"/>
      <c r="CW185"/>
      <c r="CX185"/>
      <c r="CY185"/>
      <c r="CZ185"/>
      <c r="DA185"/>
      <c r="DB185"/>
      <c r="DC185"/>
      <c r="DD185"/>
      <c r="DE185"/>
      <c r="DF185"/>
      <c r="DG185"/>
      <c r="DH185"/>
      <c r="DI185"/>
      <c r="DJ185"/>
      <c r="DK185"/>
      <c r="DL185"/>
      <c r="DM185"/>
      <c r="DN185"/>
      <c r="DO185"/>
      <c r="DP185"/>
      <c r="DQ185"/>
    </row>
    <row r="186" spans="1:121" s="16" customFormat="1" x14ac:dyDescent="0.3">
      <c r="A186" t="s">
        <v>32</v>
      </c>
      <c r="B186" t="s">
        <v>290</v>
      </c>
      <c r="C186" t="s">
        <v>317</v>
      </c>
      <c r="D186" s="10">
        <f>D185-D185*inputs!$E$37</f>
        <v>26895.144619414517</v>
      </c>
      <c r="E186" t="str">
        <f t="shared" ca="1" si="3"/>
        <v>=D185-D185*inputs!$E$37</v>
      </c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  <c r="BT186"/>
      <c r="BU186"/>
      <c r="BV186"/>
      <c r="BW186"/>
      <c r="BX186"/>
      <c r="BY186"/>
      <c r="BZ186"/>
      <c r="CA186"/>
      <c r="CB186"/>
      <c r="CC186"/>
      <c r="CD186"/>
      <c r="CE186"/>
      <c r="CF186"/>
      <c r="CG186"/>
      <c r="CH186"/>
      <c r="CI186"/>
      <c r="CJ186"/>
      <c r="CK186"/>
      <c r="CL186"/>
      <c r="CM186"/>
      <c r="CN186"/>
      <c r="CO186"/>
      <c r="CP186"/>
      <c r="CQ186"/>
      <c r="CR186"/>
      <c r="CS186"/>
      <c r="CT186"/>
      <c r="CU186"/>
      <c r="CV186"/>
      <c r="CW186"/>
      <c r="CX186"/>
      <c r="CY186"/>
      <c r="CZ186"/>
      <c r="DA186"/>
      <c r="DB186"/>
      <c r="DC186"/>
      <c r="DD186"/>
      <c r="DE186"/>
      <c r="DF186"/>
      <c r="DG186"/>
      <c r="DH186"/>
      <c r="DI186"/>
      <c r="DJ186"/>
      <c r="DK186"/>
      <c r="DL186"/>
      <c r="DM186"/>
      <c r="DN186"/>
      <c r="DO186"/>
      <c r="DP186"/>
      <c r="DQ186"/>
    </row>
    <row r="187" spans="1:121" s="16" customFormat="1" x14ac:dyDescent="0.3">
      <c r="A187" t="s">
        <v>32</v>
      </c>
      <c r="B187" t="s">
        <v>290</v>
      </c>
      <c r="C187" t="s">
        <v>318</v>
      </c>
      <c r="D187" s="10">
        <f>D186-D186*inputs!$E$37</f>
        <v>26841.354330175687</v>
      </c>
      <c r="E187" t="str">
        <f t="shared" ca="1" si="3"/>
        <v>=D186-D186*inputs!$E$37</v>
      </c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  <c r="AJ187"/>
      <c r="AK187"/>
      <c r="AL187"/>
      <c r="AM187"/>
      <c r="AN187"/>
      <c r="AO187"/>
      <c r="AP187"/>
      <c r="AQ187"/>
      <c r="AR187"/>
      <c r="AS187"/>
      <c r="AT187"/>
      <c r="AU187"/>
      <c r="AV187"/>
      <c r="AW187"/>
      <c r="AX187"/>
      <c r="AY187"/>
      <c r="AZ187"/>
      <c r="BA187"/>
      <c r="BB187"/>
      <c r="BC187"/>
      <c r="BD187"/>
      <c r="BE187"/>
      <c r="BF187"/>
      <c r="BG187"/>
      <c r="BH187"/>
      <c r="BI187"/>
      <c r="BJ187"/>
      <c r="BK187"/>
      <c r="BL187"/>
      <c r="BM187"/>
      <c r="BN187"/>
      <c r="BO187"/>
      <c r="BP187"/>
      <c r="BQ187"/>
      <c r="BR187"/>
      <c r="BS187"/>
      <c r="BT187"/>
      <c r="BU187"/>
      <c r="BV187"/>
      <c r="BW187"/>
      <c r="BX187"/>
      <c r="BY187"/>
      <c r="BZ187"/>
      <c r="CA187"/>
      <c r="CB187"/>
      <c r="CC187"/>
      <c r="CD187"/>
      <c r="CE187"/>
      <c r="CF187"/>
      <c r="CG187"/>
      <c r="CH187"/>
      <c r="CI187"/>
      <c r="CJ187"/>
      <c r="CK187"/>
      <c r="CL187"/>
      <c r="CM187"/>
      <c r="CN187"/>
      <c r="CO187"/>
      <c r="CP187"/>
      <c r="CQ187"/>
      <c r="CR187"/>
      <c r="CS187"/>
      <c r="CT187"/>
      <c r="CU187"/>
      <c r="CV187"/>
      <c r="CW187"/>
      <c r="CX187"/>
      <c r="CY187"/>
      <c r="CZ187"/>
      <c r="DA187"/>
      <c r="DB187"/>
      <c r="DC187"/>
      <c r="DD187"/>
      <c r="DE187"/>
      <c r="DF187"/>
      <c r="DG187"/>
      <c r="DH187"/>
      <c r="DI187"/>
      <c r="DJ187"/>
      <c r="DK187"/>
      <c r="DL187"/>
      <c r="DM187"/>
      <c r="DN187"/>
      <c r="DO187"/>
      <c r="DP187"/>
      <c r="DQ187"/>
    </row>
    <row r="188" spans="1:121" s="16" customFormat="1" x14ac:dyDescent="0.3">
      <c r="A188" t="s">
        <v>32</v>
      </c>
      <c r="B188" t="s">
        <v>290</v>
      </c>
      <c r="C188" t="s">
        <v>319</v>
      </c>
      <c r="D188" s="10">
        <f>D187-D187*inputs!$E$38</f>
        <v>26787.671621515336</v>
      </c>
      <c r="E188" t="str">
        <f t="shared" ca="1" si="3"/>
        <v>=D187-D187*inputs!$E$38</v>
      </c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  <c r="AJ188"/>
      <c r="AK188"/>
      <c r="AL188"/>
      <c r="AM188"/>
      <c r="AN188"/>
      <c r="AO188"/>
      <c r="AP188"/>
      <c r="AQ188"/>
      <c r="AR188"/>
      <c r="AS188"/>
      <c r="AT188"/>
      <c r="AU188"/>
      <c r="AV188"/>
      <c r="AW188"/>
      <c r="AX188"/>
      <c r="AY188"/>
      <c r="AZ188"/>
      <c r="BA188"/>
      <c r="BB188"/>
      <c r="BC188"/>
      <c r="BD188"/>
      <c r="BE188"/>
      <c r="BF188"/>
      <c r="BG188"/>
      <c r="BH188"/>
      <c r="BI188"/>
      <c r="BJ188"/>
      <c r="BK188"/>
      <c r="BL188"/>
      <c r="BM188"/>
      <c r="BN188"/>
      <c r="BO188"/>
      <c r="BP188"/>
      <c r="BQ188"/>
      <c r="BR188"/>
      <c r="BS188"/>
      <c r="BT188"/>
      <c r="BU188"/>
      <c r="BV188"/>
      <c r="BW188"/>
      <c r="BX188"/>
      <c r="BY188"/>
      <c r="BZ188"/>
      <c r="CA188"/>
      <c r="CB188"/>
      <c r="CC188"/>
      <c r="CD188"/>
      <c r="CE188"/>
      <c r="CF188"/>
      <c r="CG188"/>
      <c r="CH188"/>
      <c r="CI188"/>
      <c r="CJ188"/>
      <c r="CK188"/>
      <c r="CL188"/>
      <c r="CM188"/>
      <c r="CN188"/>
      <c r="CO188"/>
      <c r="CP188"/>
      <c r="CQ188"/>
      <c r="CR188"/>
      <c r="CS188"/>
      <c r="CT188"/>
      <c r="CU188"/>
      <c r="CV188"/>
      <c r="CW188"/>
      <c r="CX188"/>
      <c r="CY188"/>
      <c r="CZ188"/>
      <c r="DA188"/>
      <c r="DB188"/>
      <c r="DC188"/>
      <c r="DD188"/>
      <c r="DE188"/>
      <c r="DF188"/>
      <c r="DG188"/>
      <c r="DH188"/>
      <c r="DI188"/>
      <c r="DJ188"/>
      <c r="DK188"/>
      <c r="DL188"/>
      <c r="DM188"/>
      <c r="DN188"/>
      <c r="DO188"/>
      <c r="DP188"/>
      <c r="DQ188"/>
    </row>
    <row r="189" spans="1:121" s="16" customFormat="1" x14ac:dyDescent="0.3">
      <c r="A189" t="s">
        <v>32</v>
      </c>
      <c r="B189" t="s">
        <v>290</v>
      </c>
      <c r="C189" t="s">
        <v>320</v>
      </c>
      <c r="D189" s="10">
        <f>D188-D188*inputs!$E$38</f>
        <v>26734.096278272304</v>
      </c>
      <c r="E189" t="str">
        <f t="shared" ca="1" si="3"/>
        <v>=D188-D188*inputs!$E$38</v>
      </c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  <c r="BT189"/>
      <c r="BU189"/>
      <c r="BV189"/>
      <c r="BW189"/>
      <c r="BX189"/>
      <c r="BY189"/>
      <c r="BZ189"/>
      <c r="CA189"/>
      <c r="CB189"/>
      <c r="CC189"/>
      <c r="CD189"/>
      <c r="CE189"/>
      <c r="CF189"/>
      <c r="CG189"/>
      <c r="CH189"/>
      <c r="CI189"/>
      <c r="CJ189"/>
      <c r="CK189"/>
      <c r="CL189"/>
      <c r="CM189"/>
      <c r="CN189"/>
      <c r="CO189"/>
      <c r="CP189"/>
      <c r="CQ189"/>
      <c r="CR189"/>
      <c r="CS189"/>
      <c r="CT189"/>
      <c r="CU189"/>
      <c r="CV189"/>
      <c r="CW189"/>
      <c r="CX189"/>
      <c r="CY189"/>
      <c r="CZ189"/>
      <c r="DA189"/>
      <c r="DB189"/>
      <c r="DC189"/>
      <c r="DD189"/>
      <c r="DE189"/>
      <c r="DF189"/>
      <c r="DG189"/>
      <c r="DH189"/>
      <c r="DI189"/>
      <c r="DJ189"/>
      <c r="DK189"/>
      <c r="DL189"/>
      <c r="DM189"/>
      <c r="DN189"/>
      <c r="DO189"/>
      <c r="DP189"/>
      <c r="DQ189"/>
    </row>
    <row r="190" spans="1:121" s="16" customFormat="1" x14ac:dyDescent="0.3">
      <c r="A190" t="s">
        <v>32</v>
      </c>
      <c r="B190" t="s">
        <v>290</v>
      </c>
      <c r="C190" t="s">
        <v>321</v>
      </c>
      <c r="D190" s="10">
        <f>D189-D189*inputs!$E$38</f>
        <v>26680.628085715758</v>
      </c>
      <c r="E190" t="str">
        <f t="shared" ca="1" si="3"/>
        <v>=D189-D189*inputs!$E$38</v>
      </c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  <c r="BT190"/>
      <c r="BU190"/>
      <c r="BV190"/>
      <c r="BW190"/>
      <c r="BX190"/>
      <c r="BY190"/>
      <c r="BZ190"/>
      <c r="CA190"/>
      <c r="CB190"/>
      <c r="CC190"/>
      <c r="CD190"/>
      <c r="CE190"/>
      <c r="CF190"/>
      <c r="CG190"/>
      <c r="CH190"/>
      <c r="CI190"/>
      <c r="CJ190"/>
      <c r="CK190"/>
      <c r="CL190"/>
      <c r="CM190"/>
      <c r="CN190"/>
      <c r="CO190"/>
      <c r="CP190"/>
      <c r="CQ190"/>
      <c r="CR190"/>
      <c r="CS190"/>
      <c r="CT190"/>
      <c r="CU190"/>
      <c r="CV190"/>
      <c r="CW190"/>
      <c r="CX190"/>
      <c r="CY190"/>
      <c r="CZ190"/>
      <c r="DA190"/>
      <c r="DB190"/>
      <c r="DC190"/>
      <c r="DD190"/>
      <c r="DE190"/>
      <c r="DF190"/>
      <c r="DG190"/>
      <c r="DH190"/>
      <c r="DI190"/>
      <c r="DJ190"/>
      <c r="DK190"/>
      <c r="DL190"/>
      <c r="DM190"/>
      <c r="DN190"/>
      <c r="DO190"/>
      <c r="DP190"/>
      <c r="DQ190"/>
    </row>
    <row r="191" spans="1:121" s="16" customFormat="1" x14ac:dyDescent="0.3">
      <c r="A191" t="s">
        <v>32</v>
      </c>
      <c r="B191" t="s">
        <v>290</v>
      </c>
      <c r="C191" t="s">
        <v>322</v>
      </c>
      <c r="D191" s="10">
        <f>D190-D190*inputs!$E$38</f>
        <v>26627.266829544325</v>
      </c>
      <c r="E191" t="str">
        <f t="shared" ca="1" si="3"/>
        <v>=D190-D190*inputs!$E$38</v>
      </c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  <c r="BT191"/>
      <c r="BU191"/>
      <c r="BV191"/>
      <c r="BW191"/>
      <c r="BX191"/>
      <c r="BY191"/>
      <c r="BZ191"/>
      <c r="CA191"/>
      <c r="CB191"/>
      <c r="CC191"/>
      <c r="CD191"/>
      <c r="CE191"/>
      <c r="CF191"/>
      <c r="CG191"/>
      <c r="CH191"/>
      <c r="CI191"/>
      <c r="CJ191"/>
      <c r="CK191"/>
      <c r="CL191"/>
      <c r="CM191"/>
      <c r="CN191"/>
      <c r="CO191"/>
      <c r="CP191"/>
      <c r="CQ191"/>
      <c r="CR191"/>
      <c r="CS191"/>
      <c r="CT191"/>
      <c r="CU191"/>
      <c r="CV191"/>
      <c r="CW191"/>
      <c r="CX191"/>
      <c r="CY191"/>
      <c r="CZ191"/>
      <c r="DA191"/>
      <c r="DB191"/>
      <c r="DC191"/>
      <c r="DD191"/>
      <c r="DE191"/>
      <c r="DF191"/>
      <c r="DG191"/>
      <c r="DH191"/>
      <c r="DI191"/>
      <c r="DJ191"/>
      <c r="DK191"/>
      <c r="DL191"/>
      <c r="DM191"/>
      <c r="DN191"/>
      <c r="DO191"/>
      <c r="DP191"/>
      <c r="DQ191"/>
    </row>
    <row r="192" spans="1:121" s="16" customFormat="1" x14ac:dyDescent="0.3">
      <c r="A192" t="s">
        <v>32</v>
      </c>
      <c r="B192" t="s">
        <v>290</v>
      </c>
      <c r="C192" t="s">
        <v>323</v>
      </c>
      <c r="D192" s="10">
        <f>D191-D191*inputs!$E$38</f>
        <v>26574.012295885237</v>
      </c>
      <c r="E192" t="str">
        <f t="shared" ca="1" si="3"/>
        <v>=D191-D191*inputs!$E$38</v>
      </c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  <c r="BT192"/>
      <c r="BU192"/>
      <c r="BV192"/>
      <c r="BW192"/>
      <c r="BX192"/>
      <c r="BY192"/>
      <c r="BZ192"/>
      <c r="CA192"/>
      <c r="CB192"/>
      <c r="CC192"/>
      <c r="CD192"/>
      <c r="CE192"/>
      <c r="CF192"/>
      <c r="CG192"/>
      <c r="CH192"/>
      <c r="CI192"/>
      <c r="CJ192"/>
      <c r="CK192"/>
      <c r="CL192"/>
      <c r="CM192"/>
      <c r="CN192"/>
      <c r="CO192"/>
      <c r="CP192"/>
      <c r="CQ192"/>
      <c r="CR192"/>
      <c r="CS192"/>
      <c r="CT192"/>
      <c r="CU192"/>
      <c r="CV192"/>
      <c r="CW192"/>
      <c r="CX192"/>
      <c r="CY192"/>
      <c r="CZ192"/>
      <c r="DA192"/>
      <c r="DB192"/>
      <c r="DC192"/>
      <c r="DD192"/>
      <c r="DE192"/>
      <c r="DF192"/>
      <c r="DG192"/>
      <c r="DH192"/>
      <c r="DI192"/>
      <c r="DJ192"/>
      <c r="DK192"/>
      <c r="DL192"/>
      <c r="DM192"/>
      <c r="DN192"/>
      <c r="DO192"/>
      <c r="DP192"/>
      <c r="DQ192"/>
    </row>
    <row r="193" spans="1:121" s="16" customFormat="1" x14ac:dyDescent="0.3">
      <c r="A193" t="s">
        <v>32</v>
      </c>
      <c r="B193" t="s">
        <v>290</v>
      </c>
      <c r="C193" t="s">
        <v>324</v>
      </c>
      <c r="D193" s="10">
        <f>D192-D192*inputs!$E$38</f>
        <v>26520.864271293467</v>
      </c>
      <c r="E193" t="str">
        <f t="shared" ca="1" si="3"/>
        <v>=D192-D192*inputs!$E$38</v>
      </c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  <c r="BT193"/>
      <c r="BU193"/>
      <c r="BV193"/>
      <c r="BW193"/>
      <c r="BX193"/>
      <c r="BY193"/>
      <c r="BZ193"/>
      <c r="CA193"/>
      <c r="CB193"/>
      <c r="CC193"/>
      <c r="CD193"/>
      <c r="CE193"/>
      <c r="CF193"/>
      <c r="CG193"/>
      <c r="CH193"/>
      <c r="CI193"/>
      <c r="CJ193"/>
      <c r="CK193"/>
      <c r="CL193"/>
      <c r="CM193"/>
      <c r="CN193"/>
      <c r="CO193"/>
      <c r="CP193"/>
      <c r="CQ193"/>
      <c r="CR193"/>
      <c r="CS193"/>
      <c r="CT193"/>
      <c r="CU193"/>
      <c r="CV193"/>
      <c r="CW193"/>
      <c r="CX193"/>
      <c r="CY193"/>
      <c r="CZ193"/>
      <c r="DA193"/>
      <c r="DB193"/>
      <c r="DC193"/>
      <c r="DD193"/>
      <c r="DE193"/>
      <c r="DF193"/>
      <c r="DG193"/>
      <c r="DH193"/>
      <c r="DI193"/>
      <c r="DJ193"/>
      <c r="DK193"/>
      <c r="DL193"/>
      <c r="DM193"/>
      <c r="DN193"/>
      <c r="DO193"/>
      <c r="DP193"/>
      <c r="DQ193"/>
    </row>
    <row r="194" spans="1:121" s="16" customFormat="1" x14ac:dyDescent="0.3">
      <c r="A194" t="s">
        <v>32</v>
      </c>
      <c r="B194" t="s">
        <v>290</v>
      </c>
      <c r="C194" t="s">
        <v>325</v>
      </c>
      <c r="D194" s="10">
        <f>D193-D193*inputs!$E$38</f>
        <v>26467.822542750881</v>
      </c>
      <c r="E194" t="str">
        <f t="shared" ca="1" si="3"/>
        <v>=D193-D193*inputs!$E$38</v>
      </c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  <c r="AJ194"/>
      <c r="AK194"/>
      <c r="AL194"/>
      <c r="AM194"/>
      <c r="AN194"/>
      <c r="AO194"/>
      <c r="AP194"/>
      <c r="AQ194"/>
      <c r="AR194"/>
      <c r="AS194"/>
      <c r="AT194"/>
      <c r="AU194"/>
      <c r="AV194"/>
      <c r="AW194"/>
      <c r="AX194"/>
      <c r="AY194"/>
      <c r="AZ194"/>
      <c r="BA194"/>
      <c r="BB194"/>
      <c r="BC194"/>
      <c r="BD194"/>
      <c r="BE194"/>
      <c r="BF194"/>
      <c r="BG194"/>
      <c r="BH194"/>
      <c r="BI194"/>
      <c r="BJ194"/>
      <c r="BK194"/>
      <c r="BL194"/>
      <c r="BM194"/>
      <c r="BN194"/>
      <c r="BO194"/>
      <c r="BP194"/>
      <c r="BQ194"/>
      <c r="BR194"/>
      <c r="BS194"/>
      <c r="BT194"/>
      <c r="BU194"/>
      <c r="BV194"/>
      <c r="BW194"/>
      <c r="BX194"/>
      <c r="BY194"/>
      <c r="BZ194"/>
      <c r="CA194"/>
      <c r="CB194"/>
      <c r="CC194"/>
      <c r="CD194"/>
      <c r="CE194"/>
      <c r="CF194"/>
      <c r="CG194"/>
      <c r="CH194"/>
      <c r="CI194"/>
      <c r="CJ194"/>
      <c r="CK194"/>
      <c r="CL194"/>
      <c r="CM194"/>
      <c r="CN194"/>
      <c r="CO194"/>
      <c r="CP194"/>
      <c r="CQ194"/>
      <c r="CR194"/>
      <c r="CS194"/>
      <c r="CT194"/>
      <c r="CU194"/>
      <c r="CV194"/>
      <c r="CW194"/>
      <c r="CX194"/>
      <c r="CY194"/>
      <c r="CZ194"/>
      <c r="DA194"/>
      <c r="DB194"/>
      <c r="DC194"/>
      <c r="DD194"/>
      <c r="DE194"/>
      <c r="DF194"/>
      <c r="DG194"/>
      <c r="DH194"/>
      <c r="DI194"/>
      <c r="DJ194"/>
      <c r="DK194"/>
      <c r="DL194"/>
      <c r="DM194"/>
      <c r="DN194"/>
      <c r="DO194"/>
      <c r="DP194"/>
      <c r="DQ194"/>
    </row>
    <row r="195" spans="1:121" s="16" customFormat="1" x14ac:dyDescent="0.3">
      <c r="A195" t="s">
        <v>32</v>
      </c>
      <c r="B195" t="s">
        <v>290</v>
      </c>
      <c r="C195" t="s">
        <v>326</v>
      </c>
      <c r="D195" s="10">
        <f>D194-D194*inputs!$E$38</f>
        <v>26414.886897665379</v>
      </c>
      <c r="E195" t="str">
        <f t="shared" ca="1" si="3"/>
        <v>=D194-D194*inputs!$E$38</v>
      </c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  <c r="AJ195"/>
      <c r="AK195"/>
      <c r="AL195"/>
      <c r="AM195"/>
      <c r="AN195"/>
      <c r="AO195"/>
      <c r="AP195"/>
      <c r="AQ195"/>
      <c r="AR195"/>
      <c r="AS195"/>
      <c r="AT195"/>
      <c r="AU195"/>
      <c r="AV195"/>
      <c r="AW195"/>
      <c r="AX195"/>
      <c r="AY195"/>
      <c r="AZ195"/>
      <c r="BA195"/>
      <c r="BB195"/>
      <c r="BC195"/>
      <c r="BD195"/>
      <c r="BE195"/>
      <c r="BF195"/>
      <c r="BG195"/>
      <c r="BH195"/>
      <c r="BI195"/>
      <c r="BJ195"/>
      <c r="BK195"/>
      <c r="BL195"/>
      <c r="BM195"/>
      <c r="BN195"/>
      <c r="BO195"/>
      <c r="BP195"/>
      <c r="BQ195"/>
      <c r="BR195"/>
      <c r="BS195"/>
      <c r="BT195"/>
      <c r="BU195"/>
      <c r="BV195"/>
      <c r="BW195"/>
      <c r="BX195"/>
      <c r="BY195"/>
      <c r="BZ195"/>
      <c r="CA195"/>
      <c r="CB195"/>
      <c r="CC195"/>
      <c r="CD195"/>
      <c r="CE195"/>
      <c r="CF195"/>
      <c r="CG195"/>
      <c r="CH195"/>
      <c r="CI195"/>
      <c r="CJ195"/>
      <c r="CK195"/>
      <c r="CL195"/>
      <c r="CM195"/>
      <c r="CN195"/>
      <c r="CO195"/>
      <c r="CP195"/>
      <c r="CQ195"/>
      <c r="CR195"/>
      <c r="CS195"/>
      <c r="CT195"/>
      <c r="CU195"/>
      <c r="CV195"/>
      <c r="CW195"/>
      <c r="CX195"/>
      <c r="CY195"/>
      <c r="CZ195"/>
      <c r="DA195"/>
      <c r="DB195"/>
      <c r="DC195"/>
      <c r="DD195"/>
      <c r="DE195"/>
      <c r="DF195"/>
      <c r="DG195"/>
      <c r="DH195"/>
      <c r="DI195"/>
      <c r="DJ195"/>
      <c r="DK195"/>
      <c r="DL195"/>
      <c r="DM195"/>
      <c r="DN195"/>
      <c r="DO195"/>
      <c r="DP195"/>
      <c r="DQ195"/>
    </row>
    <row r="196" spans="1:121" s="16" customFormat="1" x14ac:dyDescent="0.3">
      <c r="A196" t="s">
        <v>32</v>
      </c>
      <c r="B196" t="s">
        <v>290</v>
      </c>
      <c r="C196" t="s">
        <v>327</v>
      </c>
      <c r="D196" s="10">
        <f>D195-D195*inputs!$E$38</f>
        <v>26362.05712387005</v>
      </c>
      <c r="E196" t="str">
        <f t="shared" ca="1" si="3"/>
        <v>=D195-D195*inputs!$E$38</v>
      </c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  <c r="AJ196"/>
      <c r="AK196"/>
      <c r="AL196"/>
      <c r="AM196"/>
      <c r="AN196"/>
      <c r="AO196"/>
      <c r="AP196"/>
      <c r="AQ196"/>
      <c r="AR196"/>
      <c r="AS196"/>
      <c r="AT196"/>
      <c r="AU196"/>
      <c r="AV196"/>
      <c r="AW196"/>
      <c r="AX196"/>
      <c r="AY196"/>
      <c r="AZ196"/>
      <c r="BA196"/>
      <c r="BB196"/>
      <c r="BC196"/>
      <c r="BD196"/>
      <c r="BE196"/>
      <c r="BF196"/>
      <c r="BG196"/>
      <c r="BH196"/>
      <c r="BI196"/>
      <c r="BJ196"/>
      <c r="BK196"/>
      <c r="BL196"/>
      <c r="BM196"/>
      <c r="BN196"/>
      <c r="BO196"/>
      <c r="BP196"/>
      <c r="BQ196"/>
      <c r="BR196"/>
      <c r="BS196"/>
      <c r="BT196"/>
      <c r="BU196"/>
      <c r="BV196"/>
      <c r="BW196"/>
      <c r="BX196"/>
      <c r="BY196"/>
      <c r="BZ196"/>
      <c r="CA196"/>
      <c r="CB196"/>
      <c r="CC196"/>
      <c r="CD196"/>
      <c r="CE196"/>
      <c r="CF196"/>
      <c r="CG196"/>
      <c r="CH196"/>
      <c r="CI196"/>
      <c r="CJ196"/>
      <c r="CK196"/>
      <c r="CL196"/>
      <c r="CM196"/>
      <c r="CN196"/>
      <c r="CO196"/>
      <c r="CP196"/>
      <c r="CQ196"/>
      <c r="CR196"/>
      <c r="CS196"/>
      <c r="CT196"/>
      <c r="CU196"/>
      <c r="CV196"/>
      <c r="CW196"/>
      <c r="CX196"/>
      <c r="CY196"/>
      <c r="CZ196"/>
      <c r="DA196"/>
      <c r="DB196"/>
      <c r="DC196"/>
      <c r="DD196"/>
      <c r="DE196"/>
      <c r="DF196"/>
      <c r="DG196"/>
      <c r="DH196"/>
      <c r="DI196"/>
      <c r="DJ196"/>
      <c r="DK196"/>
      <c r="DL196"/>
      <c r="DM196"/>
      <c r="DN196"/>
      <c r="DO196"/>
      <c r="DP196"/>
      <c r="DQ196"/>
    </row>
    <row r="197" spans="1:121" s="16" customFormat="1" x14ac:dyDescent="0.3">
      <c r="A197" t="s">
        <v>32</v>
      </c>
      <c r="B197" t="s">
        <v>290</v>
      </c>
      <c r="C197" t="s">
        <v>328</v>
      </c>
      <c r="D197" s="10">
        <f>D196-D196*inputs!$E$38</f>
        <v>26309.333009622311</v>
      </c>
      <c r="E197" t="str">
        <f t="shared" ca="1" si="3"/>
        <v>=D196-D196*inputs!$E$38</v>
      </c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  <c r="AJ197"/>
      <c r="AK197"/>
      <c r="AL197"/>
      <c r="AM197"/>
      <c r="AN197"/>
      <c r="AO197"/>
      <c r="AP197"/>
      <c r="AQ197"/>
      <c r="AR197"/>
      <c r="AS197"/>
      <c r="AT197"/>
      <c r="AU197"/>
      <c r="AV197"/>
      <c r="AW197"/>
      <c r="AX197"/>
      <c r="AY197"/>
      <c r="AZ197"/>
      <c r="BA197"/>
      <c r="BB197"/>
      <c r="BC197"/>
      <c r="BD197"/>
      <c r="BE197"/>
      <c r="BF197"/>
      <c r="BG197"/>
      <c r="BH197"/>
      <c r="BI197"/>
      <c r="BJ197"/>
      <c r="BK197"/>
      <c r="BL197"/>
      <c r="BM197"/>
      <c r="BN197"/>
      <c r="BO197"/>
      <c r="BP197"/>
      <c r="BQ197"/>
      <c r="BR197"/>
      <c r="BS197"/>
      <c r="BT197"/>
      <c r="BU197"/>
      <c r="BV197"/>
      <c r="BW197"/>
      <c r="BX197"/>
      <c r="BY197"/>
      <c r="BZ197"/>
      <c r="CA197"/>
      <c r="CB197"/>
      <c r="CC197"/>
      <c r="CD197"/>
      <c r="CE197"/>
      <c r="CF197"/>
      <c r="CG197"/>
      <c r="CH197"/>
      <c r="CI197"/>
      <c r="CJ197"/>
      <c r="CK197"/>
      <c r="CL197"/>
      <c r="CM197"/>
      <c r="CN197"/>
      <c r="CO197"/>
      <c r="CP197"/>
      <c r="CQ197"/>
      <c r="CR197"/>
      <c r="CS197"/>
      <c r="CT197"/>
      <c r="CU197"/>
      <c r="CV197"/>
      <c r="CW197"/>
      <c r="CX197"/>
      <c r="CY197"/>
      <c r="CZ197"/>
      <c r="DA197"/>
      <c r="DB197"/>
      <c r="DC197"/>
      <c r="DD197"/>
      <c r="DE197"/>
      <c r="DF197"/>
      <c r="DG197"/>
      <c r="DH197"/>
      <c r="DI197"/>
      <c r="DJ197"/>
      <c r="DK197"/>
      <c r="DL197"/>
      <c r="DM197"/>
      <c r="DN197"/>
      <c r="DO197"/>
      <c r="DP197"/>
      <c r="DQ197"/>
    </row>
    <row r="198" spans="1:121" s="16" customFormat="1" x14ac:dyDescent="0.3">
      <c r="A198" t="s">
        <v>32</v>
      </c>
      <c r="B198" t="s">
        <v>290</v>
      </c>
      <c r="C198" t="s">
        <v>329</v>
      </c>
      <c r="D198" s="10">
        <f>D197-D197*inputs!$E$38</f>
        <v>26256.714343603067</v>
      </c>
      <c r="E198" t="str">
        <f t="shared" ca="1" si="3"/>
        <v>=D197-D197*inputs!$E$38</v>
      </c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  <c r="AJ198"/>
      <c r="AK198"/>
      <c r="AL198"/>
      <c r="AM198"/>
      <c r="AN198"/>
      <c r="AO198"/>
      <c r="AP198"/>
      <c r="AQ198"/>
      <c r="AR198"/>
      <c r="AS198"/>
      <c r="AT198"/>
      <c r="AU198"/>
      <c r="AV198"/>
      <c r="AW198"/>
      <c r="AX198"/>
      <c r="AY198"/>
      <c r="AZ198"/>
      <c r="BA198"/>
      <c r="BB198"/>
      <c r="BC198"/>
      <c r="BD198"/>
      <c r="BE198"/>
      <c r="BF198"/>
      <c r="BG198"/>
      <c r="BH198"/>
      <c r="BI198"/>
      <c r="BJ198"/>
      <c r="BK198"/>
      <c r="BL198"/>
      <c r="BM198"/>
      <c r="BN198"/>
      <c r="BO198"/>
      <c r="BP198"/>
      <c r="BQ198"/>
      <c r="BR198"/>
      <c r="BS198"/>
      <c r="BT198"/>
      <c r="BU198"/>
      <c r="BV198"/>
      <c r="BW198"/>
      <c r="BX198"/>
      <c r="BY198"/>
      <c r="BZ198"/>
      <c r="CA198"/>
      <c r="CB198"/>
      <c r="CC198"/>
      <c r="CD198"/>
      <c r="CE198"/>
      <c r="CF198"/>
      <c r="CG198"/>
      <c r="CH198"/>
      <c r="CI198"/>
      <c r="CJ198"/>
      <c r="CK198"/>
      <c r="CL198"/>
      <c r="CM198"/>
      <c r="CN198"/>
      <c r="CO198"/>
      <c r="CP198"/>
      <c r="CQ198"/>
      <c r="CR198"/>
      <c r="CS198"/>
      <c r="CT198"/>
      <c r="CU198"/>
      <c r="CV198"/>
      <c r="CW198"/>
      <c r="CX198"/>
      <c r="CY198"/>
      <c r="CZ198"/>
      <c r="DA198"/>
      <c r="DB198"/>
      <c r="DC198"/>
      <c r="DD198"/>
      <c r="DE198"/>
      <c r="DF198"/>
      <c r="DG198"/>
      <c r="DH198"/>
      <c r="DI198"/>
      <c r="DJ198"/>
      <c r="DK198"/>
      <c r="DL198"/>
      <c r="DM198"/>
      <c r="DN198"/>
      <c r="DO198"/>
      <c r="DP198"/>
      <c r="DQ198"/>
    </row>
    <row r="199" spans="1:121" s="14" customFormat="1" x14ac:dyDescent="0.3">
      <c r="A199" t="s">
        <v>32</v>
      </c>
      <c r="B199" t="s">
        <v>290</v>
      </c>
      <c r="C199" t="s">
        <v>330</v>
      </c>
      <c r="D199" s="10">
        <f>$D$156*(1 - inputs!$E$33)</f>
        <v>16246.249198358448</v>
      </c>
      <c r="E199" t="str">
        <f t="shared" ca="1" si="3"/>
        <v>=$D$156*(1 - inputs!$E$33)</v>
      </c>
      <c r="F199" t="s">
        <v>816</v>
      </c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  <c r="AJ199"/>
      <c r="AK199"/>
      <c r="AL199"/>
      <c r="AM199"/>
      <c r="AN199"/>
      <c r="AO199"/>
      <c r="AP199"/>
      <c r="AQ199"/>
      <c r="AR199"/>
      <c r="AS199"/>
      <c r="AT199"/>
      <c r="AU199"/>
      <c r="AV199"/>
      <c r="AW199"/>
      <c r="AX199"/>
      <c r="AY199"/>
      <c r="AZ199"/>
      <c r="BA199"/>
      <c r="BB199"/>
      <c r="BC199"/>
      <c r="BD199"/>
      <c r="BE199"/>
      <c r="BF199"/>
      <c r="BG199"/>
      <c r="BH199"/>
      <c r="BI199"/>
      <c r="BJ199"/>
      <c r="BK199"/>
      <c r="BL199"/>
      <c r="BM199"/>
      <c r="BN199"/>
      <c r="BO199"/>
      <c r="BP199"/>
      <c r="BQ199"/>
      <c r="BR199"/>
      <c r="BS199"/>
      <c r="BT199"/>
      <c r="BU199"/>
      <c r="BV199"/>
      <c r="BW199"/>
      <c r="BX199"/>
      <c r="BY199"/>
      <c r="BZ199"/>
      <c r="CA199"/>
      <c r="CB199"/>
      <c r="CC199"/>
      <c r="CD199"/>
      <c r="CE199"/>
      <c r="CF199"/>
      <c r="CG199"/>
      <c r="CH199"/>
      <c r="CI199"/>
      <c r="CJ199"/>
      <c r="CK199"/>
      <c r="CL199"/>
      <c r="CM199"/>
      <c r="CN199"/>
      <c r="CO199"/>
      <c r="CP199"/>
      <c r="CQ199"/>
      <c r="CR199"/>
      <c r="CS199"/>
      <c r="CT199"/>
      <c r="CU199"/>
      <c r="CV199"/>
      <c r="CW199"/>
      <c r="CX199"/>
      <c r="CY199"/>
      <c r="CZ199"/>
      <c r="DA199"/>
      <c r="DB199"/>
      <c r="DC199"/>
      <c r="DD199"/>
      <c r="DE199"/>
      <c r="DF199"/>
    </row>
    <row r="200" spans="1:121" s="14" customFormat="1" x14ac:dyDescent="0.3">
      <c r="A200" t="s">
        <v>32</v>
      </c>
      <c r="B200" t="s">
        <v>290</v>
      </c>
      <c r="C200" t="s">
        <v>331</v>
      </c>
      <c r="D200" s="10">
        <f>$D$199*(1 - inputs!$E$33)</f>
        <v>16241.375323598941</v>
      </c>
      <c r="E200" t="str">
        <f t="shared" ca="1" si="3"/>
        <v>=$D$199*(1 - inputs!$E$33)</v>
      </c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  <c r="AJ200"/>
      <c r="AK200"/>
      <c r="AL200"/>
      <c r="AM200"/>
      <c r="AN200"/>
      <c r="AO200"/>
      <c r="AP200"/>
      <c r="AQ200"/>
      <c r="AR200"/>
      <c r="AS200"/>
      <c r="AT200"/>
      <c r="AU200"/>
      <c r="AV200"/>
      <c r="AW200"/>
      <c r="AX200"/>
      <c r="AY200"/>
      <c r="AZ200"/>
      <c r="BA200"/>
      <c r="BB200"/>
      <c r="BC200"/>
      <c r="BD200"/>
      <c r="BE200"/>
      <c r="BF200"/>
      <c r="BG200"/>
      <c r="BH200"/>
      <c r="BI200"/>
      <c r="BJ200"/>
      <c r="BK200"/>
      <c r="BL200"/>
      <c r="BM200"/>
      <c r="BN200"/>
      <c r="BO200"/>
      <c r="BP200"/>
      <c r="BQ200"/>
      <c r="BR200"/>
      <c r="BS200"/>
      <c r="BT200"/>
      <c r="BU200"/>
      <c r="BV200"/>
      <c r="BW200"/>
      <c r="BX200"/>
      <c r="BY200"/>
      <c r="BZ200"/>
      <c r="CA200"/>
      <c r="CB200"/>
      <c r="CC200"/>
      <c r="CD200"/>
      <c r="CE200"/>
      <c r="CF200"/>
      <c r="CG200"/>
      <c r="CH200"/>
      <c r="CI200"/>
      <c r="CJ200"/>
      <c r="CK200"/>
      <c r="CL200"/>
      <c r="CM200"/>
      <c r="CN200"/>
      <c r="CO200"/>
      <c r="CP200"/>
      <c r="CQ200"/>
      <c r="CR200"/>
      <c r="CS200"/>
      <c r="CT200"/>
      <c r="CU200"/>
      <c r="CV200"/>
      <c r="CW200"/>
      <c r="CX200"/>
      <c r="CY200"/>
      <c r="CZ200"/>
      <c r="DA200"/>
      <c r="DB200"/>
      <c r="DC200"/>
      <c r="DD200"/>
      <c r="DE200"/>
      <c r="DF200"/>
    </row>
    <row r="201" spans="1:121" s="14" customFormat="1" x14ac:dyDescent="0.3">
      <c r="A201" t="s">
        <v>32</v>
      </c>
      <c r="B201" t="s">
        <v>290</v>
      </c>
      <c r="C201" t="s">
        <v>332</v>
      </c>
      <c r="D201" s="10">
        <f>$D$200*(1 - inputs!$E$33)</f>
        <v>16236.502911001862</v>
      </c>
      <c r="E201" t="str">
        <f t="shared" ca="1" si="3"/>
        <v>=$D$200*(1 - inputs!$E$33)</v>
      </c>
      <c r="F201"/>
      <c r="G201"/>
      <c r="H201"/>
      <c r="I201"/>
      <c r="J201"/>
      <c r="K201"/>
      <c r="L201"/>
      <c r="M201"/>
      <c r="N201"/>
      <c r="O201"/>
      <c r="P201"/>
      <c r="Q201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  <c r="AJ201"/>
      <c r="AK201"/>
      <c r="AL201"/>
      <c r="AM201"/>
      <c r="AN201"/>
      <c r="AO201"/>
      <c r="AP201"/>
      <c r="AQ201"/>
      <c r="AR201"/>
      <c r="AS201"/>
      <c r="AT201"/>
      <c r="AU201"/>
      <c r="AV201"/>
      <c r="AW201"/>
      <c r="AX201"/>
      <c r="AY201"/>
      <c r="AZ201"/>
      <c r="BA201"/>
      <c r="BB201"/>
      <c r="BC201"/>
      <c r="BD201"/>
      <c r="BE201"/>
      <c r="BF201"/>
      <c r="BG201"/>
      <c r="BH201"/>
      <c r="BI201"/>
      <c r="BJ201"/>
      <c r="BK201"/>
      <c r="BL201"/>
      <c r="BM201"/>
      <c r="BN201"/>
      <c r="BO201"/>
      <c r="BP201"/>
      <c r="BQ201"/>
      <c r="BR201"/>
      <c r="BS201"/>
      <c r="BT201"/>
      <c r="BU201"/>
      <c r="BV201"/>
      <c r="BW201"/>
      <c r="BX201"/>
      <c r="BY201"/>
      <c r="BZ201"/>
      <c r="CA201"/>
      <c r="CB201"/>
      <c r="CC201"/>
      <c r="CD201"/>
      <c r="CE201"/>
      <c r="CF201"/>
      <c r="CG201"/>
      <c r="CH201"/>
      <c r="CI201"/>
      <c r="CJ201"/>
      <c r="CK201"/>
      <c r="CL201"/>
      <c r="CM201"/>
      <c r="CN201"/>
      <c r="CO201"/>
      <c r="CP201"/>
      <c r="CQ201"/>
      <c r="CR201"/>
      <c r="CS201"/>
      <c r="CT201"/>
      <c r="CU201"/>
      <c r="CV201"/>
      <c r="CW201"/>
      <c r="CX201"/>
      <c r="CY201"/>
      <c r="CZ201"/>
      <c r="DA201"/>
      <c r="DB201"/>
      <c r="DC201"/>
      <c r="DD201"/>
      <c r="DE201"/>
      <c r="DF201"/>
    </row>
    <row r="202" spans="1:121" s="14" customFormat="1" x14ac:dyDescent="0.3">
      <c r="A202" t="s">
        <v>32</v>
      </c>
      <c r="B202" t="s">
        <v>290</v>
      </c>
      <c r="C202" t="s">
        <v>333</v>
      </c>
      <c r="D202" s="10">
        <f>$D$201*(1 - inputs!$E$33)</f>
        <v>16231.631960128561</v>
      </c>
      <c r="E202" t="str">
        <f t="shared" ca="1" si="3"/>
        <v>=$D$201*(1 - inputs!$E$33)</v>
      </c>
      <c r="F202"/>
      <c r="G202"/>
      <c r="H202"/>
      <c r="I202"/>
      <c r="J202"/>
      <c r="K202"/>
      <c r="L202"/>
      <c r="M202"/>
      <c r="N202"/>
      <c r="O202"/>
      <c r="P202"/>
      <c r="Q202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  <c r="AJ202"/>
      <c r="AK202"/>
      <c r="AL202"/>
      <c r="AM202"/>
      <c r="AN202"/>
      <c r="AO202"/>
      <c r="AP202"/>
      <c r="AQ202"/>
      <c r="AR202"/>
      <c r="AS202"/>
      <c r="AT202"/>
      <c r="AU202"/>
      <c r="AV202"/>
      <c r="AW202"/>
      <c r="AX202"/>
      <c r="AY202"/>
      <c r="AZ202"/>
      <c r="BA202"/>
      <c r="BB202"/>
      <c r="BC202"/>
      <c r="BD202"/>
      <c r="BE202"/>
      <c r="BF202"/>
      <c r="BG202"/>
      <c r="BH202"/>
      <c r="BI202"/>
      <c r="BJ202"/>
      <c r="BK202"/>
      <c r="BL202"/>
      <c r="BM202"/>
      <c r="BN202"/>
      <c r="BO202"/>
      <c r="BP202"/>
      <c r="BQ202"/>
      <c r="BR202"/>
      <c r="BS202"/>
      <c r="BT202"/>
      <c r="BU202"/>
      <c r="BV202"/>
      <c r="BW202"/>
      <c r="BX202"/>
      <c r="BY202"/>
      <c r="BZ202"/>
      <c r="CA202"/>
      <c r="CB202"/>
      <c r="CC202"/>
      <c r="CD202"/>
      <c r="CE202"/>
      <c r="CF202"/>
      <c r="CG202"/>
      <c r="CH202"/>
      <c r="CI202"/>
      <c r="CJ202"/>
      <c r="CK202"/>
      <c r="CL202"/>
      <c r="CM202"/>
      <c r="CN202"/>
      <c r="CO202"/>
      <c r="CP202"/>
      <c r="CQ202"/>
      <c r="CR202"/>
      <c r="CS202"/>
      <c r="CT202"/>
      <c r="CU202"/>
      <c r="CV202"/>
      <c r="CW202"/>
      <c r="CX202"/>
      <c r="CY202"/>
      <c r="CZ202"/>
      <c r="DA202"/>
      <c r="DB202"/>
      <c r="DC202"/>
      <c r="DD202"/>
      <c r="DE202"/>
      <c r="DF202"/>
    </row>
    <row r="203" spans="1:121" s="14" customFormat="1" x14ac:dyDescent="0.3">
      <c r="A203" t="s">
        <v>32</v>
      </c>
      <c r="B203" t="s">
        <v>290</v>
      </c>
      <c r="C203" t="s">
        <v>334</v>
      </c>
      <c r="D203" s="10">
        <f>$D$202*(1 - inputs!$E$34)</f>
        <v>16226.762470540523</v>
      </c>
      <c r="E203" t="str">
        <f t="shared" ca="1" si="3"/>
        <v>=$D$202*(1 - inputs!$E$34)</v>
      </c>
      <c r="F203"/>
      <c r="G203"/>
      <c r="H203"/>
      <c r="I203"/>
      <c r="J203"/>
      <c r="K203"/>
      <c r="L203"/>
      <c r="M203"/>
      <c r="N203"/>
      <c r="O203"/>
      <c r="P203"/>
      <c r="Q203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  <c r="AJ203"/>
      <c r="AK203"/>
      <c r="AL203"/>
      <c r="AM203"/>
      <c r="AN203"/>
      <c r="AO203"/>
      <c r="AP203"/>
      <c r="AQ203"/>
      <c r="AR203"/>
      <c r="AS203"/>
      <c r="AT203"/>
      <c r="AU203"/>
      <c r="AV203"/>
      <c r="AW203"/>
      <c r="AX203"/>
      <c r="AY203"/>
      <c r="AZ203"/>
      <c r="BA203"/>
      <c r="BB203"/>
      <c r="BC203"/>
      <c r="BD203"/>
      <c r="BE203"/>
      <c r="BF203"/>
      <c r="BG203"/>
      <c r="BH203"/>
      <c r="BI203"/>
      <c r="BJ203"/>
      <c r="BK203"/>
      <c r="BL203"/>
      <c r="BM203"/>
      <c r="BN203"/>
      <c r="BO203"/>
      <c r="BP203"/>
      <c r="BQ203"/>
      <c r="BR203"/>
      <c r="BS203"/>
      <c r="BT203"/>
      <c r="BU203"/>
      <c r="BV203"/>
      <c r="BW203"/>
      <c r="BX203"/>
      <c r="BY203"/>
      <c r="BZ203"/>
      <c r="CA203"/>
      <c r="CB203"/>
      <c r="CC203"/>
      <c r="CD203"/>
      <c r="CE203"/>
      <c r="CF203"/>
      <c r="CG203"/>
      <c r="CH203"/>
      <c r="CI203"/>
      <c r="CJ203"/>
      <c r="CK203"/>
      <c r="CL203"/>
      <c r="CM203"/>
      <c r="CN203"/>
      <c r="CO203"/>
      <c r="CP203"/>
      <c r="CQ203"/>
      <c r="CR203"/>
      <c r="CS203"/>
      <c r="CT203"/>
      <c r="CU203"/>
      <c r="CV203"/>
      <c r="CW203"/>
      <c r="CX203"/>
      <c r="CY203"/>
      <c r="CZ203"/>
      <c r="DA203"/>
      <c r="DB203"/>
      <c r="DC203"/>
      <c r="DD203"/>
      <c r="DE203"/>
      <c r="DF203"/>
    </row>
    <row r="204" spans="1:121" s="14" customFormat="1" x14ac:dyDescent="0.3">
      <c r="A204" t="s">
        <v>32</v>
      </c>
      <c r="B204" t="s">
        <v>290</v>
      </c>
      <c r="C204" t="s">
        <v>335</v>
      </c>
      <c r="D204" s="10">
        <f>$D$203*(1 - inputs!$E$34)</f>
        <v>16221.894441799363</v>
      </c>
      <c r="E204" t="str">
        <f t="shared" ca="1" si="3"/>
        <v>=$D$203*(1 - inputs!$E$34)</v>
      </c>
      <c r="F204"/>
      <c r="G204"/>
      <c r="H204"/>
      <c r="I204"/>
      <c r="J204"/>
      <c r="K204"/>
      <c r="L204"/>
      <c r="M204"/>
      <c r="N204"/>
      <c r="O204"/>
      <c r="P204"/>
      <c r="Q204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  <c r="AJ204"/>
      <c r="AK204"/>
      <c r="AL204"/>
      <c r="AM204"/>
      <c r="AN204"/>
      <c r="AO204"/>
      <c r="AP204"/>
      <c r="AQ204"/>
      <c r="AR204"/>
      <c r="AS204"/>
      <c r="AT204"/>
      <c r="AU204"/>
      <c r="AV204"/>
      <c r="AW204"/>
      <c r="AX204"/>
      <c r="AY204"/>
      <c r="AZ204"/>
      <c r="BA204"/>
      <c r="BB204"/>
      <c r="BC204"/>
      <c r="BD204"/>
      <c r="BE204"/>
      <c r="BF204"/>
      <c r="BG204"/>
      <c r="BH204"/>
      <c r="BI204"/>
      <c r="BJ204"/>
      <c r="BK204"/>
      <c r="BL204"/>
      <c r="BM204"/>
      <c r="BN204"/>
      <c r="BO204"/>
      <c r="BP204"/>
      <c r="BQ204"/>
      <c r="BR204"/>
      <c r="BS204"/>
      <c r="BT204"/>
      <c r="BU204"/>
      <c r="BV204"/>
      <c r="BW204"/>
      <c r="BX204"/>
      <c r="BY204"/>
      <c r="BZ204"/>
      <c r="CA204"/>
      <c r="CB204"/>
      <c r="CC204"/>
      <c r="CD204"/>
      <c r="CE204"/>
      <c r="CF204"/>
      <c r="CG204"/>
      <c r="CH204"/>
      <c r="CI204"/>
      <c r="CJ204"/>
      <c r="CK204"/>
      <c r="CL204"/>
      <c r="CM204"/>
      <c r="CN204"/>
      <c r="CO204"/>
      <c r="CP204"/>
      <c r="CQ204"/>
      <c r="CR204"/>
      <c r="CS204"/>
      <c r="CT204"/>
      <c r="CU204"/>
      <c r="CV204"/>
      <c r="CW204"/>
      <c r="CX204"/>
      <c r="CY204"/>
      <c r="CZ204"/>
      <c r="DA204"/>
      <c r="DB204"/>
      <c r="DC204"/>
      <c r="DD204"/>
      <c r="DE204"/>
      <c r="DF204"/>
    </row>
    <row r="205" spans="1:121" s="14" customFormat="1" x14ac:dyDescent="0.3">
      <c r="A205" t="s">
        <v>32</v>
      </c>
      <c r="B205" t="s">
        <v>290</v>
      </c>
      <c r="C205" t="s">
        <v>336</v>
      </c>
      <c r="D205" s="10">
        <f>$D$204*(1 - inputs!$E$34)</f>
        <v>16217.027873466823</v>
      </c>
      <c r="E205" t="str">
        <f t="shared" ca="1" si="3"/>
        <v>=$D$204*(1 - inputs!$E$34)</v>
      </c>
      <c r="F205"/>
      <c r="G205"/>
      <c r="H205"/>
      <c r="I205"/>
      <c r="J205"/>
      <c r="K205"/>
      <c r="L205"/>
      <c r="M205"/>
      <c r="N205"/>
      <c r="O205"/>
      <c r="P205"/>
      <c r="Q205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  <c r="AJ205"/>
      <c r="AK205"/>
      <c r="AL205"/>
      <c r="AM205"/>
      <c r="AN205"/>
      <c r="AO205"/>
      <c r="AP205"/>
      <c r="AQ205"/>
      <c r="AR205"/>
      <c r="AS205"/>
      <c r="AT205"/>
      <c r="AU205"/>
      <c r="AV205"/>
      <c r="AW205"/>
      <c r="AX205"/>
      <c r="AY205"/>
      <c r="AZ205"/>
      <c r="BA205"/>
      <c r="BB205"/>
      <c r="BC205"/>
      <c r="BD205"/>
      <c r="BE205"/>
      <c r="BF205"/>
      <c r="BG205"/>
      <c r="BH205"/>
      <c r="BI205"/>
      <c r="BJ205"/>
      <c r="BK205"/>
      <c r="BL205"/>
      <c r="BM205"/>
      <c r="BN205"/>
      <c r="BO205"/>
      <c r="BP205"/>
      <c r="BQ205"/>
      <c r="BR205"/>
      <c r="BS205"/>
      <c r="BT205"/>
      <c r="BU205"/>
      <c r="BV205"/>
      <c r="BW205"/>
      <c r="BX205"/>
      <c r="BY205"/>
      <c r="BZ205"/>
      <c r="CA205"/>
      <c r="CB205"/>
      <c r="CC205"/>
      <c r="CD205"/>
      <c r="CE205"/>
      <c r="CF205"/>
      <c r="CG205"/>
      <c r="CH205"/>
      <c r="CI205"/>
      <c r="CJ205"/>
      <c r="CK205"/>
      <c r="CL205"/>
      <c r="CM205"/>
      <c r="CN205"/>
      <c r="CO205"/>
      <c r="CP205"/>
      <c r="CQ205"/>
      <c r="CR205"/>
      <c r="CS205"/>
      <c r="CT205"/>
      <c r="CU205"/>
      <c r="CV205"/>
      <c r="CW205"/>
      <c r="CX205"/>
      <c r="CY205"/>
      <c r="CZ205"/>
      <c r="DA205"/>
      <c r="DB205"/>
      <c r="DC205"/>
      <c r="DD205"/>
      <c r="DE205"/>
      <c r="DF205"/>
    </row>
    <row r="206" spans="1:121" s="14" customFormat="1" x14ac:dyDescent="0.3">
      <c r="A206" t="s">
        <v>32</v>
      </c>
      <c r="B206" t="s">
        <v>290</v>
      </c>
      <c r="C206" t="s">
        <v>337</v>
      </c>
      <c r="D206" s="10">
        <f>$D$205*(1 - inputs!$E$34)</f>
        <v>16212.162765104784</v>
      </c>
      <c r="E206" t="str">
        <f t="shared" ca="1" si="3"/>
        <v>=$D$205*(1 - inputs!$E$34)</v>
      </c>
      <c r="F206"/>
      <c r="G206"/>
      <c r="H206"/>
      <c r="I206"/>
      <c r="J206"/>
      <c r="K206"/>
      <c r="L206"/>
      <c r="M206"/>
      <c r="N206"/>
      <c r="O206"/>
      <c r="P206"/>
      <c r="Q20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  <c r="AJ206"/>
      <c r="AK206"/>
      <c r="AL206"/>
      <c r="AM206"/>
      <c r="AN206"/>
      <c r="AO206"/>
      <c r="AP206"/>
      <c r="AQ206"/>
      <c r="AR206"/>
      <c r="AS206"/>
      <c r="AT206"/>
      <c r="AU206"/>
      <c r="AV206"/>
      <c r="AW206"/>
      <c r="AX206"/>
      <c r="AY206"/>
      <c r="AZ206"/>
      <c r="BA206"/>
      <c r="BB206"/>
      <c r="BC206"/>
      <c r="BD206"/>
      <c r="BE206"/>
      <c r="BF206"/>
      <c r="BG206"/>
      <c r="BH206"/>
      <c r="BI206"/>
      <c r="BJ206"/>
      <c r="BK206"/>
      <c r="BL206"/>
      <c r="BM206"/>
      <c r="BN206"/>
      <c r="BO206"/>
      <c r="BP206"/>
      <c r="BQ206"/>
      <c r="BR206"/>
      <c r="BS206"/>
      <c r="BT206"/>
      <c r="BU206"/>
      <c r="BV206"/>
      <c r="BW206"/>
      <c r="BX206"/>
      <c r="BY206"/>
      <c r="BZ206"/>
      <c r="CA206"/>
      <c r="CB206"/>
      <c r="CC206"/>
      <c r="CD206"/>
      <c r="CE206"/>
      <c r="CF206"/>
      <c r="CG206"/>
      <c r="CH206"/>
      <c r="CI206"/>
      <c r="CJ206"/>
      <c r="CK206"/>
      <c r="CL206"/>
      <c r="CM206"/>
      <c r="CN206"/>
      <c r="CO206"/>
      <c r="CP206"/>
      <c r="CQ206"/>
      <c r="CR206"/>
      <c r="CS206"/>
      <c r="CT206"/>
      <c r="CU206"/>
      <c r="CV206"/>
      <c r="CW206"/>
      <c r="CX206"/>
      <c r="CY206"/>
      <c r="CZ206"/>
      <c r="DA206"/>
      <c r="DB206"/>
      <c r="DC206"/>
      <c r="DD206"/>
      <c r="DE206"/>
      <c r="DF206"/>
    </row>
    <row r="207" spans="1:121" s="14" customFormat="1" x14ac:dyDescent="0.3">
      <c r="A207" t="s">
        <v>32</v>
      </c>
      <c r="B207" t="s">
        <v>290</v>
      </c>
      <c r="C207" t="s">
        <v>338</v>
      </c>
      <c r="D207" s="10">
        <f>$D$206*(1 - inputs!$E$34)</f>
        <v>16207.299116275253</v>
      </c>
      <c r="E207" t="str">
        <f t="shared" ca="1" si="3"/>
        <v>=$D$206*(1 - inputs!$E$34)</v>
      </c>
      <c r="F207"/>
      <c r="G207"/>
      <c r="H207"/>
      <c r="I207"/>
      <c r="J207"/>
      <c r="K207"/>
      <c r="L207"/>
      <c r="M207"/>
      <c r="N207"/>
      <c r="O207"/>
      <c r="P207"/>
      <c r="Q207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  <c r="AJ207"/>
      <c r="AK207"/>
      <c r="AL207"/>
      <c r="AM207"/>
      <c r="AN207"/>
      <c r="AO207"/>
      <c r="AP207"/>
      <c r="AQ207"/>
      <c r="AR207"/>
      <c r="AS207"/>
      <c r="AT207"/>
      <c r="AU207"/>
      <c r="AV207"/>
      <c r="AW207"/>
      <c r="AX207"/>
      <c r="AY207"/>
      <c r="AZ207"/>
      <c r="BA207"/>
      <c r="BB207"/>
      <c r="BC207"/>
      <c r="BD207"/>
      <c r="BE207"/>
      <c r="BF207"/>
      <c r="BG207"/>
      <c r="BH207"/>
      <c r="BI207"/>
      <c r="BJ207"/>
      <c r="BK207"/>
      <c r="BL207"/>
      <c r="BM207"/>
      <c r="BN207"/>
      <c r="BO207"/>
      <c r="BP207"/>
      <c r="BQ207"/>
      <c r="BR207"/>
      <c r="BS207"/>
      <c r="BT207"/>
      <c r="BU207"/>
      <c r="BV207"/>
      <c r="BW207"/>
      <c r="BX207"/>
      <c r="BY207"/>
      <c r="BZ207"/>
      <c r="CA207"/>
      <c r="CB207"/>
      <c r="CC207"/>
      <c r="CD207"/>
      <c r="CE207"/>
      <c r="CF207"/>
      <c r="CG207"/>
      <c r="CH207"/>
      <c r="CI207"/>
      <c r="CJ207"/>
      <c r="CK207"/>
      <c r="CL207"/>
      <c r="CM207"/>
      <c r="CN207"/>
      <c r="CO207"/>
      <c r="CP207"/>
      <c r="CQ207"/>
      <c r="CR207"/>
      <c r="CS207"/>
      <c r="CT207"/>
      <c r="CU207"/>
      <c r="CV207"/>
      <c r="CW207"/>
      <c r="CX207"/>
      <c r="CY207"/>
      <c r="CZ207"/>
      <c r="DA207"/>
      <c r="DB207"/>
      <c r="DC207"/>
      <c r="DD207"/>
      <c r="DE207"/>
      <c r="DF207"/>
    </row>
    <row r="208" spans="1:121" s="14" customFormat="1" x14ac:dyDescent="0.3">
      <c r="A208" t="s">
        <v>32</v>
      </c>
      <c r="B208" t="s">
        <v>290</v>
      </c>
      <c r="C208" t="s">
        <v>339</v>
      </c>
      <c r="D208" s="10">
        <f>$D$207*(1 - inputs!$E$35)</f>
        <v>16202.436926540371</v>
      </c>
      <c r="E208" t="str">
        <f t="shared" ca="1" si="3"/>
        <v>=$D$207*(1 - inputs!$E$35)</v>
      </c>
      <c r="F208"/>
      <c r="G208"/>
      <c r="H208"/>
      <c r="I208"/>
      <c r="J208"/>
      <c r="K208"/>
      <c r="L208"/>
      <c r="M208"/>
      <c r="N208"/>
      <c r="O208"/>
      <c r="P208"/>
      <c r="Q208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  <c r="AJ208"/>
      <c r="AK208"/>
      <c r="AL208"/>
      <c r="AM208"/>
      <c r="AN208"/>
      <c r="AO208"/>
      <c r="AP208"/>
      <c r="AQ208"/>
      <c r="AR208"/>
      <c r="AS208"/>
      <c r="AT208"/>
      <c r="AU208"/>
      <c r="AV208"/>
      <c r="AW208"/>
      <c r="AX208"/>
      <c r="AY208"/>
      <c r="AZ208"/>
      <c r="BA208"/>
      <c r="BB208"/>
      <c r="BC208"/>
      <c r="BD208"/>
      <c r="BE208"/>
      <c r="BF208"/>
      <c r="BG208"/>
      <c r="BH208"/>
      <c r="BI208"/>
      <c r="BJ208"/>
      <c r="BK208"/>
      <c r="BL208"/>
      <c r="BM208"/>
      <c r="BN208"/>
      <c r="BO208"/>
      <c r="BP208"/>
      <c r="BQ208"/>
      <c r="BR208"/>
      <c r="BS208"/>
      <c r="BT208"/>
      <c r="BU208"/>
      <c r="BV208"/>
      <c r="BW208"/>
      <c r="BX208"/>
      <c r="BY208"/>
      <c r="BZ208"/>
      <c r="CA208"/>
      <c r="CB208"/>
      <c r="CC208"/>
      <c r="CD208"/>
      <c r="CE208"/>
      <c r="CF208"/>
      <c r="CG208"/>
      <c r="CH208"/>
      <c r="CI208"/>
      <c r="CJ208"/>
      <c r="CK208"/>
      <c r="CL208"/>
      <c r="CM208"/>
      <c r="CN208"/>
      <c r="CO208"/>
      <c r="CP208"/>
      <c r="CQ208"/>
      <c r="CR208"/>
      <c r="CS208"/>
      <c r="CT208"/>
      <c r="CU208"/>
      <c r="CV208"/>
      <c r="CW208"/>
      <c r="CX208"/>
      <c r="CY208"/>
      <c r="CZ208"/>
      <c r="DA208"/>
      <c r="DB208"/>
      <c r="DC208"/>
      <c r="DD208"/>
      <c r="DE208"/>
      <c r="DF208"/>
    </row>
    <row r="209" spans="1:110" s="14" customFormat="1" x14ac:dyDescent="0.3">
      <c r="A209" t="s">
        <v>32</v>
      </c>
      <c r="B209" t="s">
        <v>290</v>
      </c>
      <c r="C209" t="s">
        <v>340</v>
      </c>
      <c r="D209" s="10">
        <f>$D$208*(1 - inputs!$E$35)</f>
        <v>16197.57619546241</v>
      </c>
      <c r="E209" t="str">
        <f t="shared" ca="1" si="3"/>
        <v>=$D$208*(1 - inputs!$E$35)</v>
      </c>
      <c r="F209"/>
      <c r="G209"/>
      <c r="H209"/>
      <c r="I209"/>
      <c r="J209"/>
      <c r="K209"/>
      <c r="L209"/>
      <c r="M209"/>
      <c r="N209"/>
      <c r="O209"/>
      <c r="P209"/>
      <c r="Q209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  <c r="AJ209"/>
      <c r="AK209"/>
      <c r="AL209"/>
      <c r="AM209"/>
      <c r="AN209"/>
      <c r="AO209"/>
      <c r="AP209"/>
      <c r="AQ209"/>
      <c r="AR209"/>
      <c r="AS209"/>
      <c r="AT209"/>
      <c r="AU209"/>
      <c r="AV209"/>
      <c r="AW209"/>
      <c r="AX209"/>
      <c r="AY209"/>
      <c r="AZ209"/>
      <c r="BA209"/>
      <c r="BB209"/>
      <c r="BC209"/>
      <c r="BD209"/>
      <c r="BE209"/>
      <c r="BF209"/>
      <c r="BG209"/>
      <c r="BH209"/>
      <c r="BI209"/>
      <c r="BJ209"/>
      <c r="BK209"/>
      <c r="BL209"/>
      <c r="BM209"/>
      <c r="BN209"/>
      <c r="BO209"/>
      <c r="BP209"/>
      <c r="BQ209"/>
      <c r="BR209"/>
      <c r="BS209"/>
      <c r="BT209"/>
      <c r="BU209"/>
      <c r="BV209"/>
      <c r="BW209"/>
      <c r="BX209"/>
      <c r="BY209"/>
      <c r="BZ209"/>
      <c r="CA209"/>
      <c r="CB209"/>
      <c r="CC209"/>
      <c r="CD209"/>
      <c r="CE209"/>
      <c r="CF209"/>
      <c r="CG209"/>
      <c r="CH209"/>
      <c r="CI209"/>
      <c r="CJ209"/>
      <c r="CK209"/>
      <c r="CL209"/>
      <c r="CM209"/>
      <c r="CN209"/>
      <c r="CO209"/>
      <c r="CP209"/>
      <c r="CQ209"/>
      <c r="CR209"/>
      <c r="CS209"/>
      <c r="CT209"/>
      <c r="CU209"/>
      <c r="CV209"/>
      <c r="CW209"/>
      <c r="CX209"/>
      <c r="CY209"/>
      <c r="CZ209"/>
      <c r="DA209"/>
      <c r="DB209"/>
      <c r="DC209"/>
      <c r="DD209"/>
      <c r="DE209"/>
      <c r="DF209"/>
    </row>
    <row r="210" spans="1:110" s="14" customFormat="1" x14ac:dyDescent="0.3">
      <c r="A210" t="s">
        <v>32</v>
      </c>
      <c r="B210" t="s">
        <v>290</v>
      </c>
      <c r="C210" t="s">
        <v>341</v>
      </c>
      <c r="D210" s="10">
        <f>$D$209*(1 - inputs!$E$35)</f>
        <v>16192.716922603771</v>
      </c>
      <c r="E210" t="str">
        <f t="shared" ca="1" si="3"/>
        <v>=$D$209*(1 - inputs!$E$35)</v>
      </c>
      <c r="F210"/>
      <c r="G210"/>
      <c r="H210"/>
      <c r="I210"/>
      <c r="J210"/>
      <c r="K210"/>
      <c r="L210"/>
      <c r="M210"/>
      <c r="N210"/>
      <c r="O210"/>
      <c r="P210"/>
      <c r="Q210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  <c r="AJ210"/>
      <c r="AK210"/>
      <c r="AL210"/>
      <c r="AM210"/>
      <c r="AN210"/>
      <c r="AO210"/>
      <c r="AP210"/>
      <c r="AQ210"/>
      <c r="AR210"/>
      <c r="AS210"/>
      <c r="AT210"/>
      <c r="AU210"/>
      <c r="AV210"/>
      <c r="AW210"/>
      <c r="AX210"/>
      <c r="AY210"/>
      <c r="AZ210"/>
      <c r="BA210"/>
      <c r="BB210"/>
      <c r="BC210"/>
      <c r="BD210"/>
      <c r="BE210"/>
      <c r="BF210"/>
      <c r="BG210"/>
      <c r="BH210"/>
      <c r="BI210"/>
      <c r="BJ210"/>
      <c r="BK210"/>
      <c r="BL210"/>
      <c r="BM210"/>
      <c r="BN210"/>
      <c r="BO210"/>
      <c r="BP210"/>
      <c r="BQ210"/>
      <c r="BR210"/>
      <c r="BS210"/>
      <c r="BT210"/>
      <c r="BU210"/>
      <c r="BV210"/>
      <c r="BW210"/>
      <c r="BX210"/>
      <c r="BY210"/>
      <c r="BZ210"/>
      <c r="CA210"/>
      <c r="CB210"/>
      <c r="CC210"/>
      <c r="CD210"/>
      <c r="CE210"/>
      <c r="CF210"/>
      <c r="CG210"/>
      <c r="CH210"/>
      <c r="CI210"/>
      <c r="CJ210"/>
      <c r="CK210"/>
      <c r="CL210"/>
      <c r="CM210"/>
      <c r="CN210"/>
      <c r="CO210"/>
      <c r="CP210"/>
      <c r="CQ210"/>
      <c r="CR210"/>
      <c r="CS210"/>
      <c r="CT210"/>
      <c r="CU210"/>
      <c r="CV210"/>
      <c r="CW210"/>
      <c r="CX210"/>
      <c r="CY210"/>
      <c r="CZ210"/>
      <c r="DA210"/>
      <c r="DB210"/>
      <c r="DC210"/>
      <c r="DD210"/>
      <c r="DE210"/>
      <c r="DF210"/>
    </row>
    <row r="211" spans="1:110" s="14" customFormat="1" x14ac:dyDescent="0.3">
      <c r="A211" t="s">
        <v>32</v>
      </c>
      <c r="B211" t="s">
        <v>290</v>
      </c>
      <c r="C211" t="s">
        <v>342</v>
      </c>
      <c r="D211" s="10">
        <f>$D$210*(1 - inputs!$E$35)</f>
        <v>16187.859107526991</v>
      </c>
      <c r="E211" t="str">
        <f t="shared" ca="1" si="3"/>
        <v>=$D$210*(1 - inputs!$E$35)</v>
      </c>
      <c r="F211"/>
      <c r="G211"/>
      <c r="H211"/>
      <c r="I211"/>
      <c r="J211"/>
      <c r="K211"/>
      <c r="L211"/>
      <c r="M211"/>
      <c r="N211"/>
      <c r="O211"/>
      <c r="P211"/>
      <c r="Q211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  <c r="AJ211"/>
      <c r="AK211"/>
      <c r="AL211"/>
      <c r="AM211"/>
      <c r="AN211"/>
      <c r="AO211"/>
      <c r="AP211"/>
      <c r="AQ211"/>
      <c r="AR211"/>
      <c r="AS211"/>
      <c r="AT211"/>
      <c r="AU211"/>
      <c r="AV211"/>
      <c r="AW211"/>
      <c r="AX211"/>
      <c r="AY211"/>
      <c r="AZ211"/>
      <c r="BA211"/>
      <c r="BB211"/>
      <c r="BC211"/>
      <c r="BD211"/>
      <c r="BE211"/>
      <c r="BF211"/>
      <c r="BG211"/>
      <c r="BH211"/>
      <c r="BI211"/>
      <c r="BJ211"/>
      <c r="BK211"/>
      <c r="BL211"/>
      <c r="BM211"/>
      <c r="BN211"/>
      <c r="BO211"/>
      <c r="BP211"/>
      <c r="BQ211"/>
      <c r="BR211"/>
      <c r="BS211"/>
      <c r="BT211"/>
      <c r="BU211"/>
      <c r="BV211"/>
      <c r="BW211"/>
      <c r="BX211"/>
      <c r="BY211"/>
      <c r="BZ211"/>
      <c r="CA211"/>
      <c r="CB211"/>
      <c r="CC211"/>
      <c r="CD211"/>
      <c r="CE211"/>
      <c r="CF211"/>
      <c r="CG211"/>
      <c r="CH211"/>
      <c r="CI211"/>
      <c r="CJ211"/>
      <c r="CK211"/>
      <c r="CL211"/>
      <c r="CM211"/>
      <c r="CN211"/>
      <c r="CO211"/>
      <c r="CP211"/>
      <c r="CQ211"/>
      <c r="CR211"/>
      <c r="CS211"/>
      <c r="CT211"/>
      <c r="CU211"/>
      <c r="CV211"/>
      <c r="CW211"/>
      <c r="CX211"/>
      <c r="CY211"/>
      <c r="CZ211"/>
      <c r="DA211"/>
      <c r="DB211"/>
      <c r="DC211"/>
      <c r="DD211"/>
      <c r="DE211"/>
      <c r="DF211"/>
    </row>
    <row r="212" spans="1:110" s="14" customFormat="1" x14ac:dyDescent="0.3">
      <c r="A212" t="s">
        <v>32</v>
      </c>
      <c r="B212" t="s">
        <v>290</v>
      </c>
      <c r="C212" t="s">
        <v>343</v>
      </c>
      <c r="D212" s="10">
        <f>$D$211*(1 - inputs!$E$35)</f>
        <v>16183.002749794732</v>
      </c>
      <c r="E212" t="str">
        <f t="shared" ca="1" si="3"/>
        <v>=$D$211*(1 - inputs!$E$35)</v>
      </c>
      <c r="F212"/>
      <c r="G212"/>
      <c r="H212"/>
      <c r="I212"/>
      <c r="J212"/>
      <c r="K212"/>
      <c r="L212"/>
      <c r="M212"/>
      <c r="N212"/>
      <c r="O212"/>
      <c r="P212"/>
      <c r="Q212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  <c r="AJ212"/>
      <c r="AK212"/>
      <c r="AL212"/>
      <c r="AM212"/>
      <c r="AN212"/>
      <c r="AO212"/>
      <c r="AP212"/>
      <c r="AQ212"/>
      <c r="AR212"/>
      <c r="AS212"/>
      <c r="AT212"/>
      <c r="AU212"/>
      <c r="AV212"/>
      <c r="AW212"/>
      <c r="AX212"/>
      <c r="AY212"/>
      <c r="AZ212"/>
      <c r="BA212"/>
      <c r="BB212"/>
      <c r="BC212"/>
      <c r="BD212"/>
      <c r="BE212"/>
      <c r="BF212"/>
      <c r="BG212"/>
      <c r="BH212"/>
      <c r="BI212"/>
      <c r="BJ212"/>
      <c r="BK212"/>
      <c r="BL212"/>
      <c r="BM212"/>
      <c r="BN212"/>
      <c r="BO212"/>
      <c r="BP212"/>
      <c r="BQ212"/>
      <c r="BR212"/>
      <c r="BS212"/>
      <c r="BT212"/>
      <c r="BU212"/>
      <c r="BV212"/>
      <c r="BW212"/>
      <c r="BX212"/>
      <c r="BY212"/>
      <c r="BZ212"/>
      <c r="CA212"/>
      <c r="CB212"/>
      <c r="CC212"/>
      <c r="CD212"/>
      <c r="CE212"/>
      <c r="CF212"/>
      <c r="CG212"/>
      <c r="CH212"/>
      <c r="CI212"/>
      <c r="CJ212"/>
      <c r="CK212"/>
      <c r="CL212"/>
      <c r="CM212"/>
      <c r="CN212"/>
      <c r="CO212"/>
      <c r="CP212"/>
      <c r="CQ212"/>
      <c r="CR212"/>
      <c r="CS212"/>
      <c r="CT212"/>
      <c r="CU212"/>
      <c r="CV212"/>
      <c r="CW212"/>
      <c r="CX212"/>
      <c r="CY212"/>
      <c r="CZ212"/>
      <c r="DA212"/>
      <c r="DB212"/>
      <c r="DC212"/>
      <c r="DD212"/>
      <c r="DE212"/>
      <c r="DF212"/>
    </row>
    <row r="213" spans="1:110" s="14" customFormat="1" x14ac:dyDescent="0.3">
      <c r="A213" t="s">
        <v>32</v>
      </c>
      <c r="B213" t="s">
        <v>290</v>
      </c>
      <c r="C213" t="s">
        <v>344</v>
      </c>
      <c r="D213" s="10">
        <f>$D$212*(1 - inputs!$E$35)</f>
        <v>16178.147848969795</v>
      </c>
      <c r="E213" t="str">
        <f t="shared" ca="1" si="3"/>
        <v>=$D$212*(1 - inputs!$E$35)</v>
      </c>
      <c r="F213"/>
      <c r="G213"/>
      <c r="H213"/>
      <c r="I213"/>
      <c r="J213"/>
      <c r="K213"/>
      <c r="L213"/>
      <c r="M213"/>
      <c r="N213"/>
      <c r="O213"/>
      <c r="P213"/>
      <c r="Q213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  <c r="AJ213"/>
      <c r="AK213"/>
      <c r="AL213"/>
      <c r="AM213"/>
      <c r="AN213"/>
      <c r="AO213"/>
      <c r="AP213"/>
      <c r="AQ213"/>
      <c r="AR213"/>
      <c r="AS213"/>
      <c r="AT213"/>
      <c r="AU213"/>
      <c r="AV213"/>
      <c r="AW213"/>
      <c r="AX213"/>
      <c r="AY213"/>
      <c r="AZ213"/>
      <c r="BA213"/>
      <c r="BB213"/>
      <c r="BC213"/>
      <c r="BD213"/>
      <c r="BE213"/>
      <c r="BF213"/>
      <c r="BG213"/>
      <c r="BH213"/>
      <c r="BI213"/>
      <c r="BJ213"/>
      <c r="BK213"/>
      <c r="BL213"/>
      <c r="BM213"/>
      <c r="BN213"/>
      <c r="BO213"/>
      <c r="BP213"/>
      <c r="BQ213"/>
      <c r="BR213"/>
      <c r="BS213"/>
      <c r="BT213"/>
      <c r="BU213"/>
      <c r="BV213"/>
      <c r="BW213"/>
      <c r="BX213"/>
      <c r="BY213"/>
      <c r="BZ213"/>
      <c r="CA213"/>
      <c r="CB213"/>
      <c r="CC213"/>
      <c r="CD213"/>
      <c r="CE213"/>
      <c r="CF213"/>
      <c r="CG213"/>
      <c r="CH213"/>
      <c r="CI213"/>
      <c r="CJ213"/>
      <c r="CK213"/>
      <c r="CL213"/>
      <c r="CM213"/>
      <c r="CN213"/>
      <c r="CO213"/>
      <c r="CP213"/>
      <c r="CQ213"/>
      <c r="CR213"/>
      <c r="CS213"/>
      <c r="CT213"/>
      <c r="CU213"/>
      <c r="CV213"/>
      <c r="CW213"/>
      <c r="CX213"/>
      <c r="CY213"/>
      <c r="CZ213"/>
      <c r="DA213"/>
      <c r="DB213"/>
      <c r="DC213"/>
      <c r="DD213"/>
      <c r="DE213"/>
      <c r="DF213"/>
    </row>
    <row r="214" spans="1:110" s="14" customFormat="1" x14ac:dyDescent="0.3">
      <c r="A214" t="s">
        <v>32</v>
      </c>
      <c r="B214" t="s">
        <v>290</v>
      </c>
      <c r="C214" t="s">
        <v>345</v>
      </c>
      <c r="D214" s="10">
        <f>$D$213*(1 - inputs!$E$35)</f>
        <v>16173.294404615104</v>
      </c>
      <c r="E214" t="str">
        <f t="shared" ca="1" si="3"/>
        <v>=$D$213*(1 - inputs!$E$35)</v>
      </c>
      <c r="F214"/>
      <c r="G214"/>
      <c r="H214"/>
      <c r="I214"/>
      <c r="J214"/>
      <c r="K214"/>
      <c r="L214"/>
      <c r="M214"/>
      <c r="N214"/>
      <c r="O214"/>
      <c r="P214"/>
      <c r="Q214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  <c r="AJ214"/>
      <c r="AK214"/>
      <c r="AL214"/>
      <c r="AM214"/>
      <c r="AN214"/>
      <c r="AO214"/>
      <c r="AP214"/>
      <c r="AQ214"/>
      <c r="AR214"/>
      <c r="AS214"/>
      <c r="AT214"/>
      <c r="AU214"/>
      <c r="AV214"/>
      <c r="AW214"/>
      <c r="AX214"/>
      <c r="AY214"/>
      <c r="AZ214"/>
      <c r="BA214"/>
      <c r="BB214"/>
      <c r="BC214"/>
      <c r="BD214"/>
      <c r="BE214"/>
      <c r="BF214"/>
      <c r="BG214"/>
      <c r="BH214"/>
      <c r="BI214"/>
      <c r="BJ214"/>
      <c r="BK214"/>
      <c r="BL214"/>
      <c r="BM214"/>
      <c r="BN214"/>
      <c r="BO214"/>
      <c r="BP214"/>
      <c r="BQ214"/>
      <c r="BR214"/>
      <c r="BS214"/>
      <c r="BT214"/>
      <c r="BU214"/>
      <c r="BV214"/>
      <c r="BW214"/>
      <c r="BX214"/>
      <c r="BY214"/>
      <c r="BZ214"/>
      <c r="CA214"/>
      <c r="CB214"/>
      <c r="CC214"/>
      <c r="CD214"/>
      <c r="CE214"/>
      <c r="CF214"/>
      <c r="CG214"/>
      <c r="CH214"/>
      <c r="CI214"/>
      <c r="CJ214"/>
      <c r="CK214"/>
      <c r="CL214"/>
      <c r="CM214"/>
      <c r="CN214"/>
      <c r="CO214"/>
      <c r="CP214"/>
      <c r="CQ214"/>
      <c r="CR214"/>
      <c r="CS214"/>
      <c r="CT214"/>
      <c r="CU214"/>
      <c r="CV214"/>
      <c r="CW214"/>
      <c r="CX214"/>
      <c r="CY214"/>
      <c r="CZ214"/>
      <c r="DA214"/>
      <c r="DB214"/>
      <c r="DC214"/>
      <c r="DD214"/>
      <c r="DE214"/>
      <c r="DF214"/>
    </row>
    <row r="215" spans="1:110" s="14" customFormat="1" x14ac:dyDescent="0.3">
      <c r="A215" t="s">
        <v>32</v>
      </c>
      <c r="B215" t="s">
        <v>290</v>
      </c>
      <c r="C215" t="s">
        <v>346</v>
      </c>
      <c r="D215" s="10">
        <f>$D$214*(1 - inputs!$E$35)</f>
        <v>16168.442416293719</v>
      </c>
      <c r="E215" t="str">
        <f t="shared" ref="E215:E279" ca="1" si="4">_xlfn.FORMULATEXT(D215)</f>
        <v>=$D$214*(1 - inputs!$E$35)</v>
      </c>
      <c r="F215"/>
      <c r="G215"/>
      <c r="H215"/>
      <c r="I215"/>
      <c r="J215"/>
      <c r="K215"/>
      <c r="L215"/>
      <c r="M215"/>
      <c r="N215"/>
      <c r="O215"/>
      <c r="P215"/>
      <c r="Q215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  <c r="AJ215"/>
      <c r="AK215"/>
      <c r="AL215"/>
      <c r="AM215"/>
      <c r="AN215"/>
      <c r="AO215"/>
      <c r="AP215"/>
      <c r="AQ215"/>
      <c r="AR215"/>
      <c r="AS215"/>
      <c r="AT215"/>
      <c r="AU215"/>
      <c r="AV215"/>
      <c r="AW215"/>
      <c r="AX215"/>
      <c r="AY215"/>
      <c r="AZ215"/>
      <c r="BA215"/>
      <c r="BB215"/>
      <c r="BC215"/>
      <c r="BD215"/>
      <c r="BE215"/>
      <c r="BF215"/>
      <c r="BG215"/>
      <c r="BH215"/>
      <c r="BI215"/>
      <c r="BJ215"/>
      <c r="BK215"/>
      <c r="BL215"/>
      <c r="BM215"/>
      <c r="BN215"/>
      <c r="BO215"/>
      <c r="BP215"/>
      <c r="BQ215"/>
      <c r="BR215"/>
      <c r="BS215"/>
      <c r="BT215"/>
      <c r="BU215"/>
      <c r="BV215"/>
      <c r="BW215"/>
      <c r="BX215"/>
      <c r="BY215"/>
      <c r="BZ215"/>
      <c r="CA215"/>
      <c r="CB215"/>
      <c r="CC215"/>
      <c r="CD215"/>
      <c r="CE215"/>
      <c r="CF215"/>
      <c r="CG215"/>
      <c r="CH215"/>
      <c r="CI215"/>
      <c r="CJ215"/>
      <c r="CK215"/>
      <c r="CL215"/>
      <c r="CM215"/>
      <c r="CN215"/>
      <c r="CO215"/>
      <c r="CP215"/>
      <c r="CQ215"/>
      <c r="CR215"/>
      <c r="CS215"/>
      <c r="CT215"/>
      <c r="CU215"/>
      <c r="CV215"/>
      <c r="CW215"/>
      <c r="CX215"/>
      <c r="CY215"/>
      <c r="CZ215"/>
      <c r="DA215"/>
      <c r="DB215"/>
      <c r="DC215"/>
      <c r="DD215"/>
      <c r="DE215"/>
      <c r="DF215"/>
    </row>
    <row r="216" spans="1:110" s="14" customFormat="1" x14ac:dyDescent="0.3">
      <c r="A216" t="s">
        <v>32</v>
      </c>
      <c r="B216" t="s">
        <v>290</v>
      </c>
      <c r="C216" t="s">
        <v>347</v>
      </c>
      <c r="D216" s="10">
        <f>$D$215*(1 - inputs!$E$35)</f>
        <v>16163.591883568832</v>
      </c>
      <c r="E216" t="str">
        <f t="shared" ca="1" si="4"/>
        <v>=$D$215*(1 - inputs!$E$35)</v>
      </c>
      <c r="F216"/>
      <c r="G216"/>
      <c r="H216"/>
      <c r="I216"/>
      <c r="J216"/>
      <c r="K216"/>
      <c r="L216"/>
      <c r="M216"/>
      <c r="N216"/>
      <c r="O216"/>
      <c r="P216"/>
      <c r="Q2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  <c r="AJ216"/>
      <c r="AK216"/>
      <c r="AL216"/>
      <c r="AM216"/>
      <c r="AN216"/>
      <c r="AO216"/>
      <c r="AP216"/>
      <c r="AQ216"/>
      <c r="AR216"/>
      <c r="AS216"/>
      <c r="AT216"/>
      <c r="AU216"/>
      <c r="AV216"/>
      <c r="AW216"/>
      <c r="AX216"/>
      <c r="AY216"/>
      <c r="AZ216"/>
      <c r="BA216"/>
      <c r="BB216"/>
      <c r="BC216"/>
      <c r="BD216"/>
      <c r="BE216"/>
      <c r="BF216"/>
      <c r="BG216"/>
      <c r="BH216"/>
      <c r="BI216"/>
      <c r="BJ216"/>
      <c r="BK216"/>
      <c r="BL216"/>
      <c r="BM216"/>
      <c r="BN216"/>
      <c r="BO216"/>
      <c r="BP216"/>
      <c r="BQ216"/>
      <c r="BR216"/>
      <c r="BS216"/>
      <c r="BT216"/>
      <c r="BU216"/>
      <c r="BV216"/>
      <c r="BW216"/>
      <c r="BX216"/>
      <c r="BY216"/>
      <c r="BZ216"/>
      <c r="CA216"/>
      <c r="CB216"/>
      <c r="CC216"/>
      <c r="CD216"/>
      <c r="CE216"/>
      <c r="CF216"/>
      <c r="CG216"/>
      <c r="CH216"/>
      <c r="CI216"/>
      <c r="CJ216"/>
      <c r="CK216"/>
      <c r="CL216"/>
      <c r="CM216"/>
      <c r="CN216"/>
      <c r="CO216"/>
      <c r="CP216"/>
      <c r="CQ216"/>
      <c r="CR216"/>
      <c r="CS216"/>
      <c r="CT216"/>
      <c r="CU216"/>
      <c r="CV216"/>
      <c r="CW216"/>
      <c r="CX216"/>
      <c r="CY216"/>
      <c r="CZ216"/>
      <c r="DA216"/>
      <c r="DB216"/>
      <c r="DC216"/>
      <c r="DD216"/>
      <c r="DE216"/>
      <c r="DF216"/>
    </row>
    <row r="217" spans="1:110" s="14" customFormat="1" x14ac:dyDescent="0.3">
      <c r="A217" t="s">
        <v>32</v>
      </c>
      <c r="B217" t="s">
        <v>290</v>
      </c>
      <c r="C217" t="s">
        <v>348</v>
      </c>
      <c r="D217" s="10">
        <f>$D$216*(1 - inputs!$E$35)</f>
        <v>16158.742806003762</v>
      </c>
      <c r="E217" t="str">
        <f t="shared" ca="1" si="4"/>
        <v>=$D$216*(1 - inputs!$E$35)</v>
      </c>
      <c r="F217"/>
      <c r="G217"/>
      <c r="H217"/>
      <c r="I217"/>
      <c r="J217"/>
      <c r="K217"/>
      <c r="L217"/>
      <c r="M217"/>
      <c r="N217"/>
      <c r="O217"/>
      <c r="P217"/>
      <c r="Q217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  <c r="AJ217"/>
      <c r="AK217"/>
      <c r="AL217"/>
      <c r="AM217"/>
      <c r="AN217"/>
      <c r="AO217"/>
      <c r="AP217"/>
      <c r="AQ217"/>
      <c r="AR217"/>
      <c r="AS217"/>
      <c r="AT217"/>
      <c r="AU217"/>
      <c r="AV217"/>
      <c r="AW217"/>
      <c r="AX217"/>
      <c r="AY217"/>
      <c r="AZ217"/>
      <c r="BA217"/>
      <c r="BB217"/>
      <c r="BC217"/>
      <c r="BD217"/>
      <c r="BE217"/>
      <c r="BF217"/>
      <c r="BG217"/>
      <c r="BH217"/>
      <c r="BI217"/>
      <c r="BJ217"/>
      <c r="BK217"/>
      <c r="BL217"/>
      <c r="BM217"/>
      <c r="BN217"/>
      <c r="BO217"/>
      <c r="BP217"/>
      <c r="BQ217"/>
      <c r="BR217"/>
      <c r="BS217"/>
      <c r="BT217"/>
      <c r="BU217"/>
      <c r="BV217"/>
      <c r="BW217"/>
      <c r="BX217"/>
      <c r="BY217"/>
      <c r="BZ217"/>
      <c r="CA217"/>
      <c r="CB217"/>
      <c r="CC217"/>
      <c r="CD217"/>
      <c r="CE217"/>
      <c r="CF217"/>
      <c r="CG217"/>
      <c r="CH217"/>
      <c r="CI217"/>
      <c r="CJ217"/>
      <c r="CK217"/>
      <c r="CL217"/>
      <c r="CM217"/>
      <c r="CN217"/>
      <c r="CO217"/>
      <c r="CP217"/>
      <c r="CQ217"/>
      <c r="CR217"/>
      <c r="CS217"/>
      <c r="CT217"/>
      <c r="CU217"/>
      <c r="CV217"/>
      <c r="CW217"/>
      <c r="CX217"/>
      <c r="CY217"/>
      <c r="CZ217"/>
      <c r="DA217"/>
      <c r="DB217"/>
      <c r="DC217"/>
      <c r="DD217"/>
      <c r="DE217"/>
      <c r="DF217"/>
    </row>
    <row r="218" spans="1:110" s="14" customFormat="1" x14ac:dyDescent="0.3">
      <c r="A218" t="s">
        <v>32</v>
      </c>
      <c r="B218" t="s">
        <v>290</v>
      </c>
      <c r="C218" t="s">
        <v>349</v>
      </c>
      <c r="D218" s="10">
        <f>$D$217*(1 - inputs!$E$36)</f>
        <v>16142.584063197759</v>
      </c>
      <c r="E218" t="str">
        <f t="shared" ca="1" si="4"/>
        <v>=$D$217*(1 - inputs!$E$36)</v>
      </c>
      <c r="F218"/>
      <c r="G218"/>
      <c r="H218"/>
      <c r="I218"/>
      <c r="J218"/>
      <c r="K218"/>
      <c r="L218"/>
      <c r="M218"/>
      <c r="N218"/>
      <c r="O218"/>
      <c r="P218"/>
      <c r="Q218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  <c r="AJ218"/>
      <c r="AK218"/>
      <c r="AL218"/>
      <c r="AM218"/>
      <c r="AN218"/>
      <c r="AO218"/>
      <c r="AP218"/>
      <c r="AQ218"/>
      <c r="AR218"/>
      <c r="AS218"/>
      <c r="AT218"/>
      <c r="AU218"/>
      <c r="AV218"/>
      <c r="AW218"/>
      <c r="AX218"/>
      <c r="AY218"/>
      <c r="AZ218"/>
      <c r="BA218"/>
      <c r="BB218"/>
      <c r="BC218"/>
      <c r="BD218"/>
      <c r="BE218"/>
      <c r="BF218"/>
      <c r="BG218"/>
      <c r="BH218"/>
      <c r="BI218"/>
      <c r="BJ218"/>
      <c r="BK218"/>
      <c r="BL218"/>
      <c r="BM218"/>
      <c r="BN218"/>
      <c r="BO218"/>
      <c r="BP218"/>
      <c r="BQ218"/>
      <c r="BR218"/>
      <c r="BS218"/>
      <c r="BT218"/>
      <c r="BU218"/>
      <c r="BV218"/>
      <c r="BW218"/>
      <c r="BX218"/>
      <c r="BY218"/>
      <c r="BZ218"/>
      <c r="CA218"/>
      <c r="CB218"/>
      <c r="CC218"/>
      <c r="CD218"/>
      <c r="CE218"/>
      <c r="CF218"/>
      <c r="CG218"/>
      <c r="CH218"/>
      <c r="CI218"/>
      <c r="CJ218"/>
      <c r="CK218"/>
      <c r="CL218"/>
      <c r="CM218"/>
      <c r="CN218"/>
      <c r="CO218"/>
      <c r="CP218"/>
      <c r="CQ218"/>
      <c r="CR218"/>
      <c r="CS218"/>
      <c r="CT218"/>
      <c r="CU218"/>
      <c r="CV218"/>
      <c r="CW218"/>
      <c r="CX218"/>
      <c r="CY218"/>
      <c r="CZ218"/>
      <c r="DA218"/>
      <c r="DB218"/>
      <c r="DC218"/>
      <c r="DD218"/>
      <c r="DE218"/>
      <c r="DF218"/>
    </row>
    <row r="219" spans="1:110" s="14" customFormat="1" x14ac:dyDescent="0.3">
      <c r="A219" t="s">
        <v>32</v>
      </c>
      <c r="B219" t="s">
        <v>290</v>
      </c>
      <c r="C219" t="s">
        <v>350</v>
      </c>
      <c r="D219" s="10">
        <f>$D$218*(1 - inputs!$E$36)</f>
        <v>16126.441479134561</v>
      </c>
      <c r="E219" t="str">
        <f t="shared" ca="1" si="4"/>
        <v>=$D$218*(1 - inputs!$E$36)</v>
      </c>
      <c r="F219"/>
      <c r="G219"/>
      <c r="H219"/>
      <c r="I219"/>
      <c r="J219"/>
      <c r="K219"/>
      <c r="L219"/>
      <c r="M219"/>
      <c r="N219"/>
      <c r="O219"/>
      <c r="P219"/>
      <c r="Q219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  <c r="AJ219"/>
      <c r="AK219"/>
      <c r="AL219"/>
      <c r="AM219"/>
      <c r="AN219"/>
      <c r="AO219"/>
      <c r="AP219"/>
      <c r="AQ219"/>
      <c r="AR219"/>
      <c r="AS219"/>
      <c r="AT219"/>
      <c r="AU219"/>
      <c r="AV219"/>
      <c r="AW219"/>
      <c r="AX219"/>
      <c r="AY219"/>
      <c r="AZ219"/>
      <c r="BA219"/>
      <c r="BB219"/>
      <c r="BC219"/>
      <c r="BD219"/>
      <c r="BE219"/>
      <c r="BF219"/>
      <c r="BG219"/>
      <c r="BH219"/>
      <c r="BI219"/>
      <c r="BJ219"/>
      <c r="BK219"/>
      <c r="BL219"/>
      <c r="BM219"/>
      <c r="BN219"/>
      <c r="BO219"/>
      <c r="BP219"/>
      <c r="BQ219"/>
      <c r="BR219"/>
      <c r="BS219"/>
      <c r="BT219"/>
      <c r="BU219"/>
      <c r="BV219"/>
      <c r="BW219"/>
      <c r="BX219"/>
      <c r="BY219"/>
      <c r="BZ219"/>
      <c r="CA219"/>
      <c r="CB219"/>
      <c r="CC219"/>
      <c r="CD219"/>
      <c r="CE219"/>
      <c r="CF219"/>
      <c r="CG219"/>
      <c r="CH219"/>
      <c r="CI219"/>
      <c r="CJ219"/>
      <c r="CK219"/>
      <c r="CL219"/>
      <c r="CM219"/>
      <c r="CN219"/>
      <c r="CO219"/>
      <c r="CP219"/>
      <c r="CQ219"/>
      <c r="CR219"/>
      <c r="CS219"/>
      <c r="CT219"/>
      <c r="CU219"/>
      <c r="CV219"/>
      <c r="CW219"/>
      <c r="CX219"/>
      <c r="CY219"/>
      <c r="CZ219"/>
      <c r="DA219"/>
      <c r="DB219"/>
      <c r="DC219"/>
      <c r="DD219"/>
      <c r="DE219"/>
      <c r="DF219"/>
    </row>
    <row r="220" spans="1:110" s="14" customFormat="1" x14ac:dyDescent="0.3">
      <c r="A220" t="s">
        <v>32</v>
      </c>
      <c r="B220" t="s">
        <v>290</v>
      </c>
      <c r="C220" t="s">
        <v>351</v>
      </c>
      <c r="D220" s="10">
        <f>$D$219*(1 - inputs!$E$36)</f>
        <v>16110.315037655426</v>
      </c>
      <c r="E220" t="str">
        <f t="shared" ca="1" si="4"/>
        <v>=$D$219*(1 - inputs!$E$36)</v>
      </c>
      <c r="F220"/>
      <c r="G220"/>
      <c r="H220"/>
      <c r="I220"/>
      <c r="J220"/>
      <c r="K220"/>
      <c r="L220"/>
      <c r="M220"/>
      <c r="N220"/>
      <c r="O220"/>
      <c r="P220"/>
      <c r="Q220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  <c r="AJ220"/>
      <c r="AK220"/>
      <c r="AL220"/>
      <c r="AM220"/>
      <c r="AN220"/>
      <c r="AO220"/>
      <c r="AP220"/>
      <c r="AQ220"/>
      <c r="AR220"/>
      <c r="AS220"/>
      <c r="AT220"/>
      <c r="AU220"/>
      <c r="AV220"/>
      <c r="AW220"/>
      <c r="AX220"/>
      <c r="AY220"/>
      <c r="AZ220"/>
      <c r="BA220"/>
      <c r="BB220"/>
      <c r="BC220"/>
      <c r="BD220"/>
      <c r="BE220"/>
      <c r="BF220"/>
      <c r="BG220"/>
      <c r="BH220"/>
      <c r="BI220"/>
      <c r="BJ220"/>
      <c r="BK220"/>
      <c r="BL220"/>
      <c r="BM220"/>
      <c r="BN220"/>
      <c r="BO220"/>
      <c r="BP220"/>
      <c r="BQ220"/>
      <c r="BR220"/>
      <c r="BS220"/>
      <c r="BT220"/>
      <c r="BU220"/>
      <c r="BV220"/>
      <c r="BW220"/>
      <c r="BX220"/>
      <c r="BY220"/>
      <c r="BZ220"/>
      <c r="CA220"/>
      <c r="CB220"/>
      <c r="CC220"/>
      <c r="CD220"/>
      <c r="CE220"/>
      <c r="CF220"/>
      <c r="CG220"/>
      <c r="CH220"/>
      <c r="CI220"/>
      <c r="CJ220"/>
      <c r="CK220"/>
      <c r="CL220"/>
      <c r="CM220"/>
      <c r="CN220"/>
      <c r="CO220"/>
      <c r="CP220"/>
      <c r="CQ220"/>
      <c r="CR220"/>
      <c r="CS220"/>
      <c r="CT220"/>
      <c r="CU220"/>
      <c r="CV220"/>
      <c r="CW220"/>
      <c r="CX220"/>
      <c r="CY220"/>
      <c r="CZ220"/>
      <c r="DA220"/>
      <c r="DB220"/>
      <c r="DC220"/>
      <c r="DD220"/>
      <c r="DE220"/>
      <c r="DF220"/>
    </row>
    <row r="221" spans="1:110" s="14" customFormat="1" x14ac:dyDescent="0.3">
      <c r="A221" t="s">
        <v>32</v>
      </c>
      <c r="B221" t="s">
        <v>290</v>
      </c>
      <c r="C221" t="s">
        <v>352</v>
      </c>
      <c r="D221" s="10">
        <f>$D$220*(1 - inputs!$E$36)</f>
        <v>16094.204722617771</v>
      </c>
      <c r="E221" t="str">
        <f t="shared" ca="1" si="4"/>
        <v>=$D$220*(1 - inputs!$E$36)</v>
      </c>
      <c r="F221"/>
      <c r="G221"/>
      <c r="H221"/>
      <c r="I221"/>
      <c r="J221"/>
      <c r="K221"/>
      <c r="L221"/>
      <c r="M221"/>
      <c r="N221"/>
      <c r="O221"/>
      <c r="P221"/>
      <c r="Q221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  <c r="AJ221"/>
      <c r="AK221"/>
      <c r="AL221"/>
      <c r="AM221"/>
      <c r="AN221"/>
      <c r="AO221"/>
      <c r="AP221"/>
      <c r="AQ221"/>
      <c r="AR221"/>
      <c r="AS221"/>
      <c r="AT221"/>
      <c r="AU221"/>
      <c r="AV221"/>
      <c r="AW221"/>
      <c r="AX221"/>
      <c r="AY221"/>
      <c r="AZ221"/>
      <c r="BA221"/>
      <c r="BB221"/>
      <c r="BC221"/>
      <c r="BD221"/>
      <c r="BE221"/>
      <c r="BF221"/>
      <c r="BG221"/>
      <c r="BH221"/>
      <c r="BI221"/>
      <c r="BJ221"/>
      <c r="BK221"/>
      <c r="BL221"/>
      <c r="BM221"/>
      <c r="BN221"/>
      <c r="BO221"/>
      <c r="BP221"/>
      <c r="BQ221"/>
      <c r="BR221"/>
      <c r="BS221"/>
      <c r="BT221"/>
      <c r="BU221"/>
      <c r="BV221"/>
      <c r="BW221"/>
      <c r="BX221"/>
      <c r="BY221"/>
      <c r="BZ221"/>
      <c r="CA221"/>
      <c r="CB221"/>
      <c r="CC221"/>
      <c r="CD221"/>
      <c r="CE221"/>
      <c r="CF221"/>
      <c r="CG221"/>
      <c r="CH221"/>
      <c r="CI221"/>
      <c r="CJ221"/>
      <c r="CK221"/>
      <c r="CL221"/>
      <c r="CM221"/>
      <c r="CN221"/>
      <c r="CO221"/>
      <c r="CP221"/>
      <c r="CQ221"/>
      <c r="CR221"/>
      <c r="CS221"/>
      <c r="CT221"/>
      <c r="CU221"/>
      <c r="CV221"/>
      <c r="CW221"/>
      <c r="CX221"/>
      <c r="CY221"/>
      <c r="CZ221"/>
      <c r="DA221"/>
      <c r="DB221"/>
      <c r="DC221"/>
      <c r="DD221"/>
      <c r="DE221"/>
      <c r="DF221"/>
    </row>
    <row r="222" spans="1:110" s="14" customFormat="1" x14ac:dyDescent="0.3">
      <c r="A222" t="s">
        <v>32</v>
      </c>
      <c r="B222" t="s">
        <v>290</v>
      </c>
      <c r="C222" t="s">
        <v>353</v>
      </c>
      <c r="D222" s="10">
        <f>$D$221*(1 - inputs!$E$36)</f>
        <v>16078.110517895153</v>
      </c>
      <c r="E222" t="str">
        <f t="shared" ca="1" si="4"/>
        <v>=$D$221*(1 - inputs!$E$36)</v>
      </c>
      <c r="F222"/>
      <c r="G222"/>
      <c r="H222"/>
      <c r="I222"/>
      <c r="J222"/>
      <c r="K222"/>
      <c r="L222"/>
      <c r="M222"/>
      <c r="N222"/>
      <c r="O222"/>
      <c r="P222"/>
      <c r="Q222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  <c r="AJ222"/>
      <c r="AK222"/>
      <c r="AL222"/>
      <c r="AM222"/>
      <c r="AN222"/>
      <c r="AO222"/>
      <c r="AP222"/>
      <c r="AQ222"/>
      <c r="AR222"/>
      <c r="AS222"/>
      <c r="AT222"/>
      <c r="AU222"/>
      <c r="AV222"/>
      <c r="AW222"/>
      <c r="AX222"/>
      <c r="AY222"/>
      <c r="AZ222"/>
      <c r="BA222"/>
      <c r="BB222"/>
      <c r="BC222"/>
      <c r="BD222"/>
      <c r="BE222"/>
      <c r="BF222"/>
      <c r="BG222"/>
      <c r="BH222"/>
      <c r="BI222"/>
      <c r="BJ222"/>
      <c r="BK222"/>
      <c r="BL222"/>
      <c r="BM222"/>
      <c r="BN222"/>
      <c r="BO222"/>
      <c r="BP222"/>
      <c r="BQ222"/>
      <c r="BR222"/>
      <c r="BS222"/>
      <c r="BT222"/>
      <c r="BU222"/>
      <c r="BV222"/>
      <c r="BW222"/>
      <c r="BX222"/>
      <c r="BY222"/>
      <c r="BZ222"/>
      <c r="CA222"/>
      <c r="CB222"/>
      <c r="CC222"/>
      <c r="CD222"/>
      <c r="CE222"/>
      <c r="CF222"/>
      <c r="CG222"/>
      <c r="CH222"/>
      <c r="CI222"/>
      <c r="CJ222"/>
      <c r="CK222"/>
      <c r="CL222"/>
      <c r="CM222"/>
      <c r="CN222"/>
      <c r="CO222"/>
      <c r="CP222"/>
      <c r="CQ222"/>
      <c r="CR222"/>
      <c r="CS222"/>
      <c r="CT222"/>
      <c r="CU222"/>
      <c r="CV222"/>
      <c r="CW222"/>
      <c r="CX222"/>
      <c r="CY222"/>
      <c r="CZ222"/>
      <c r="DA222"/>
      <c r="DB222"/>
      <c r="DC222"/>
      <c r="DD222"/>
      <c r="DE222"/>
      <c r="DF222"/>
    </row>
    <row r="223" spans="1:110" s="14" customFormat="1" x14ac:dyDescent="0.3">
      <c r="A223" t="s">
        <v>32</v>
      </c>
      <c r="B223" t="s">
        <v>290</v>
      </c>
      <c r="C223" t="s">
        <v>354</v>
      </c>
      <c r="D223" s="10">
        <f>$D$222*(1 - inputs!$E$37)</f>
        <v>16045.954296859363</v>
      </c>
      <c r="E223" t="str">
        <f t="shared" ca="1" si="4"/>
        <v>=$D$222*(1 - inputs!$E$37)</v>
      </c>
      <c r="F223"/>
      <c r="G223"/>
      <c r="H223"/>
      <c r="I223"/>
      <c r="J223"/>
      <c r="K223"/>
      <c r="L223"/>
      <c r="M223"/>
      <c r="N223"/>
      <c r="O223"/>
      <c r="P223"/>
      <c r="Q223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  <c r="AJ223"/>
      <c r="AK223"/>
      <c r="AL223"/>
      <c r="AM223"/>
      <c r="AN223"/>
      <c r="AO223"/>
      <c r="AP223"/>
      <c r="AQ223"/>
      <c r="AR223"/>
      <c r="AS223"/>
      <c r="AT223"/>
      <c r="AU223"/>
      <c r="AV223"/>
      <c r="AW223"/>
      <c r="AX223"/>
      <c r="AY223"/>
      <c r="AZ223"/>
      <c r="BA223"/>
      <c r="BB223"/>
      <c r="BC223"/>
      <c r="BD223"/>
      <c r="BE223"/>
      <c r="BF223"/>
      <c r="BG223"/>
      <c r="BH223"/>
      <c r="BI223"/>
      <c r="BJ223"/>
      <c r="BK223"/>
      <c r="BL223"/>
      <c r="BM223"/>
      <c r="BN223"/>
      <c r="BO223"/>
      <c r="BP223"/>
      <c r="BQ223"/>
      <c r="BR223"/>
      <c r="BS223"/>
      <c r="BT223"/>
      <c r="BU223"/>
      <c r="BV223"/>
      <c r="BW223"/>
      <c r="BX223"/>
      <c r="BY223"/>
      <c r="BZ223"/>
      <c r="CA223"/>
      <c r="CB223"/>
      <c r="CC223"/>
      <c r="CD223"/>
      <c r="CE223"/>
      <c r="CF223"/>
      <c r="CG223"/>
      <c r="CH223"/>
      <c r="CI223"/>
      <c r="CJ223"/>
      <c r="CK223"/>
      <c r="CL223"/>
      <c r="CM223"/>
      <c r="CN223"/>
      <c r="CO223"/>
      <c r="CP223"/>
      <c r="CQ223"/>
      <c r="CR223"/>
      <c r="CS223"/>
      <c r="CT223"/>
      <c r="CU223"/>
      <c r="CV223"/>
      <c r="CW223"/>
      <c r="CX223"/>
      <c r="CY223"/>
      <c r="CZ223"/>
      <c r="DA223"/>
      <c r="DB223"/>
      <c r="DC223"/>
      <c r="DD223"/>
      <c r="DE223"/>
      <c r="DF223"/>
    </row>
    <row r="224" spans="1:110" s="14" customFormat="1" x14ac:dyDescent="0.3">
      <c r="A224" t="s">
        <v>32</v>
      </c>
      <c r="B224" t="s">
        <v>290</v>
      </c>
      <c r="C224" t="s">
        <v>355</v>
      </c>
      <c r="D224" s="10">
        <f>$D$223*(1 - inputs!$E$37)</f>
        <v>16013.862388265645</v>
      </c>
      <c r="E224" t="str">
        <f t="shared" ca="1" si="4"/>
        <v>=$D$223*(1 - inputs!$E$37)</v>
      </c>
      <c r="F224"/>
      <c r="G224"/>
      <c r="H224"/>
      <c r="I224"/>
      <c r="J224"/>
      <c r="K224"/>
      <c r="L224"/>
      <c r="M224"/>
      <c r="N224"/>
      <c r="O224"/>
      <c r="P224"/>
      <c r="Q224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  <c r="AJ224"/>
      <c r="AK224"/>
      <c r="AL224"/>
      <c r="AM224"/>
      <c r="AN224"/>
      <c r="AO224"/>
      <c r="AP224"/>
      <c r="AQ224"/>
      <c r="AR224"/>
      <c r="AS224"/>
      <c r="AT224"/>
      <c r="AU224"/>
      <c r="AV224"/>
      <c r="AW224"/>
      <c r="AX224"/>
      <c r="AY224"/>
      <c r="AZ224"/>
      <c r="BA224"/>
      <c r="BB224"/>
      <c r="BC224"/>
      <c r="BD224"/>
      <c r="BE224"/>
      <c r="BF224"/>
      <c r="BG224"/>
      <c r="BH224"/>
      <c r="BI224"/>
      <c r="BJ224"/>
      <c r="BK224"/>
      <c r="BL224"/>
      <c r="BM224"/>
      <c r="BN224"/>
      <c r="BO224"/>
      <c r="BP224"/>
      <c r="BQ224"/>
      <c r="BR224"/>
      <c r="BS224"/>
      <c r="BT224"/>
      <c r="BU224"/>
      <c r="BV224"/>
      <c r="BW224"/>
      <c r="BX224"/>
      <c r="BY224"/>
      <c r="BZ224"/>
      <c r="CA224"/>
      <c r="CB224"/>
      <c r="CC224"/>
      <c r="CD224"/>
      <c r="CE224"/>
      <c r="CF224"/>
      <c r="CG224"/>
      <c r="CH224"/>
      <c r="CI224"/>
      <c r="CJ224"/>
      <c r="CK224"/>
      <c r="CL224"/>
      <c r="CM224"/>
      <c r="CN224"/>
      <c r="CO224"/>
      <c r="CP224"/>
      <c r="CQ224"/>
      <c r="CR224"/>
      <c r="CS224"/>
      <c r="CT224"/>
      <c r="CU224"/>
      <c r="CV224"/>
      <c r="CW224"/>
      <c r="CX224"/>
      <c r="CY224"/>
      <c r="CZ224"/>
      <c r="DA224"/>
      <c r="DB224"/>
      <c r="DC224"/>
      <c r="DD224"/>
      <c r="DE224"/>
      <c r="DF224"/>
    </row>
    <row r="225" spans="1:110" s="14" customFormat="1" x14ac:dyDescent="0.3">
      <c r="A225" t="s">
        <v>32</v>
      </c>
      <c r="B225" t="s">
        <v>290</v>
      </c>
      <c r="C225" t="s">
        <v>356</v>
      </c>
      <c r="D225" s="10">
        <f>$D$224*(1 - inputs!$E$37)</f>
        <v>15981.834663489113</v>
      </c>
      <c r="E225" t="str">
        <f t="shared" ca="1" si="4"/>
        <v>=$D$224*(1 - inputs!$E$37)</v>
      </c>
      <c r="F225"/>
      <c r="G225"/>
      <c r="H225"/>
      <c r="I225"/>
      <c r="J225"/>
      <c r="K225"/>
      <c r="L225"/>
      <c r="M225"/>
      <c r="N225"/>
      <c r="O225"/>
      <c r="P225"/>
      <c r="Q225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  <c r="AJ225"/>
      <c r="AK225"/>
      <c r="AL225"/>
      <c r="AM225"/>
      <c r="AN225"/>
      <c r="AO225"/>
      <c r="AP225"/>
      <c r="AQ225"/>
      <c r="AR225"/>
      <c r="AS225"/>
      <c r="AT225"/>
      <c r="AU225"/>
      <c r="AV225"/>
      <c r="AW225"/>
      <c r="AX225"/>
      <c r="AY225"/>
      <c r="AZ225"/>
      <c r="BA225"/>
      <c r="BB225"/>
      <c r="BC225"/>
      <c r="BD225"/>
      <c r="BE225"/>
      <c r="BF225"/>
      <c r="BG225"/>
      <c r="BH225"/>
      <c r="BI225"/>
      <c r="BJ225"/>
      <c r="BK225"/>
      <c r="BL225"/>
      <c r="BM225"/>
      <c r="BN225"/>
      <c r="BO225"/>
      <c r="BP225"/>
      <c r="BQ225"/>
      <c r="BR225"/>
      <c r="BS225"/>
      <c r="BT225"/>
      <c r="BU225"/>
      <c r="BV225"/>
      <c r="BW225"/>
      <c r="BX225"/>
      <c r="BY225"/>
      <c r="BZ225"/>
      <c r="CA225"/>
      <c r="CB225"/>
      <c r="CC225"/>
      <c r="CD225"/>
      <c r="CE225"/>
      <c r="CF225"/>
      <c r="CG225"/>
      <c r="CH225"/>
      <c r="CI225"/>
      <c r="CJ225"/>
      <c r="CK225"/>
      <c r="CL225"/>
      <c r="CM225"/>
      <c r="CN225"/>
      <c r="CO225"/>
      <c r="CP225"/>
      <c r="CQ225"/>
      <c r="CR225"/>
      <c r="CS225"/>
      <c r="CT225"/>
      <c r="CU225"/>
      <c r="CV225"/>
      <c r="CW225"/>
      <c r="CX225"/>
      <c r="CY225"/>
      <c r="CZ225"/>
      <c r="DA225"/>
      <c r="DB225"/>
      <c r="DC225"/>
      <c r="DD225"/>
      <c r="DE225"/>
      <c r="DF225"/>
    </row>
    <row r="226" spans="1:110" s="14" customFormat="1" x14ac:dyDescent="0.3">
      <c r="A226" t="s">
        <v>32</v>
      </c>
      <c r="B226" t="s">
        <v>290</v>
      </c>
      <c r="C226" t="s">
        <v>357</v>
      </c>
      <c r="D226" s="10">
        <f>$D$225*(1 - inputs!$E$37)</f>
        <v>15949.870994162135</v>
      </c>
      <c r="E226" t="str">
        <f t="shared" ca="1" si="4"/>
        <v>=$D$225*(1 - inputs!$E$37)</v>
      </c>
      <c r="F226"/>
      <c r="G226"/>
      <c r="H226"/>
      <c r="I226"/>
      <c r="J226"/>
      <c r="K226"/>
      <c r="L226"/>
      <c r="M226"/>
      <c r="N226"/>
      <c r="O226"/>
      <c r="P226"/>
      <c r="Q22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  <c r="AJ226"/>
      <c r="AK226"/>
      <c r="AL226"/>
      <c r="AM226"/>
      <c r="AN226"/>
      <c r="AO226"/>
      <c r="AP226"/>
      <c r="AQ226"/>
      <c r="AR226"/>
      <c r="AS226"/>
      <c r="AT226"/>
      <c r="AU226"/>
      <c r="AV226"/>
      <c r="AW226"/>
      <c r="AX226"/>
      <c r="AY226"/>
      <c r="AZ226"/>
      <c r="BA226"/>
      <c r="BB226"/>
      <c r="BC226"/>
      <c r="BD226"/>
      <c r="BE226"/>
      <c r="BF226"/>
      <c r="BG226"/>
      <c r="BH226"/>
      <c r="BI226"/>
      <c r="BJ226"/>
      <c r="BK226"/>
      <c r="BL226"/>
      <c r="BM226"/>
      <c r="BN226"/>
      <c r="BO226"/>
      <c r="BP226"/>
      <c r="BQ226"/>
      <c r="BR226"/>
      <c r="BS226"/>
      <c r="BT226"/>
      <c r="BU226"/>
      <c r="BV226"/>
      <c r="BW226"/>
      <c r="BX226"/>
      <c r="BY226"/>
      <c r="BZ226"/>
      <c r="CA226"/>
      <c r="CB226"/>
      <c r="CC226"/>
      <c r="CD226"/>
      <c r="CE226"/>
      <c r="CF226"/>
      <c r="CG226"/>
      <c r="CH226"/>
      <c r="CI226"/>
      <c r="CJ226"/>
      <c r="CK226"/>
      <c r="CL226"/>
      <c r="CM226"/>
      <c r="CN226"/>
      <c r="CO226"/>
      <c r="CP226"/>
      <c r="CQ226"/>
      <c r="CR226"/>
      <c r="CS226"/>
      <c r="CT226"/>
      <c r="CU226"/>
      <c r="CV226"/>
      <c r="CW226"/>
      <c r="CX226"/>
      <c r="CY226"/>
      <c r="CZ226"/>
      <c r="DA226"/>
      <c r="DB226"/>
      <c r="DC226"/>
      <c r="DD226"/>
      <c r="DE226"/>
      <c r="DF226"/>
    </row>
    <row r="227" spans="1:110" s="14" customFormat="1" x14ac:dyDescent="0.3">
      <c r="A227" t="s">
        <v>32</v>
      </c>
      <c r="B227" t="s">
        <v>290</v>
      </c>
      <c r="C227" t="s">
        <v>358</v>
      </c>
      <c r="D227" s="10">
        <f>$D$226*(1 - inputs!$E$37)</f>
        <v>15917.971252173811</v>
      </c>
      <c r="E227" t="str">
        <f t="shared" ca="1" si="4"/>
        <v>=$D$226*(1 - inputs!$E$37)</v>
      </c>
      <c r="F227"/>
      <c r="G227"/>
      <c r="H227"/>
      <c r="I227"/>
      <c r="J227"/>
      <c r="K227"/>
      <c r="L227"/>
      <c r="M227"/>
      <c r="N227"/>
      <c r="O227"/>
      <c r="P227"/>
      <c r="Q227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  <c r="AJ227"/>
      <c r="AK227"/>
      <c r="AL227"/>
      <c r="AM227"/>
      <c r="AN227"/>
      <c r="AO227"/>
      <c r="AP227"/>
      <c r="AQ227"/>
      <c r="AR227"/>
      <c r="AS227"/>
      <c r="AT227"/>
      <c r="AU227"/>
      <c r="AV227"/>
      <c r="AW227"/>
      <c r="AX227"/>
      <c r="AY227"/>
      <c r="AZ227"/>
      <c r="BA227"/>
      <c r="BB227"/>
      <c r="BC227"/>
      <c r="BD227"/>
      <c r="BE227"/>
      <c r="BF227"/>
      <c r="BG227"/>
      <c r="BH227"/>
      <c r="BI227"/>
      <c r="BJ227"/>
      <c r="BK227"/>
      <c r="BL227"/>
      <c r="BM227"/>
      <c r="BN227"/>
      <c r="BO227"/>
      <c r="BP227"/>
      <c r="BQ227"/>
      <c r="BR227"/>
      <c r="BS227"/>
      <c r="BT227"/>
      <c r="BU227"/>
      <c r="BV227"/>
      <c r="BW227"/>
      <c r="BX227"/>
      <c r="BY227"/>
      <c r="BZ227"/>
      <c r="CA227"/>
      <c r="CB227"/>
      <c r="CC227"/>
      <c r="CD227"/>
      <c r="CE227"/>
      <c r="CF227"/>
      <c r="CG227"/>
      <c r="CH227"/>
      <c r="CI227"/>
      <c r="CJ227"/>
      <c r="CK227"/>
      <c r="CL227"/>
      <c r="CM227"/>
      <c r="CN227"/>
      <c r="CO227"/>
      <c r="CP227"/>
      <c r="CQ227"/>
      <c r="CR227"/>
      <c r="CS227"/>
      <c r="CT227"/>
      <c r="CU227"/>
      <c r="CV227"/>
      <c r="CW227"/>
      <c r="CX227"/>
      <c r="CY227"/>
      <c r="CZ227"/>
      <c r="DA227"/>
      <c r="DB227"/>
      <c r="DC227"/>
      <c r="DD227"/>
      <c r="DE227"/>
      <c r="DF227"/>
    </row>
    <row r="228" spans="1:110" s="14" customFormat="1" x14ac:dyDescent="0.3">
      <c r="A228" t="s">
        <v>32</v>
      </c>
      <c r="B228" t="s">
        <v>290</v>
      </c>
      <c r="C228" t="s">
        <v>359</v>
      </c>
      <c r="D228" s="10">
        <f>$D$227*(1 - inputs!$E$38)</f>
        <v>15886.135309669464</v>
      </c>
      <c r="E228" t="str">
        <f t="shared" ca="1" si="4"/>
        <v>=$D$227*(1 - inputs!$E$38)</v>
      </c>
      <c r="F228"/>
      <c r="G228"/>
      <c r="H228"/>
      <c r="I228"/>
      <c r="J228"/>
      <c r="K228"/>
      <c r="L228"/>
      <c r="M228"/>
      <c r="N228"/>
      <c r="O228"/>
      <c r="P228"/>
      <c r="Q228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  <c r="AJ228"/>
      <c r="AK228"/>
      <c r="AL228"/>
      <c r="AM228"/>
      <c r="AN228"/>
      <c r="AO228"/>
      <c r="AP228"/>
      <c r="AQ228"/>
      <c r="AR228"/>
      <c r="AS228"/>
      <c r="AT228"/>
      <c r="AU228"/>
      <c r="AV228"/>
      <c r="AW228"/>
      <c r="AX228"/>
      <c r="AY228"/>
      <c r="AZ228"/>
      <c r="BA228"/>
      <c r="BB228"/>
      <c r="BC228"/>
      <c r="BD228"/>
      <c r="BE228"/>
      <c r="BF228"/>
      <c r="BG228"/>
      <c r="BH228"/>
      <c r="BI228"/>
      <c r="BJ228"/>
      <c r="BK228"/>
      <c r="BL228"/>
      <c r="BM228"/>
      <c r="BN228"/>
      <c r="BO228"/>
      <c r="BP228"/>
      <c r="BQ228"/>
      <c r="BR228"/>
      <c r="BS228"/>
      <c r="BT228"/>
      <c r="BU228"/>
      <c r="BV228"/>
      <c r="BW228"/>
      <c r="BX228"/>
      <c r="BY228"/>
      <c r="BZ228"/>
      <c r="CA228"/>
      <c r="CB228"/>
      <c r="CC228"/>
      <c r="CD228"/>
      <c r="CE228"/>
      <c r="CF228"/>
      <c r="CG228"/>
      <c r="CH228"/>
      <c r="CI228"/>
      <c r="CJ228"/>
      <c r="CK228"/>
      <c r="CL228"/>
      <c r="CM228"/>
      <c r="CN228"/>
      <c r="CO228"/>
      <c r="CP228"/>
      <c r="CQ228"/>
      <c r="CR228"/>
      <c r="CS228"/>
      <c r="CT228"/>
      <c r="CU228"/>
      <c r="CV228"/>
      <c r="CW228"/>
      <c r="CX228"/>
      <c r="CY228"/>
      <c r="CZ228"/>
      <c r="DA228"/>
      <c r="DB228"/>
      <c r="DC228"/>
      <c r="DD228"/>
      <c r="DE228"/>
      <c r="DF228"/>
    </row>
    <row r="229" spans="1:110" s="14" customFormat="1" x14ac:dyDescent="0.3">
      <c r="A229" t="s">
        <v>32</v>
      </c>
      <c r="B229" t="s">
        <v>290</v>
      </c>
      <c r="C229" t="s">
        <v>360</v>
      </c>
      <c r="D229" s="10">
        <f>$D$228*(1 - inputs!$E$38)</f>
        <v>15854.363039050126</v>
      </c>
      <c r="E229" t="str">
        <f t="shared" ca="1" si="4"/>
        <v>=$D$228*(1 - inputs!$E$38)</v>
      </c>
      <c r="F229"/>
      <c r="G229"/>
      <c r="H229"/>
      <c r="I229"/>
      <c r="J229"/>
      <c r="K229"/>
      <c r="L229"/>
      <c r="M229"/>
      <c r="N229"/>
      <c r="O229"/>
      <c r="P229"/>
      <c r="Q229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  <c r="AJ229"/>
      <c r="AK229"/>
      <c r="AL229"/>
      <c r="AM229"/>
      <c r="AN229"/>
      <c r="AO229"/>
      <c r="AP229"/>
      <c r="AQ229"/>
      <c r="AR229"/>
      <c r="AS229"/>
      <c r="AT229"/>
      <c r="AU229"/>
      <c r="AV229"/>
      <c r="AW229"/>
      <c r="AX229"/>
      <c r="AY229"/>
      <c r="AZ229"/>
      <c r="BA229"/>
      <c r="BB229"/>
      <c r="BC229"/>
      <c r="BD229"/>
      <c r="BE229"/>
      <c r="BF229"/>
      <c r="BG229"/>
      <c r="BH229"/>
      <c r="BI229"/>
      <c r="BJ229"/>
      <c r="BK229"/>
      <c r="BL229"/>
      <c r="BM229"/>
      <c r="BN229"/>
      <c r="BO229"/>
      <c r="BP229"/>
      <c r="BQ229"/>
      <c r="BR229"/>
      <c r="BS229"/>
      <c r="BT229"/>
      <c r="BU229"/>
      <c r="BV229"/>
      <c r="BW229"/>
      <c r="BX229"/>
      <c r="BY229"/>
      <c r="BZ229"/>
      <c r="CA229"/>
      <c r="CB229"/>
      <c r="CC229"/>
      <c r="CD229"/>
      <c r="CE229"/>
      <c r="CF229"/>
      <c r="CG229"/>
      <c r="CH229"/>
      <c r="CI229"/>
      <c r="CJ229"/>
      <c r="CK229"/>
      <c r="CL229"/>
      <c r="CM229"/>
      <c r="CN229"/>
      <c r="CO229"/>
      <c r="CP229"/>
      <c r="CQ229"/>
      <c r="CR229"/>
      <c r="CS229"/>
      <c r="CT229"/>
      <c r="CU229"/>
      <c r="CV229"/>
      <c r="CW229"/>
      <c r="CX229"/>
      <c r="CY229"/>
      <c r="CZ229"/>
      <c r="DA229"/>
      <c r="DB229"/>
      <c r="DC229"/>
      <c r="DD229"/>
      <c r="DE229"/>
      <c r="DF229"/>
    </row>
    <row r="230" spans="1:110" s="14" customFormat="1" x14ac:dyDescent="0.3">
      <c r="A230" t="s">
        <v>32</v>
      </c>
      <c r="B230" t="s">
        <v>290</v>
      </c>
      <c r="C230" t="s">
        <v>361</v>
      </c>
      <c r="D230" s="10">
        <f>$D$229*(1 - inputs!$E$38)</f>
        <v>15822.654312972025</v>
      </c>
      <c r="E230" t="str">
        <f t="shared" ca="1" si="4"/>
        <v>=$D$229*(1 - inputs!$E$38)</v>
      </c>
      <c r="F230"/>
      <c r="G230"/>
      <c r="H230"/>
      <c r="I230"/>
      <c r="J230"/>
      <c r="K230"/>
      <c r="L230"/>
      <c r="M230"/>
      <c r="N230"/>
      <c r="O230"/>
      <c r="P230"/>
      <c r="Q230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  <c r="AJ230"/>
      <c r="AK230"/>
      <c r="AL230"/>
      <c r="AM230"/>
      <c r="AN230"/>
      <c r="AO230"/>
      <c r="AP230"/>
      <c r="AQ230"/>
      <c r="AR230"/>
      <c r="AS230"/>
      <c r="AT230"/>
      <c r="AU230"/>
      <c r="AV230"/>
      <c r="AW230"/>
      <c r="AX230"/>
      <c r="AY230"/>
      <c r="AZ230"/>
      <c r="BA230"/>
      <c r="BB230"/>
      <c r="BC230"/>
      <c r="BD230"/>
      <c r="BE230"/>
      <c r="BF230"/>
      <c r="BG230"/>
      <c r="BH230"/>
      <c r="BI230"/>
      <c r="BJ230"/>
      <c r="BK230"/>
      <c r="BL230"/>
      <c r="BM230"/>
      <c r="BN230"/>
      <c r="BO230"/>
      <c r="BP230"/>
      <c r="BQ230"/>
      <c r="BR230"/>
      <c r="BS230"/>
      <c r="BT230"/>
      <c r="BU230"/>
      <c r="BV230"/>
      <c r="BW230"/>
      <c r="BX230"/>
      <c r="BY230"/>
      <c r="BZ230"/>
      <c r="CA230"/>
      <c r="CB230"/>
      <c r="CC230"/>
      <c r="CD230"/>
      <c r="CE230"/>
      <c r="CF230"/>
      <c r="CG230"/>
      <c r="CH230"/>
      <c r="CI230"/>
      <c r="CJ230"/>
      <c r="CK230"/>
      <c r="CL230"/>
      <c r="CM230"/>
      <c r="CN230"/>
      <c r="CO230"/>
      <c r="CP230"/>
      <c r="CQ230"/>
      <c r="CR230"/>
      <c r="CS230"/>
      <c r="CT230"/>
      <c r="CU230"/>
      <c r="CV230"/>
      <c r="CW230"/>
      <c r="CX230"/>
      <c r="CY230"/>
      <c r="CZ230"/>
      <c r="DA230"/>
      <c r="DB230"/>
      <c r="DC230"/>
      <c r="DD230"/>
      <c r="DE230"/>
      <c r="DF230"/>
    </row>
    <row r="231" spans="1:110" s="14" customFormat="1" x14ac:dyDescent="0.3">
      <c r="A231" t="s">
        <v>32</v>
      </c>
      <c r="B231" t="s">
        <v>290</v>
      </c>
      <c r="C231" t="s">
        <v>362</v>
      </c>
      <c r="D231" s="10">
        <f>$D$230*(1 - inputs!$E$38)</f>
        <v>15791.00900434608</v>
      </c>
      <c r="E231" t="str">
        <f t="shared" ca="1" si="4"/>
        <v>=$D$230*(1 - inputs!$E$38)</v>
      </c>
      <c r="F231"/>
      <c r="G231"/>
      <c r="H231"/>
      <c r="I231"/>
      <c r="J231"/>
      <c r="K231"/>
      <c r="L231"/>
      <c r="M231"/>
      <c r="N231"/>
      <c r="O231"/>
      <c r="P231"/>
      <c r="Q231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  <c r="AJ231"/>
      <c r="AK231"/>
      <c r="AL231"/>
      <c r="AM231"/>
      <c r="AN231"/>
      <c r="AO231"/>
      <c r="AP231"/>
      <c r="AQ231"/>
      <c r="AR231"/>
      <c r="AS231"/>
      <c r="AT231"/>
      <c r="AU231"/>
      <c r="AV231"/>
      <c r="AW231"/>
      <c r="AX231"/>
      <c r="AY231"/>
      <c r="AZ231"/>
      <c r="BA231"/>
      <c r="BB231"/>
      <c r="BC231"/>
      <c r="BD231"/>
      <c r="BE231"/>
      <c r="BF231"/>
      <c r="BG231"/>
      <c r="BH231"/>
      <c r="BI231"/>
      <c r="BJ231"/>
      <c r="BK231"/>
      <c r="BL231"/>
      <c r="BM231"/>
      <c r="BN231"/>
      <c r="BO231"/>
      <c r="BP231"/>
      <c r="BQ231"/>
      <c r="BR231"/>
      <c r="BS231"/>
      <c r="BT231"/>
      <c r="BU231"/>
      <c r="BV231"/>
      <c r="BW231"/>
      <c r="BX231"/>
      <c r="BY231"/>
      <c r="BZ231"/>
      <c r="CA231"/>
      <c r="CB231"/>
      <c r="CC231"/>
      <c r="CD231"/>
      <c r="CE231"/>
      <c r="CF231"/>
      <c r="CG231"/>
      <c r="CH231"/>
      <c r="CI231"/>
      <c r="CJ231"/>
      <c r="CK231"/>
      <c r="CL231"/>
      <c r="CM231"/>
      <c r="CN231"/>
      <c r="CO231"/>
      <c r="CP231"/>
      <c r="CQ231"/>
      <c r="CR231"/>
      <c r="CS231"/>
      <c r="CT231"/>
      <c r="CU231"/>
      <c r="CV231"/>
      <c r="CW231"/>
      <c r="CX231"/>
      <c r="CY231"/>
      <c r="CZ231"/>
      <c r="DA231"/>
      <c r="DB231"/>
      <c r="DC231"/>
      <c r="DD231"/>
      <c r="DE231"/>
      <c r="DF231"/>
    </row>
    <row r="232" spans="1:110" s="14" customFormat="1" x14ac:dyDescent="0.3">
      <c r="A232" t="s">
        <v>32</v>
      </c>
      <c r="B232" t="s">
        <v>290</v>
      </c>
      <c r="C232" t="s">
        <v>363</v>
      </c>
      <c r="D232" s="10">
        <f>$D$231*(1 - inputs!$E$38)</f>
        <v>15759.426986337388</v>
      </c>
      <c r="E232" t="str">
        <f t="shared" ca="1" si="4"/>
        <v>=$D$231*(1 - inputs!$E$38)</v>
      </c>
      <c r="F232"/>
      <c r="G232"/>
      <c r="H232"/>
      <c r="I232"/>
      <c r="J232"/>
      <c r="K232"/>
      <c r="L232"/>
      <c r="M232"/>
      <c r="N232"/>
      <c r="O232"/>
      <c r="P232"/>
      <c r="Q232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  <c r="AJ232"/>
      <c r="AK232"/>
      <c r="AL232"/>
      <c r="AM232"/>
      <c r="AN232"/>
      <c r="AO232"/>
      <c r="AP232"/>
      <c r="AQ232"/>
      <c r="AR232"/>
      <c r="AS232"/>
      <c r="AT232"/>
      <c r="AU232"/>
      <c r="AV232"/>
      <c r="AW232"/>
      <c r="AX232"/>
      <c r="AY232"/>
      <c r="AZ232"/>
      <c r="BA232"/>
      <c r="BB232"/>
      <c r="BC232"/>
      <c r="BD232"/>
      <c r="BE232"/>
      <c r="BF232"/>
      <c r="BG232"/>
      <c r="BH232"/>
      <c r="BI232"/>
      <c r="BJ232"/>
      <c r="BK232"/>
      <c r="BL232"/>
      <c r="BM232"/>
      <c r="BN232"/>
      <c r="BO232"/>
      <c r="BP232"/>
      <c r="BQ232"/>
      <c r="BR232"/>
      <c r="BS232"/>
      <c r="BT232"/>
      <c r="BU232"/>
      <c r="BV232"/>
      <c r="BW232"/>
      <c r="BX232"/>
      <c r="BY232"/>
      <c r="BZ232"/>
      <c r="CA232"/>
      <c r="CB232"/>
      <c r="CC232"/>
      <c r="CD232"/>
      <c r="CE232"/>
      <c r="CF232"/>
      <c r="CG232"/>
      <c r="CH232"/>
      <c r="CI232"/>
      <c r="CJ232"/>
      <c r="CK232"/>
      <c r="CL232"/>
      <c r="CM232"/>
      <c r="CN232"/>
      <c r="CO232"/>
      <c r="CP232"/>
      <c r="CQ232"/>
      <c r="CR232"/>
      <c r="CS232"/>
      <c r="CT232"/>
      <c r="CU232"/>
      <c r="CV232"/>
      <c r="CW232"/>
      <c r="CX232"/>
      <c r="CY232"/>
      <c r="CZ232"/>
      <c r="DA232"/>
      <c r="DB232"/>
      <c r="DC232"/>
      <c r="DD232"/>
      <c r="DE232"/>
      <c r="DF232"/>
    </row>
    <row r="233" spans="1:110" s="14" customFormat="1" x14ac:dyDescent="0.3">
      <c r="A233" t="s">
        <v>32</v>
      </c>
      <c r="B233" t="s">
        <v>290</v>
      </c>
      <c r="C233" t="s">
        <v>364</v>
      </c>
      <c r="D233" s="10">
        <f>$D$232*(1 - inputs!$E$38)</f>
        <v>15727.908132364713</v>
      </c>
      <c r="E233" t="str">
        <f t="shared" ca="1" si="4"/>
        <v>=$D$232*(1 - inputs!$E$38)</v>
      </c>
      <c r="F233"/>
      <c r="G233"/>
      <c r="H233"/>
      <c r="I233"/>
      <c r="J233"/>
      <c r="K233"/>
      <c r="L233"/>
      <c r="M233"/>
      <c r="N233"/>
      <c r="O233"/>
      <c r="P233"/>
      <c r="Q233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  <c r="AJ233"/>
      <c r="AK233"/>
      <c r="AL233"/>
      <c r="AM233"/>
      <c r="AN233"/>
      <c r="AO233"/>
      <c r="AP233"/>
      <c r="AQ233"/>
      <c r="AR233"/>
      <c r="AS233"/>
      <c r="AT233"/>
      <c r="AU233"/>
      <c r="AV233"/>
      <c r="AW233"/>
      <c r="AX233"/>
      <c r="AY233"/>
      <c r="AZ233"/>
      <c r="BA233"/>
      <c r="BB233"/>
      <c r="BC233"/>
      <c r="BD233"/>
      <c r="BE233"/>
      <c r="BF233"/>
      <c r="BG233"/>
      <c r="BH233"/>
      <c r="BI233"/>
      <c r="BJ233"/>
      <c r="BK233"/>
      <c r="BL233"/>
      <c r="BM233"/>
      <c r="BN233"/>
      <c r="BO233"/>
      <c r="BP233"/>
      <c r="BQ233"/>
      <c r="BR233"/>
      <c r="BS233"/>
      <c r="BT233"/>
      <c r="BU233"/>
      <c r="BV233"/>
      <c r="BW233"/>
      <c r="BX233"/>
      <c r="BY233"/>
      <c r="BZ233"/>
      <c r="CA233"/>
      <c r="CB233"/>
      <c r="CC233"/>
      <c r="CD233"/>
      <c r="CE233"/>
      <c r="CF233"/>
      <c r="CG233"/>
      <c r="CH233"/>
      <c r="CI233"/>
      <c r="CJ233"/>
      <c r="CK233"/>
      <c r="CL233"/>
      <c r="CM233"/>
      <c r="CN233"/>
      <c r="CO233"/>
      <c r="CP233"/>
      <c r="CQ233"/>
      <c r="CR233"/>
      <c r="CS233"/>
      <c r="CT233"/>
      <c r="CU233"/>
      <c r="CV233"/>
      <c r="CW233"/>
      <c r="CX233"/>
      <c r="CY233"/>
      <c r="CZ233"/>
      <c r="DA233"/>
      <c r="DB233"/>
      <c r="DC233"/>
      <c r="DD233"/>
      <c r="DE233"/>
      <c r="DF233"/>
    </row>
    <row r="234" spans="1:110" s="14" customFormat="1" x14ac:dyDescent="0.3">
      <c r="A234" t="s">
        <v>32</v>
      </c>
      <c r="B234" t="s">
        <v>290</v>
      </c>
      <c r="C234" t="s">
        <v>365</v>
      </c>
      <c r="D234" s="10">
        <f>$D$233*(1 - inputs!$E$38)</f>
        <v>15696.452316099983</v>
      </c>
      <c r="E234" t="str">
        <f t="shared" ca="1" si="4"/>
        <v>=$D$233*(1 - inputs!$E$38)</v>
      </c>
      <c r="F234"/>
      <c r="G234"/>
      <c r="H234"/>
      <c r="I234"/>
      <c r="J234"/>
      <c r="K234"/>
      <c r="L234"/>
      <c r="M234"/>
      <c r="N234"/>
      <c r="O234"/>
      <c r="P234"/>
      <c r="Q234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  <c r="AJ234"/>
      <c r="AK234"/>
      <c r="AL234"/>
      <c r="AM234"/>
      <c r="AN234"/>
      <c r="AO234"/>
      <c r="AP234"/>
      <c r="AQ234"/>
      <c r="AR234"/>
      <c r="AS234"/>
      <c r="AT234"/>
      <c r="AU234"/>
      <c r="AV234"/>
      <c r="AW234"/>
      <c r="AX234"/>
      <c r="AY234"/>
      <c r="AZ234"/>
      <c r="BA234"/>
      <c r="BB234"/>
      <c r="BC234"/>
      <c r="BD234"/>
      <c r="BE234"/>
      <c r="BF234"/>
      <c r="BG234"/>
      <c r="BH234"/>
      <c r="BI234"/>
      <c r="BJ234"/>
      <c r="BK234"/>
      <c r="BL234"/>
      <c r="BM234"/>
      <c r="BN234"/>
      <c r="BO234"/>
      <c r="BP234"/>
      <c r="BQ234"/>
      <c r="BR234"/>
      <c r="BS234"/>
      <c r="BT234"/>
      <c r="BU234"/>
      <c r="BV234"/>
      <c r="BW234"/>
      <c r="BX234"/>
      <c r="BY234"/>
      <c r="BZ234"/>
      <c r="CA234"/>
      <c r="CB234"/>
      <c r="CC234"/>
      <c r="CD234"/>
      <c r="CE234"/>
      <c r="CF234"/>
      <c r="CG234"/>
      <c r="CH234"/>
      <c r="CI234"/>
      <c r="CJ234"/>
      <c r="CK234"/>
      <c r="CL234"/>
      <c r="CM234"/>
      <c r="CN234"/>
      <c r="CO234"/>
      <c r="CP234"/>
      <c r="CQ234"/>
      <c r="CR234"/>
      <c r="CS234"/>
      <c r="CT234"/>
      <c r="CU234"/>
      <c r="CV234"/>
      <c r="CW234"/>
      <c r="CX234"/>
      <c r="CY234"/>
      <c r="CZ234"/>
      <c r="DA234"/>
      <c r="DB234"/>
      <c r="DC234"/>
      <c r="DD234"/>
      <c r="DE234"/>
      <c r="DF234"/>
    </row>
    <row r="235" spans="1:110" s="14" customFormat="1" x14ac:dyDescent="0.3">
      <c r="A235" t="s">
        <v>32</v>
      </c>
      <c r="B235" t="s">
        <v>290</v>
      </c>
      <c r="C235" t="s">
        <v>366</v>
      </c>
      <c r="D235" s="10">
        <f>$D$234*(1 - inputs!$E$38)</f>
        <v>15665.059411467784</v>
      </c>
      <c r="E235" t="str">
        <f t="shared" ca="1" si="4"/>
        <v>=$D$234*(1 - inputs!$E$38)</v>
      </c>
      <c r="F235"/>
      <c r="G235"/>
      <c r="H235"/>
      <c r="I235"/>
      <c r="J235"/>
      <c r="K235"/>
      <c r="L235"/>
      <c r="M235"/>
      <c r="N235"/>
      <c r="O235"/>
      <c r="P235"/>
      <c r="Q235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  <c r="AJ235"/>
      <c r="AK235"/>
      <c r="AL235"/>
      <c r="AM235"/>
      <c r="AN235"/>
      <c r="AO235"/>
      <c r="AP235"/>
      <c r="AQ235"/>
      <c r="AR235"/>
      <c r="AS235"/>
      <c r="AT235"/>
      <c r="AU235"/>
      <c r="AV235"/>
      <c r="AW235"/>
      <c r="AX235"/>
      <c r="AY235"/>
      <c r="AZ235"/>
      <c r="BA235"/>
      <c r="BB235"/>
      <c r="BC235"/>
      <c r="BD235"/>
      <c r="BE235"/>
      <c r="BF235"/>
      <c r="BG235"/>
      <c r="BH235"/>
      <c r="BI235"/>
      <c r="BJ235"/>
      <c r="BK235"/>
      <c r="BL235"/>
      <c r="BM235"/>
      <c r="BN235"/>
      <c r="BO235"/>
      <c r="BP235"/>
      <c r="BQ235"/>
      <c r="BR235"/>
      <c r="BS235"/>
      <c r="BT235"/>
      <c r="BU235"/>
      <c r="BV235"/>
      <c r="BW235"/>
      <c r="BX235"/>
      <c r="BY235"/>
      <c r="BZ235"/>
      <c r="CA235"/>
      <c r="CB235"/>
      <c r="CC235"/>
      <c r="CD235"/>
      <c r="CE235"/>
      <c r="CF235"/>
      <c r="CG235"/>
      <c r="CH235"/>
      <c r="CI235"/>
      <c r="CJ235"/>
      <c r="CK235"/>
      <c r="CL235"/>
      <c r="CM235"/>
      <c r="CN235"/>
      <c r="CO235"/>
      <c r="CP235"/>
      <c r="CQ235"/>
      <c r="CR235"/>
      <c r="CS235"/>
      <c r="CT235"/>
      <c r="CU235"/>
      <c r="CV235"/>
      <c r="CW235"/>
      <c r="CX235"/>
      <c r="CY235"/>
      <c r="CZ235"/>
      <c r="DA235"/>
      <c r="DB235"/>
      <c r="DC235"/>
      <c r="DD235"/>
      <c r="DE235"/>
      <c r="DF235"/>
    </row>
    <row r="236" spans="1:110" s="14" customFormat="1" x14ac:dyDescent="0.3">
      <c r="A236" t="s">
        <v>32</v>
      </c>
      <c r="B236" t="s">
        <v>290</v>
      </c>
      <c r="C236" t="s">
        <v>367</v>
      </c>
      <c r="D236" s="10">
        <f>$D$235*(1 - inputs!$E$38)</f>
        <v>15633.729292644848</v>
      </c>
      <c r="E236" t="str">
        <f t="shared" ca="1" si="4"/>
        <v>=$D$235*(1 - inputs!$E$38)</v>
      </c>
      <c r="F236"/>
      <c r="G236"/>
      <c r="H236"/>
      <c r="I236"/>
      <c r="J236"/>
      <c r="K236"/>
      <c r="L236"/>
      <c r="M236"/>
      <c r="N236"/>
      <c r="O236"/>
      <c r="P236"/>
      <c r="Q23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  <c r="AJ236"/>
      <c r="AK236"/>
      <c r="AL236"/>
      <c r="AM236"/>
      <c r="AN236"/>
      <c r="AO236"/>
      <c r="AP236"/>
      <c r="AQ236"/>
      <c r="AR236"/>
      <c r="AS236"/>
      <c r="AT236"/>
      <c r="AU236"/>
      <c r="AV236"/>
      <c r="AW236"/>
      <c r="AX236"/>
      <c r="AY236"/>
      <c r="AZ236"/>
      <c r="BA236"/>
      <c r="BB236"/>
      <c r="BC236"/>
      <c r="BD236"/>
      <c r="BE236"/>
      <c r="BF236"/>
      <c r="BG236"/>
      <c r="BH236"/>
      <c r="BI236"/>
      <c r="BJ236"/>
      <c r="BK236"/>
      <c r="BL236"/>
      <c r="BM236"/>
      <c r="BN236"/>
      <c r="BO236"/>
      <c r="BP236"/>
      <c r="BQ236"/>
      <c r="BR236"/>
      <c r="BS236"/>
      <c r="BT236"/>
      <c r="BU236"/>
      <c r="BV236"/>
      <c r="BW236"/>
      <c r="BX236"/>
      <c r="BY236"/>
      <c r="BZ236"/>
      <c r="CA236"/>
      <c r="CB236"/>
      <c r="CC236"/>
      <c r="CD236"/>
      <c r="CE236"/>
      <c r="CF236"/>
      <c r="CG236"/>
      <c r="CH236"/>
      <c r="CI236"/>
      <c r="CJ236"/>
      <c r="CK236"/>
      <c r="CL236"/>
      <c r="CM236"/>
      <c r="CN236"/>
      <c r="CO236"/>
      <c r="CP236"/>
      <c r="CQ236"/>
      <c r="CR236"/>
      <c r="CS236"/>
      <c r="CT236"/>
      <c r="CU236"/>
      <c r="CV236"/>
      <c r="CW236"/>
      <c r="CX236"/>
      <c r="CY236"/>
      <c r="CZ236"/>
      <c r="DA236"/>
      <c r="DB236"/>
      <c r="DC236"/>
      <c r="DD236"/>
      <c r="DE236"/>
      <c r="DF236"/>
    </row>
    <row r="237" spans="1:110" s="14" customFormat="1" x14ac:dyDescent="0.3">
      <c r="A237" t="s">
        <v>32</v>
      </c>
      <c r="B237" t="s">
        <v>290</v>
      </c>
      <c r="C237" t="s">
        <v>368</v>
      </c>
      <c r="D237" s="10">
        <f>$D$236*(1 - inputs!$E$38)</f>
        <v>15602.461834059559</v>
      </c>
      <c r="E237" t="str">
        <f t="shared" ca="1" si="4"/>
        <v>=$D$236*(1 - inputs!$E$38)</v>
      </c>
      <c r="F237"/>
      <c r="G237"/>
      <c r="H237"/>
      <c r="I237"/>
      <c r="J237"/>
      <c r="K237"/>
      <c r="L237"/>
      <c r="M237"/>
      <c r="N237"/>
      <c r="O237"/>
      <c r="P237"/>
      <c r="Q237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  <c r="AJ237"/>
      <c r="AK237"/>
      <c r="AL237"/>
      <c r="AM237"/>
      <c r="AN237"/>
      <c r="AO237"/>
      <c r="AP237"/>
      <c r="AQ237"/>
      <c r="AR237"/>
      <c r="AS237"/>
      <c r="AT237"/>
      <c r="AU237"/>
      <c r="AV237"/>
      <c r="AW237"/>
      <c r="AX237"/>
      <c r="AY237"/>
      <c r="AZ237"/>
      <c r="BA237"/>
      <c r="BB237"/>
      <c r="BC237"/>
      <c r="BD237"/>
      <c r="BE237"/>
      <c r="BF237"/>
      <c r="BG237"/>
      <c r="BH237"/>
      <c r="BI237"/>
      <c r="BJ237"/>
      <c r="BK237"/>
      <c r="BL237"/>
      <c r="BM237"/>
      <c r="BN237"/>
      <c r="BO237"/>
      <c r="BP237"/>
      <c r="BQ237"/>
      <c r="BR237"/>
      <c r="BS237"/>
      <c r="BT237"/>
      <c r="BU237"/>
      <c r="BV237"/>
      <c r="BW237"/>
      <c r="BX237"/>
      <c r="BY237"/>
      <c r="BZ237"/>
      <c r="CA237"/>
      <c r="CB237"/>
      <c r="CC237"/>
      <c r="CD237"/>
      <c r="CE237"/>
      <c r="CF237"/>
      <c r="CG237"/>
      <c r="CH237"/>
      <c r="CI237"/>
      <c r="CJ237"/>
      <c r="CK237"/>
      <c r="CL237"/>
      <c r="CM237"/>
      <c r="CN237"/>
      <c r="CO237"/>
      <c r="CP237"/>
      <c r="CQ237"/>
      <c r="CR237"/>
      <c r="CS237"/>
      <c r="CT237"/>
      <c r="CU237"/>
      <c r="CV237"/>
      <c r="CW237"/>
      <c r="CX237"/>
      <c r="CY237"/>
      <c r="CZ237"/>
      <c r="DA237"/>
      <c r="DB237"/>
      <c r="DC237"/>
      <c r="DD237"/>
      <c r="DE237"/>
      <c r="DF237"/>
    </row>
    <row r="238" spans="1:110" s="16" customFormat="1" x14ac:dyDescent="0.3">
      <c r="A238" t="s">
        <v>32</v>
      </c>
      <c r="B238" t="s">
        <v>290</v>
      </c>
      <c r="C238" t="s">
        <v>369</v>
      </c>
      <c r="D238" s="10">
        <f>$D$157-$D$157*inputs!$E$33</f>
        <v>0</v>
      </c>
      <c r="E238" t="str">
        <f t="shared" ca="1" si="4"/>
        <v>=$D$157-$D$157*inputs!$E$33</v>
      </c>
      <c r="F238" t="s">
        <v>817</v>
      </c>
      <c r="G238"/>
      <c r="H238"/>
      <c r="I238"/>
      <c r="J238"/>
      <c r="K238"/>
      <c r="L238"/>
      <c r="M238"/>
      <c r="N238"/>
      <c r="O238"/>
      <c r="P238"/>
      <c r="Q238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  <c r="AJ238"/>
      <c r="AK238"/>
      <c r="AL238"/>
      <c r="AM238"/>
      <c r="AN238"/>
      <c r="AO238"/>
      <c r="AP238"/>
      <c r="AQ238"/>
      <c r="AR238"/>
      <c r="AS238"/>
      <c r="AT238"/>
      <c r="AU238"/>
      <c r="AV238"/>
      <c r="AW238"/>
      <c r="AX238"/>
      <c r="AY238"/>
      <c r="AZ238"/>
      <c r="BA238"/>
      <c r="BB238"/>
      <c r="BC238"/>
      <c r="BD238"/>
      <c r="BE238"/>
      <c r="BF238"/>
      <c r="BG238"/>
      <c r="BH238"/>
      <c r="BI238"/>
      <c r="BJ238"/>
      <c r="BK238"/>
      <c r="BL238"/>
      <c r="BM238"/>
      <c r="BN238"/>
      <c r="BO238"/>
      <c r="BP238"/>
      <c r="BQ238"/>
      <c r="BR238"/>
      <c r="BS238"/>
      <c r="BT238"/>
      <c r="BU238"/>
      <c r="BV238"/>
      <c r="BW238"/>
      <c r="BX238"/>
      <c r="BY238"/>
      <c r="BZ238"/>
      <c r="CA238"/>
      <c r="CB238"/>
      <c r="CC238"/>
      <c r="CD238"/>
      <c r="CE238"/>
      <c r="CF238"/>
      <c r="CG238"/>
      <c r="CH238"/>
      <c r="CI238"/>
      <c r="CJ238"/>
      <c r="CK238"/>
      <c r="CL238"/>
      <c r="CM238"/>
      <c r="CN238"/>
      <c r="CO238"/>
      <c r="CP238"/>
      <c r="CQ238"/>
      <c r="CR238"/>
      <c r="CS238"/>
      <c r="CT238"/>
      <c r="CU238"/>
      <c r="CV238"/>
      <c r="CW238"/>
      <c r="CX238"/>
      <c r="CY238"/>
      <c r="CZ238"/>
      <c r="DA238"/>
      <c r="DB238"/>
      <c r="DC238"/>
      <c r="DD238"/>
      <c r="DE238"/>
      <c r="DF238"/>
    </row>
    <row r="239" spans="1:110" s="16" customFormat="1" x14ac:dyDescent="0.3">
      <c r="A239" t="s">
        <v>32</v>
      </c>
      <c r="B239" t="s">
        <v>290</v>
      </c>
      <c r="C239" t="s">
        <v>370</v>
      </c>
      <c r="D239" s="10">
        <f>D238-D238*inputs!$E$33</f>
        <v>0</v>
      </c>
      <c r="E239" t="str">
        <f t="shared" ca="1" si="4"/>
        <v>=D238-D238*inputs!$E$33</v>
      </c>
      <c r="F239"/>
      <c r="G239"/>
      <c r="H239"/>
      <c r="I239"/>
      <c r="J239"/>
      <c r="K239"/>
      <c r="L239"/>
      <c r="M239"/>
      <c r="N239"/>
      <c r="O239"/>
      <c r="P239"/>
      <c r="Q239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  <c r="AJ239"/>
      <c r="AK239"/>
      <c r="AL239"/>
      <c r="AM239"/>
      <c r="AN239"/>
      <c r="AO239"/>
      <c r="AP239"/>
      <c r="AQ239"/>
      <c r="AR239"/>
      <c r="AS239"/>
      <c r="AT239"/>
      <c r="AU239"/>
      <c r="AV239"/>
      <c r="AW239"/>
      <c r="AX239"/>
      <c r="AY239"/>
      <c r="AZ239"/>
      <c r="BA239"/>
      <c r="BB239"/>
      <c r="BC239"/>
      <c r="BD239"/>
      <c r="BE239"/>
      <c r="BF239"/>
      <c r="BG239"/>
      <c r="BH239"/>
      <c r="BI239"/>
      <c r="BJ239"/>
      <c r="BK239"/>
      <c r="BL239"/>
      <c r="BM239"/>
      <c r="BN239"/>
      <c r="BO239"/>
      <c r="BP239"/>
      <c r="BQ239"/>
      <c r="BR239"/>
      <c r="BS239"/>
      <c r="BT239"/>
      <c r="BU239"/>
      <c r="BV239"/>
      <c r="BW239"/>
      <c r="BX239"/>
      <c r="BY239"/>
      <c r="BZ239"/>
      <c r="CA239"/>
      <c r="CB239"/>
      <c r="CC239"/>
      <c r="CD239"/>
      <c r="CE239"/>
      <c r="CF239"/>
      <c r="CG239"/>
      <c r="CH239"/>
      <c r="CI239"/>
      <c r="CJ239"/>
      <c r="CK239"/>
      <c r="CL239"/>
      <c r="CM239"/>
      <c r="CN239"/>
      <c r="CO239"/>
      <c r="CP239"/>
      <c r="CQ239"/>
      <c r="CR239"/>
      <c r="CS239"/>
      <c r="CT239"/>
      <c r="CU239"/>
      <c r="CV239"/>
      <c r="CW239"/>
      <c r="CX239"/>
      <c r="CY239"/>
      <c r="CZ239"/>
      <c r="DA239"/>
      <c r="DB239"/>
      <c r="DC239"/>
      <c r="DD239"/>
      <c r="DE239"/>
      <c r="DF239"/>
    </row>
    <row r="240" spans="1:110" s="16" customFormat="1" x14ac:dyDescent="0.3">
      <c r="A240" t="s">
        <v>32</v>
      </c>
      <c r="B240" t="s">
        <v>290</v>
      </c>
      <c r="C240" t="s">
        <v>371</v>
      </c>
      <c r="D240" s="10">
        <f>D239-D239*inputs!$E$33</f>
        <v>0</v>
      </c>
      <c r="E240" t="str">
        <f t="shared" ca="1" si="4"/>
        <v>=D239-D239*inputs!$E$33</v>
      </c>
      <c r="F240"/>
      <c r="G240"/>
      <c r="H240"/>
      <c r="I240"/>
      <c r="J240"/>
      <c r="K240"/>
      <c r="L240"/>
      <c r="M240"/>
      <c r="N240"/>
      <c r="O240"/>
      <c r="P240"/>
      <c r="Q240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  <c r="AJ240"/>
      <c r="AK240"/>
      <c r="AL240"/>
      <c r="AM240"/>
      <c r="AN240"/>
      <c r="AO240"/>
      <c r="AP240"/>
      <c r="AQ240"/>
      <c r="AR240"/>
      <c r="AS240"/>
      <c r="AT240"/>
      <c r="AU240"/>
      <c r="AV240"/>
      <c r="AW240"/>
      <c r="AX240"/>
      <c r="AY240"/>
      <c r="AZ240"/>
      <c r="BA240"/>
      <c r="BB240"/>
      <c r="BC240"/>
      <c r="BD240"/>
      <c r="BE240"/>
      <c r="BF240"/>
      <c r="BG240"/>
      <c r="BH240"/>
      <c r="BI240"/>
      <c r="BJ240"/>
      <c r="BK240"/>
      <c r="BL240"/>
      <c r="BM240"/>
      <c r="BN240"/>
      <c r="BO240"/>
      <c r="BP240"/>
      <c r="BQ240"/>
      <c r="BR240"/>
      <c r="BS240"/>
      <c r="BT240"/>
      <c r="BU240"/>
      <c r="BV240"/>
      <c r="BW240"/>
      <c r="BX240"/>
      <c r="BY240"/>
      <c r="BZ240"/>
      <c r="CA240"/>
      <c r="CB240"/>
      <c r="CC240"/>
      <c r="CD240"/>
      <c r="CE240"/>
      <c r="CF240"/>
      <c r="CG240"/>
      <c r="CH240"/>
      <c r="CI240"/>
      <c r="CJ240"/>
      <c r="CK240"/>
      <c r="CL240"/>
      <c r="CM240"/>
      <c r="CN240"/>
      <c r="CO240"/>
      <c r="CP240"/>
      <c r="CQ240"/>
      <c r="CR240"/>
      <c r="CS240"/>
      <c r="CT240"/>
      <c r="CU240"/>
      <c r="CV240"/>
      <c r="CW240"/>
      <c r="CX240"/>
      <c r="CY240"/>
      <c r="CZ240"/>
      <c r="DA240"/>
      <c r="DB240"/>
      <c r="DC240"/>
      <c r="DD240"/>
      <c r="DE240"/>
      <c r="DF240"/>
    </row>
    <row r="241" spans="1:110" s="16" customFormat="1" x14ac:dyDescent="0.3">
      <c r="A241" t="s">
        <v>32</v>
      </c>
      <c r="B241" t="s">
        <v>290</v>
      </c>
      <c r="C241" t="s">
        <v>372</v>
      </c>
      <c r="D241" s="10">
        <f>D240-D240*inputs!$E$33</f>
        <v>0</v>
      </c>
      <c r="E241" t="str">
        <f t="shared" ca="1" si="4"/>
        <v>=D240-D240*inputs!$E$33</v>
      </c>
      <c r="F241"/>
      <c r="G241"/>
      <c r="H241"/>
      <c r="I241"/>
      <c r="J241"/>
      <c r="K241"/>
      <c r="L241"/>
      <c r="M241"/>
      <c r="N241"/>
      <c r="O241"/>
      <c r="P241"/>
      <c r="Q241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  <c r="AJ241"/>
      <c r="AK241"/>
      <c r="AL241"/>
      <c r="AM241"/>
      <c r="AN241"/>
      <c r="AO241"/>
      <c r="AP241"/>
      <c r="AQ241"/>
      <c r="AR241"/>
      <c r="AS241"/>
      <c r="AT241"/>
      <c r="AU241"/>
      <c r="AV241"/>
      <c r="AW241"/>
      <c r="AX241"/>
      <c r="AY241"/>
      <c r="AZ241"/>
      <c r="BA241"/>
      <c r="BB241"/>
      <c r="BC241"/>
      <c r="BD241"/>
      <c r="BE241"/>
      <c r="BF241"/>
      <c r="BG241"/>
      <c r="BH241"/>
      <c r="BI241"/>
      <c r="BJ241"/>
      <c r="BK241"/>
      <c r="BL241"/>
      <c r="BM241"/>
      <c r="BN241"/>
      <c r="BO241"/>
      <c r="BP241"/>
      <c r="BQ241"/>
      <c r="BR241"/>
      <c r="BS241"/>
      <c r="BT241"/>
      <c r="BU241"/>
      <c r="BV241"/>
      <c r="BW241"/>
      <c r="BX241"/>
      <c r="BY241"/>
      <c r="BZ241"/>
      <c r="CA241"/>
      <c r="CB241"/>
      <c r="CC241"/>
      <c r="CD241"/>
      <c r="CE241"/>
      <c r="CF241"/>
      <c r="CG241"/>
      <c r="CH241"/>
      <c r="CI241"/>
      <c r="CJ241"/>
      <c r="CK241"/>
      <c r="CL241"/>
      <c r="CM241"/>
      <c r="CN241"/>
      <c r="CO241"/>
      <c r="CP241"/>
      <c r="CQ241"/>
      <c r="CR241"/>
      <c r="CS241"/>
      <c r="CT241"/>
      <c r="CU241"/>
      <c r="CV241"/>
      <c r="CW241"/>
      <c r="CX241"/>
      <c r="CY241"/>
      <c r="CZ241"/>
      <c r="DA241"/>
      <c r="DB241"/>
      <c r="DC241"/>
      <c r="DD241"/>
      <c r="DE241"/>
      <c r="DF241"/>
    </row>
    <row r="242" spans="1:110" s="16" customFormat="1" x14ac:dyDescent="0.3">
      <c r="A242" t="s">
        <v>32</v>
      </c>
      <c r="B242" t="s">
        <v>290</v>
      </c>
      <c r="C242" t="s">
        <v>373</v>
      </c>
      <c r="D242" s="10">
        <f>D241-D241*inputs!$E$34</f>
        <v>0</v>
      </c>
      <c r="E242" t="str">
        <f t="shared" ca="1" si="4"/>
        <v>=D241-D241*inputs!$E$34</v>
      </c>
      <c r="F242"/>
      <c r="G242"/>
      <c r="H242"/>
      <c r="I242"/>
      <c r="J242"/>
      <c r="K242"/>
      <c r="L242"/>
      <c r="M242"/>
      <c r="N242"/>
      <c r="O242"/>
      <c r="P242"/>
      <c r="Q242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  <c r="AJ242"/>
      <c r="AK242"/>
      <c r="AL242"/>
      <c r="AM242"/>
      <c r="AN242"/>
      <c r="AO242"/>
      <c r="AP242"/>
      <c r="AQ242"/>
      <c r="AR242"/>
      <c r="AS242"/>
      <c r="AT242"/>
      <c r="AU242"/>
      <c r="AV242"/>
      <c r="AW242"/>
      <c r="AX242"/>
      <c r="AY242"/>
      <c r="AZ242"/>
      <c r="BA242"/>
      <c r="BB242"/>
      <c r="BC242"/>
      <c r="BD242"/>
      <c r="BE242"/>
      <c r="BF242"/>
      <c r="BG242"/>
      <c r="BH242"/>
      <c r="BI242"/>
      <c r="BJ242"/>
      <c r="BK242"/>
      <c r="BL242"/>
      <c r="BM242"/>
      <c r="BN242"/>
      <c r="BO242"/>
      <c r="BP242"/>
      <c r="BQ242"/>
      <c r="BR242"/>
      <c r="BS242"/>
      <c r="BT242"/>
      <c r="BU242"/>
      <c r="BV242"/>
      <c r="BW242"/>
      <c r="BX242"/>
      <c r="BY242"/>
      <c r="BZ242"/>
      <c r="CA242"/>
      <c r="CB242"/>
      <c r="CC242"/>
      <c r="CD242"/>
      <c r="CE242"/>
      <c r="CF242"/>
      <c r="CG242"/>
      <c r="CH242"/>
      <c r="CI242"/>
      <c r="CJ242"/>
      <c r="CK242"/>
      <c r="CL242"/>
      <c r="CM242"/>
      <c r="CN242"/>
      <c r="CO242"/>
      <c r="CP242"/>
      <c r="CQ242"/>
      <c r="CR242"/>
      <c r="CS242"/>
      <c r="CT242"/>
      <c r="CU242"/>
      <c r="CV242"/>
      <c r="CW242"/>
      <c r="CX242"/>
      <c r="CY242"/>
      <c r="CZ242"/>
      <c r="DA242"/>
      <c r="DB242"/>
      <c r="DC242"/>
      <c r="DD242"/>
      <c r="DE242"/>
      <c r="DF242"/>
    </row>
    <row r="243" spans="1:110" s="16" customFormat="1" x14ac:dyDescent="0.3">
      <c r="A243" t="s">
        <v>32</v>
      </c>
      <c r="B243" t="s">
        <v>290</v>
      </c>
      <c r="C243" t="s">
        <v>374</v>
      </c>
      <c r="D243" s="10">
        <f>D242-D242*inputs!$E$34</f>
        <v>0</v>
      </c>
      <c r="E243" t="str">
        <f t="shared" ca="1" si="4"/>
        <v>=D242-D242*inputs!$E$34</v>
      </c>
      <c r="F243"/>
      <c r="G243"/>
      <c r="H243"/>
      <c r="I243"/>
      <c r="J243"/>
      <c r="K243"/>
      <c r="L243"/>
      <c r="M243"/>
      <c r="N243"/>
      <c r="O243"/>
      <c r="P243"/>
      <c r="Q243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  <c r="AJ243"/>
      <c r="AK243"/>
      <c r="AL243"/>
      <c r="AM243"/>
      <c r="AN243"/>
      <c r="AO243"/>
      <c r="AP243"/>
      <c r="AQ243"/>
      <c r="AR243"/>
      <c r="AS243"/>
      <c r="AT243"/>
      <c r="AU243"/>
      <c r="AV243"/>
      <c r="AW243"/>
      <c r="AX243"/>
      <c r="AY243"/>
      <c r="AZ243"/>
      <c r="BA243"/>
      <c r="BB243"/>
      <c r="BC243"/>
      <c r="BD243"/>
      <c r="BE243"/>
      <c r="BF243"/>
      <c r="BG243"/>
      <c r="BH243"/>
      <c r="BI243"/>
      <c r="BJ243"/>
      <c r="BK243"/>
      <c r="BL243"/>
      <c r="BM243"/>
      <c r="BN243"/>
      <c r="BO243"/>
      <c r="BP243"/>
      <c r="BQ243"/>
      <c r="BR243"/>
      <c r="BS243"/>
      <c r="BT243"/>
      <c r="BU243"/>
      <c r="BV243"/>
      <c r="BW243"/>
      <c r="BX243"/>
      <c r="BY243"/>
      <c r="BZ243"/>
      <c r="CA243"/>
      <c r="CB243"/>
      <c r="CC243"/>
      <c r="CD243"/>
      <c r="CE243"/>
      <c r="CF243"/>
      <c r="CG243"/>
      <c r="CH243"/>
      <c r="CI243"/>
      <c r="CJ243"/>
      <c r="CK243"/>
      <c r="CL243"/>
      <c r="CM243"/>
      <c r="CN243"/>
      <c r="CO243"/>
      <c r="CP243"/>
      <c r="CQ243"/>
      <c r="CR243"/>
      <c r="CS243"/>
      <c r="CT243"/>
      <c r="CU243"/>
      <c r="CV243"/>
      <c r="CW243"/>
      <c r="CX243"/>
      <c r="CY243"/>
      <c r="CZ243"/>
      <c r="DA243"/>
      <c r="DB243"/>
      <c r="DC243"/>
      <c r="DD243"/>
      <c r="DE243"/>
      <c r="DF243"/>
    </row>
    <row r="244" spans="1:110" s="16" customFormat="1" x14ac:dyDescent="0.3">
      <c r="A244" t="s">
        <v>32</v>
      </c>
      <c r="B244" t="s">
        <v>290</v>
      </c>
      <c r="C244" t="s">
        <v>375</v>
      </c>
      <c r="D244" s="10">
        <f>D243-D243*inputs!$E$34</f>
        <v>0</v>
      </c>
      <c r="E244" t="str">
        <f t="shared" ca="1" si="4"/>
        <v>=D243-D243*inputs!$E$34</v>
      </c>
      <c r="F244"/>
      <c r="G244"/>
      <c r="H244"/>
      <c r="I244"/>
      <c r="J244"/>
      <c r="K244"/>
      <c r="L244"/>
      <c r="M244"/>
      <c r="N244"/>
      <c r="O244"/>
      <c r="P244"/>
      <c r="Q244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  <c r="AJ244"/>
      <c r="AK244"/>
      <c r="AL244"/>
      <c r="AM244"/>
      <c r="AN244"/>
      <c r="AO244"/>
      <c r="AP244"/>
      <c r="AQ244"/>
      <c r="AR244"/>
      <c r="AS244"/>
      <c r="AT244"/>
      <c r="AU244"/>
      <c r="AV244"/>
      <c r="AW244"/>
      <c r="AX244"/>
      <c r="AY244"/>
      <c r="AZ244"/>
      <c r="BA244"/>
      <c r="BB244"/>
      <c r="BC244"/>
      <c r="BD244"/>
      <c r="BE244"/>
      <c r="BF244"/>
      <c r="BG244"/>
      <c r="BH244"/>
      <c r="BI244"/>
      <c r="BJ244"/>
      <c r="BK244"/>
      <c r="BL244"/>
      <c r="BM244"/>
      <c r="BN244"/>
      <c r="BO244"/>
      <c r="BP244"/>
      <c r="BQ244"/>
      <c r="BR244"/>
      <c r="BS244"/>
      <c r="BT244"/>
      <c r="BU244"/>
      <c r="BV244"/>
      <c r="BW244"/>
      <c r="BX244"/>
      <c r="BY244"/>
      <c r="BZ244"/>
      <c r="CA244"/>
      <c r="CB244"/>
      <c r="CC244"/>
      <c r="CD244"/>
      <c r="CE244"/>
      <c r="CF244"/>
      <c r="CG244"/>
      <c r="CH244"/>
      <c r="CI244"/>
      <c r="CJ244"/>
      <c r="CK244"/>
      <c r="CL244"/>
      <c r="CM244"/>
      <c r="CN244"/>
      <c r="CO244"/>
      <c r="CP244"/>
      <c r="CQ244"/>
      <c r="CR244"/>
      <c r="CS244"/>
      <c r="CT244"/>
      <c r="CU244"/>
      <c r="CV244"/>
      <c r="CW244"/>
      <c r="CX244"/>
      <c r="CY244"/>
      <c r="CZ244"/>
      <c r="DA244"/>
      <c r="DB244"/>
      <c r="DC244"/>
      <c r="DD244"/>
      <c r="DE244"/>
      <c r="DF244"/>
    </row>
    <row r="245" spans="1:110" s="16" customFormat="1" x14ac:dyDescent="0.3">
      <c r="A245" t="s">
        <v>32</v>
      </c>
      <c r="B245" t="s">
        <v>290</v>
      </c>
      <c r="C245" t="s">
        <v>376</v>
      </c>
      <c r="D245" s="10">
        <f>D244-D244*inputs!$E$34</f>
        <v>0</v>
      </c>
      <c r="E245" t="str">
        <f t="shared" ca="1" si="4"/>
        <v>=D244-D244*inputs!$E$34</v>
      </c>
      <c r="F245"/>
      <c r="G245"/>
      <c r="H245"/>
      <c r="I245"/>
      <c r="J245"/>
      <c r="K245"/>
      <c r="L245"/>
      <c r="M245"/>
      <c r="N245"/>
      <c r="O245"/>
      <c r="P245"/>
      <c r="Q245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  <c r="AJ245"/>
      <c r="AK245"/>
      <c r="AL245"/>
      <c r="AM245"/>
      <c r="AN245"/>
      <c r="AO245"/>
      <c r="AP245"/>
      <c r="AQ245"/>
      <c r="AR245"/>
      <c r="AS245"/>
      <c r="AT245"/>
      <c r="AU245"/>
      <c r="AV245"/>
      <c r="AW245"/>
      <c r="AX245"/>
      <c r="AY245"/>
      <c r="AZ245"/>
      <c r="BA245"/>
      <c r="BB245"/>
      <c r="BC245"/>
      <c r="BD245"/>
      <c r="BE245"/>
      <c r="BF245"/>
      <c r="BG245"/>
      <c r="BH245"/>
      <c r="BI245"/>
      <c r="BJ245"/>
      <c r="BK245"/>
      <c r="BL245"/>
      <c r="BM245"/>
      <c r="BN245"/>
      <c r="BO245"/>
      <c r="BP245"/>
      <c r="BQ245"/>
      <c r="BR245"/>
      <c r="BS245"/>
      <c r="BT245"/>
      <c r="BU245"/>
      <c r="BV245"/>
      <c r="BW245"/>
      <c r="BX245"/>
      <c r="BY245"/>
      <c r="BZ245"/>
      <c r="CA245"/>
      <c r="CB245"/>
      <c r="CC245"/>
      <c r="CD245"/>
      <c r="CE245"/>
      <c r="CF245"/>
      <c r="CG245"/>
      <c r="CH245"/>
      <c r="CI245"/>
      <c r="CJ245"/>
      <c r="CK245"/>
      <c r="CL245"/>
      <c r="CM245"/>
      <c r="CN245"/>
      <c r="CO245"/>
      <c r="CP245"/>
      <c r="CQ245"/>
      <c r="CR245"/>
      <c r="CS245"/>
      <c r="CT245"/>
      <c r="CU245"/>
      <c r="CV245"/>
      <c r="CW245"/>
      <c r="CX245"/>
      <c r="CY245"/>
      <c r="CZ245"/>
      <c r="DA245"/>
      <c r="DB245"/>
      <c r="DC245"/>
      <c r="DD245"/>
      <c r="DE245"/>
      <c r="DF245"/>
    </row>
    <row r="246" spans="1:110" s="16" customFormat="1" x14ac:dyDescent="0.3">
      <c r="A246" t="s">
        <v>32</v>
      </c>
      <c r="B246" t="s">
        <v>290</v>
      </c>
      <c r="C246" t="s">
        <v>377</v>
      </c>
      <c r="D246" s="10">
        <f>D245-D245*inputs!$E$34</f>
        <v>0</v>
      </c>
      <c r="E246" t="str">
        <f t="shared" ca="1" si="4"/>
        <v>=D245-D245*inputs!$E$34</v>
      </c>
      <c r="F246"/>
      <c r="G246"/>
      <c r="H246"/>
      <c r="I246"/>
      <c r="J246"/>
      <c r="K246"/>
      <c r="L246"/>
      <c r="M246"/>
      <c r="N246"/>
      <c r="O246"/>
      <c r="P246"/>
      <c r="Q24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  <c r="AJ246"/>
      <c r="AK246"/>
      <c r="AL246"/>
      <c r="AM246"/>
      <c r="AN246"/>
      <c r="AO246"/>
      <c r="AP246"/>
      <c r="AQ246"/>
      <c r="AR246"/>
      <c r="AS246"/>
      <c r="AT246"/>
      <c r="AU246"/>
      <c r="AV246"/>
      <c r="AW246"/>
      <c r="AX246"/>
      <c r="AY246"/>
      <c r="AZ246"/>
      <c r="BA246"/>
      <c r="BB246"/>
      <c r="BC246"/>
      <c r="BD246"/>
      <c r="BE246"/>
      <c r="BF246"/>
      <c r="BG246"/>
      <c r="BH246"/>
      <c r="BI246"/>
      <c r="BJ246"/>
      <c r="BK246"/>
      <c r="BL246"/>
      <c r="BM246"/>
      <c r="BN246"/>
      <c r="BO246"/>
      <c r="BP246"/>
      <c r="BQ246"/>
      <c r="BR246"/>
      <c r="BS246"/>
      <c r="BT246"/>
      <c r="BU246"/>
      <c r="BV246"/>
      <c r="BW246"/>
      <c r="BX246"/>
      <c r="BY246"/>
      <c r="BZ246"/>
      <c r="CA246"/>
      <c r="CB246"/>
      <c r="CC246"/>
      <c r="CD246"/>
      <c r="CE246"/>
      <c r="CF246"/>
      <c r="CG246"/>
      <c r="CH246"/>
      <c r="CI246"/>
      <c r="CJ246"/>
      <c r="CK246"/>
      <c r="CL246"/>
      <c r="CM246"/>
      <c r="CN246"/>
      <c r="CO246"/>
      <c r="CP246"/>
      <c r="CQ246"/>
      <c r="CR246"/>
      <c r="CS246"/>
      <c r="CT246"/>
      <c r="CU246"/>
      <c r="CV246"/>
      <c r="CW246"/>
      <c r="CX246"/>
      <c r="CY246"/>
      <c r="CZ246"/>
      <c r="DA246"/>
      <c r="DB246"/>
      <c r="DC246"/>
      <c r="DD246"/>
      <c r="DE246"/>
      <c r="DF246"/>
    </row>
    <row r="247" spans="1:110" s="16" customFormat="1" x14ac:dyDescent="0.3">
      <c r="A247" t="s">
        <v>32</v>
      </c>
      <c r="B247" t="s">
        <v>290</v>
      </c>
      <c r="C247" t="s">
        <v>378</v>
      </c>
      <c r="D247" s="10">
        <f>D246-D246*inputs!$E$35</f>
        <v>0</v>
      </c>
      <c r="E247" t="str">
        <f t="shared" ca="1" si="4"/>
        <v>=D246-D246*inputs!$E$35</v>
      </c>
      <c r="F247"/>
      <c r="G247"/>
      <c r="H247"/>
      <c r="I247"/>
      <c r="J247"/>
      <c r="K247"/>
      <c r="L247"/>
      <c r="M247"/>
      <c r="N247"/>
      <c r="O247"/>
      <c r="P247"/>
      <c r="Q247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  <c r="AJ247"/>
      <c r="AK247"/>
      <c r="AL247"/>
      <c r="AM247"/>
      <c r="AN247"/>
      <c r="AO247"/>
      <c r="AP247"/>
      <c r="AQ247"/>
      <c r="AR247"/>
      <c r="AS247"/>
      <c r="AT247"/>
      <c r="AU247"/>
      <c r="AV247"/>
      <c r="AW247"/>
      <c r="AX247"/>
      <c r="AY247"/>
      <c r="AZ247"/>
      <c r="BA247"/>
      <c r="BB247"/>
      <c r="BC247"/>
      <c r="BD247"/>
      <c r="BE247"/>
      <c r="BF247"/>
      <c r="BG247"/>
      <c r="BH247"/>
      <c r="BI247"/>
      <c r="BJ247"/>
      <c r="BK247"/>
      <c r="BL247"/>
      <c r="BM247"/>
      <c r="BN247"/>
      <c r="BO247"/>
      <c r="BP247"/>
      <c r="BQ247"/>
      <c r="BR247"/>
      <c r="BS247"/>
      <c r="BT247"/>
      <c r="BU247"/>
      <c r="BV247"/>
      <c r="BW247"/>
      <c r="BX247"/>
      <c r="BY247"/>
      <c r="BZ247"/>
      <c r="CA247"/>
      <c r="CB247"/>
      <c r="CC247"/>
      <c r="CD247"/>
      <c r="CE247"/>
      <c r="CF247"/>
      <c r="CG247"/>
      <c r="CH247"/>
      <c r="CI247"/>
      <c r="CJ247"/>
      <c r="CK247"/>
      <c r="CL247"/>
      <c r="CM247"/>
      <c r="CN247"/>
      <c r="CO247"/>
      <c r="CP247"/>
      <c r="CQ247"/>
      <c r="CR247"/>
      <c r="CS247"/>
      <c r="CT247"/>
      <c r="CU247"/>
      <c r="CV247"/>
      <c r="CW247"/>
      <c r="CX247"/>
      <c r="CY247"/>
      <c r="CZ247"/>
      <c r="DA247"/>
      <c r="DB247"/>
      <c r="DC247"/>
      <c r="DD247"/>
      <c r="DE247"/>
      <c r="DF247"/>
    </row>
    <row r="248" spans="1:110" s="16" customFormat="1" x14ac:dyDescent="0.3">
      <c r="A248" t="s">
        <v>32</v>
      </c>
      <c r="B248" t="s">
        <v>290</v>
      </c>
      <c r="C248" t="s">
        <v>379</v>
      </c>
      <c r="D248" s="10">
        <f>D247-D247*inputs!$E$35</f>
        <v>0</v>
      </c>
      <c r="E248" t="str">
        <f t="shared" ca="1" si="4"/>
        <v>=D247-D247*inputs!$E$35</v>
      </c>
      <c r="F248"/>
      <c r="G248"/>
      <c r="H248"/>
      <c r="I248"/>
      <c r="J248"/>
      <c r="K248"/>
      <c r="L248"/>
      <c r="M248"/>
      <c r="N248"/>
      <c r="O248"/>
      <c r="P248"/>
      <c r="Q248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  <c r="AJ248"/>
      <c r="AK248"/>
      <c r="AL248"/>
      <c r="AM248"/>
      <c r="AN248"/>
      <c r="AO248"/>
      <c r="AP248"/>
      <c r="AQ248"/>
      <c r="AR248"/>
      <c r="AS248"/>
      <c r="AT248"/>
      <c r="AU248"/>
      <c r="AV248"/>
      <c r="AW248"/>
      <c r="AX248"/>
      <c r="AY248"/>
      <c r="AZ248"/>
      <c r="BA248"/>
      <c r="BB248"/>
      <c r="BC248"/>
      <c r="BD248"/>
      <c r="BE248"/>
      <c r="BF248"/>
      <c r="BG248"/>
      <c r="BH248"/>
      <c r="BI248"/>
      <c r="BJ248"/>
      <c r="BK248"/>
      <c r="BL248"/>
      <c r="BM248"/>
      <c r="BN248"/>
      <c r="BO248"/>
      <c r="BP248"/>
      <c r="BQ248"/>
      <c r="BR248"/>
      <c r="BS248"/>
      <c r="BT248"/>
      <c r="BU248"/>
      <c r="BV248"/>
      <c r="BW248"/>
      <c r="BX248"/>
      <c r="BY248"/>
      <c r="BZ248"/>
      <c r="CA248"/>
      <c r="CB248"/>
      <c r="CC248"/>
      <c r="CD248"/>
      <c r="CE248"/>
      <c r="CF248"/>
      <c r="CG248"/>
      <c r="CH248"/>
      <c r="CI248"/>
      <c r="CJ248"/>
      <c r="CK248"/>
      <c r="CL248"/>
      <c r="CM248"/>
      <c r="CN248"/>
      <c r="CO248"/>
      <c r="CP248"/>
      <c r="CQ248"/>
      <c r="CR248"/>
      <c r="CS248"/>
      <c r="CT248"/>
      <c r="CU248"/>
      <c r="CV248"/>
      <c r="CW248"/>
      <c r="CX248"/>
      <c r="CY248"/>
      <c r="CZ248"/>
      <c r="DA248"/>
      <c r="DB248"/>
      <c r="DC248"/>
      <c r="DD248"/>
      <c r="DE248"/>
      <c r="DF248"/>
    </row>
    <row r="249" spans="1:110" s="16" customFormat="1" x14ac:dyDescent="0.3">
      <c r="A249" t="s">
        <v>32</v>
      </c>
      <c r="B249" t="s">
        <v>290</v>
      </c>
      <c r="C249" t="s">
        <v>380</v>
      </c>
      <c r="D249" s="10">
        <f>D248-D248*inputs!$E$35</f>
        <v>0</v>
      </c>
      <c r="E249" t="str">
        <f t="shared" ca="1" si="4"/>
        <v>=D248-D248*inputs!$E$35</v>
      </c>
      <c r="F249"/>
      <c r="G249"/>
      <c r="H249"/>
      <c r="I249"/>
      <c r="J249"/>
      <c r="K249"/>
      <c r="L249"/>
      <c r="M249"/>
      <c r="N249"/>
      <c r="O249"/>
      <c r="P249"/>
      <c r="Q249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  <c r="AJ249"/>
      <c r="AK249"/>
      <c r="AL249"/>
      <c r="AM249"/>
      <c r="AN249"/>
      <c r="AO249"/>
      <c r="AP249"/>
      <c r="AQ249"/>
      <c r="AR249"/>
      <c r="AS249"/>
      <c r="AT249"/>
      <c r="AU249"/>
      <c r="AV249"/>
      <c r="AW249"/>
      <c r="AX249"/>
      <c r="AY249"/>
      <c r="AZ249"/>
      <c r="BA249"/>
      <c r="BB249"/>
      <c r="BC249"/>
      <c r="BD249"/>
      <c r="BE249"/>
      <c r="BF249"/>
      <c r="BG249"/>
      <c r="BH249"/>
      <c r="BI249"/>
      <c r="BJ249"/>
      <c r="BK249"/>
      <c r="BL249"/>
      <c r="BM249"/>
      <c r="BN249"/>
      <c r="BO249"/>
      <c r="BP249"/>
      <c r="BQ249"/>
      <c r="BR249"/>
      <c r="BS249"/>
      <c r="BT249"/>
      <c r="BU249"/>
      <c r="BV249"/>
      <c r="BW249"/>
      <c r="BX249"/>
      <c r="BY249"/>
      <c r="BZ249"/>
      <c r="CA249"/>
      <c r="CB249"/>
      <c r="CC249"/>
      <c r="CD249"/>
      <c r="CE249"/>
      <c r="CF249"/>
      <c r="CG249"/>
      <c r="CH249"/>
      <c r="CI249"/>
      <c r="CJ249"/>
      <c r="CK249"/>
      <c r="CL249"/>
      <c r="CM249"/>
      <c r="CN249"/>
      <c r="CO249"/>
      <c r="CP249"/>
      <c r="CQ249"/>
      <c r="CR249"/>
      <c r="CS249"/>
      <c r="CT249"/>
      <c r="CU249"/>
      <c r="CV249"/>
      <c r="CW249"/>
      <c r="CX249"/>
      <c r="CY249"/>
      <c r="CZ249"/>
      <c r="DA249"/>
      <c r="DB249"/>
      <c r="DC249"/>
      <c r="DD249"/>
      <c r="DE249"/>
      <c r="DF249"/>
    </row>
    <row r="250" spans="1:110" s="16" customFormat="1" x14ac:dyDescent="0.3">
      <c r="A250" t="s">
        <v>32</v>
      </c>
      <c r="B250" t="s">
        <v>290</v>
      </c>
      <c r="C250" t="s">
        <v>381</v>
      </c>
      <c r="D250" s="10">
        <f>D249-D249*inputs!$E$35</f>
        <v>0</v>
      </c>
      <c r="E250" t="str">
        <f t="shared" ca="1" si="4"/>
        <v>=D249-D249*inputs!$E$35</v>
      </c>
      <c r="F250"/>
      <c r="G250"/>
      <c r="H250"/>
      <c r="I250"/>
      <c r="J250"/>
      <c r="K250"/>
      <c r="L250"/>
      <c r="M250"/>
      <c r="N250"/>
      <c r="O250"/>
      <c r="P250"/>
      <c r="Q250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  <c r="AJ250"/>
      <c r="AK250"/>
      <c r="AL250"/>
      <c r="AM250"/>
      <c r="AN250"/>
      <c r="AO250"/>
      <c r="AP250"/>
      <c r="AQ250"/>
      <c r="AR250"/>
      <c r="AS250"/>
      <c r="AT250"/>
      <c r="AU250"/>
      <c r="AV250"/>
      <c r="AW250"/>
      <c r="AX250"/>
      <c r="AY250"/>
      <c r="AZ250"/>
      <c r="BA250"/>
      <c r="BB250"/>
      <c r="BC250"/>
      <c r="BD250"/>
      <c r="BE250"/>
      <c r="BF250"/>
      <c r="BG250"/>
      <c r="BH250"/>
      <c r="BI250"/>
      <c r="BJ250"/>
      <c r="BK250"/>
      <c r="BL250"/>
      <c r="BM250"/>
      <c r="BN250"/>
      <c r="BO250"/>
      <c r="BP250"/>
      <c r="BQ250"/>
      <c r="BR250"/>
      <c r="BS250"/>
      <c r="BT250"/>
      <c r="BU250"/>
      <c r="BV250"/>
      <c r="BW250"/>
      <c r="BX250"/>
      <c r="BY250"/>
      <c r="BZ250"/>
      <c r="CA250"/>
      <c r="CB250"/>
      <c r="CC250"/>
      <c r="CD250"/>
      <c r="CE250"/>
      <c r="CF250"/>
      <c r="CG250"/>
      <c r="CH250"/>
      <c r="CI250"/>
      <c r="CJ250"/>
      <c r="CK250"/>
      <c r="CL250"/>
      <c r="CM250"/>
      <c r="CN250"/>
      <c r="CO250"/>
      <c r="CP250"/>
      <c r="CQ250"/>
      <c r="CR250"/>
      <c r="CS250"/>
      <c r="CT250"/>
      <c r="CU250"/>
      <c r="CV250"/>
      <c r="CW250"/>
      <c r="CX250"/>
      <c r="CY250"/>
      <c r="CZ250"/>
      <c r="DA250"/>
      <c r="DB250"/>
      <c r="DC250"/>
      <c r="DD250"/>
      <c r="DE250"/>
      <c r="DF250"/>
    </row>
    <row r="251" spans="1:110" s="16" customFormat="1" x14ac:dyDescent="0.3">
      <c r="A251" t="s">
        <v>32</v>
      </c>
      <c r="B251" t="s">
        <v>290</v>
      </c>
      <c r="C251" t="s">
        <v>382</v>
      </c>
      <c r="D251" s="10">
        <f>D250-D250*inputs!$E$35</f>
        <v>0</v>
      </c>
      <c r="E251" t="str">
        <f t="shared" ca="1" si="4"/>
        <v>=D250-D250*inputs!$E$35</v>
      </c>
      <c r="F251"/>
      <c r="G251"/>
      <c r="H251"/>
      <c r="I251"/>
      <c r="J251"/>
      <c r="K251"/>
      <c r="L251"/>
      <c r="M251"/>
      <c r="N251"/>
      <c r="O251"/>
      <c r="P251"/>
      <c r="Q251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  <c r="AJ251"/>
      <c r="AK251"/>
      <c r="AL251"/>
      <c r="AM251"/>
      <c r="AN251"/>
      <c r="AO251"/>
      <c r="AP251"/>
      <c r="AQ251"/>
      <c r="AR251"/>
      <c r="AS251"/>
      <c r="AT251"/>
      <c r="AU251"/>
      <c r="AV251"/>
      <c r="AW251"/>
      <c r="AX251"/>
      <c r="AY251"/>
      <c r="AZ251"/>
      <c r="BA251"/>
      <c r="BB251"/>
      <c r="BC251"/>
      <c r="BD251"/>
      <c r="BE251"/>
      <c r="BF251"/>
      <c r="BG251"/>
      <c r="BH251"/>
      <c r="BI251"/>
      <c r="BJ251"/>
      <c r="BK251"/>
      <c r="BL251"/>
      <c r="BM251"/>
      <c r="BN251"/>
      <c r="BO251"/>
      <c r="BP251"/>
      <c r="BQ251"/>
      <c r="BR251"/>
      <c r="BS251"/>
      <c r="BT251"/>
      <c r="BU251"/>
      <c r="BV251"/>
      <c r="BW251"/>
      <c r="BX251"/>
      <c r="BY251"/>
      <c r="BZ251"/>
      <c r="CA251"/>
      <c r="CB251"/>
      <c r="CC251"/>
      <c r="CD251"/>
      <c r="CE251"/>
      <c r="CF251"/>
      <c r="CG251"/>
      <c r="CH251"/>
      <c r="CI251"/>
      <c r="CJ251"/>
      <c r="CK251"/>
      <c r="CL251"/>
      <c r="CM251"/>
      <c r="CN251"/>
      <c r="CO251"/>
      <c r="CP251"/>
      <c r="CQ251"/>
      <c r="CR251"/>
      <c r="CS251"/>
      <c r="CT251"/>
      <c r="CU251"/>
      <c r="CV251"/>
      <c r="CW251"/>
      <c r="CX251"/>
      <c r="CY251"/>
      <c r="CZ251"/>
      <c r="DA251"/>
      <c r="DB251"/>
      <c r="DC251"/>
      <c r="DD251"/>
      <c r="DE251"/>
      <c r="DF251"/>
    </row>
    <row r="252" spans="1:110" s="16" customFormat="1" x14ac:dyDescent="0.3">
      <c r="A252" t="s">
        <v>32</v>
      </c>
      <c r="B252" t="s">
        <v>290</v>
      </c>
      <c r="C252" t="s">
        <v>383</v>
      </c>
      <c r="D252" s="10">
        <f>D251-D251*inputs!$E$35</f>
        <v>0</v>
      </c>
      <c r="E252" t="str">
        <f t="shared" ca="1" si="4"/>
        <v>=D251-D251*inputs!$E$35</v>
      </c>
      <c r="F252"/>
      <c r="G252"/>
      <c r="H252"/>
      <c r="I252"/>
      <c r="J252"/>
      <c r="K252"/>
      <c r="L252"/>
      <c r="M252"/>
      <c r="N252"/>
      <c r="O252"/>
      <c r="P252"/>
      <c r="Q252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  <c r="AJ252"/>
      <c r="AK252"/>
      <c r="AL252"/>
      <c r="AM252"/>
      <c r="AN252"/>
      <c r="AO252"/>
      <c r="AP252"/>
      <c r="AQ252"/>
      <c r="AR252"/>
      <c r="AS252"/>
      <c r="AT252"/>
      <c r="AU252"/>
      <c r="AV252"/>
      <c r="AW252"/>
      <c r="AX252"/>
      <c r="AY252"/>
      <c r="AZ252"/>
      <c r="BA252"/>
      <c r="BB252"/>
      <c r="BC252"/>
      <c r="BD252"/>
      <c r="BE252"/>
      <c r="BF252"/>
      <c r="BG252"/>
      <c r="BH252"/>
      <c r="BI252"/>
      <c r="BJ252"/>
      <c r="BK252"/>
      <c r="BL252"/>
      <c r="BM252"/>
      <c r="BN252"/>
      <c r="BO252"/>
      <c r="BP252"/>
      <c r="BQ252"/>
      <c r="BR252"/>
      <c r="BS252"/>
      <c r="BT252"/>
      <c r="BU252"/>
      <c r="BV252"/>
      <c r="BW252"/>
      <c r="BX252"/>
      <c r="BY252"/>
      <c r="BZ252"/>
      <c r="CA252"/>
      <c r="CB252"/>
      <c r="CC252"/>
      <c r="CD252"/>
      <c r="CE252"/>
      <c r="CF252"/>
      <c r="CG252"/>
      <c r="CH252"/>
      <c r="CI252"/>
      <c r="CJ252"/>
      <c r="CK252"/>
      <c r="CL252"/>
      <c r="CM252"/>
      <c r="CN252"/>
      <c r="CO252"/>
      <c r="CP252"/>
      <c r="CQ252"/>
      <c r="CR252"/>
      <c r="CS252"/>
      <c r="CT252"/>
      <c r="CU252"/>
      <c r="CV252"/>
      <c r="CW252"/>
      <c r="CX252"/>
      <c r="CY252"/>
      <c r="CZ252"/>
      <c r="DA252"/>
      <c r="DB252"/>
      <c r="DC252"/>
      <c r="DD252"/>
      <c r="DE252"/>
      <c r="DF252"/>
    </row>
    <row r="253" spans="1:110" s="16" customFormat="1" x14ac:dyDescent="0.3">
      <c r="A253" t="s">
        <v>32</v>
      </c>
      <c r="B253" t="s">
        <v>290</v>
      </c>
      <c r="C253" t="s">
        <v>384</v>
      </c>
      <c r="D253" s="10">
        <f>D252-D252*inputs!$E$35</f>
        <v>0</v>
      </c>
      <c r="E253" t="str">
        <f t="shared" ca="1" si="4"/>
        <v>=D252-D252*inputs!$E$35</v>
      </c>
      <c r="F253"/>
      <c r="G253"/>
      <c r="H253"/>
      <c r="I253"/>
      <c r="J253"/>
      <c r="K253"/>
      <c r="L253"/>
      <c r="M253"/>
      <c r="N253"/>
      <c r="O253"/>
      <c r="P253"/>
      <c r="Q253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  <c r="AJ253"/>
      <c r="AK253"/>
      <c r="AL253"/>
      <c r="AM253"/>
      <c r="AN253"/>
      <c r="AO253"/>
      <c r="AP253"/>
      <c r="AQ253"/>
      <c r="AR253"/>
      <c r="AS253"/>
      <c r="AT253"/>
      <c r="AU253"/>
      <c r="AV253"/>
      <c r="AW253"/>
      <c r="AX253"/>
      <c r="AY253"/>
      <c r="AZ253"/>
      <c r="BA253"/>
      <c r="BB253"/>
      <c r="BC253"/>
      <c r="BD253"/>
      <c r="BE253"/>
      <c r="BF253"/>
      <c r="BG253"/>
      <c r="BH253"/>
      <c r="BI253"/>
      <c r="BJ253"/>
      <c r="BK253"/>
      <c r="BL253"/>
      <c r="BM253"/>
      <c r="BN253"/>
      <c r="BO253"/>
      <c r="BP253"/>
      <c r="BQ253"/>
      <c r="BR253"/>
      <c r="BS253"/>
      <c r="BT253"/>
      <c r="BU253"/>
      <c r="BV253"/>
      <c r="BW253"/>
      <c r="BX253"/>
      <c r="BY253"/>
      <c r="BZ253"/>
      <c r="CA253"/>
      <c r="CB253"/>
      <c r="CC253"/>
      <c r="CD253"/>
      <c r="CE253"/>
      <c r="CF253"/>
      <c r="CG253"/>
      <c r="CH253"/>
      <c r="CI253"/>
      <c r="CJ253"/>
      <c r="CK253"/>
      <c r="CL253"/>
      <c r="CM253"/>
      <c r="CN253"/>
      <c r="CO253"/>
      <c r="CP253"/>
      <c r="CQ253"/>
      <c r="CR253"/>
      <c r="CS253"/>
      <c r="CT253"/>
      <c r="CU253"/>
      <c r="CV253"/>
      <c r="CW253"/>
      <c r="CX253"/>
      <c r="CY253"/>
      <c r="CZ253"/>
      <c r="DA253"/>
      <c r="DB253"/>
      <c r="DC253"/>
      <c r="DD253"/>
      <c r="DE253"/>
      <c r="DF253"/>
    </row>
    <row r="254" spans="1:110" s="16" customFormat="1" x14ac:dyDescent="0.3">
      <c r="A254" t="s">
        <v>32</v>
      </c>
      <c r="B254" t="s">
        <v>290</v>
      </c>
      <c r="C254" t="s">
        <v>385</v>
      </c>
      <c r="D254" s="10">
        <f>D253-D253*inputs!$E$35</f>
        <v>0</v>
      </c>
      <c r="E254" t="str">
        <f t="shared" ca="1" si="4"/>
        <v>=D253-D253*inputs!$E$35</v>
      </c>
      <c r="F254"/>
      <c r="G254"/>
      <c r="H254"/>
      <c r="I254"/>
      <c r="J254"/>
      <c r="K254"/>
      <c r="L254"/>
      <c r="M254"/>
      <c r="N254"/>
      <c r="O254"/>
      <c r="P254"/>
      <c r="Q254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  <c r="AJ254"/>
      <c r="AK254"/>
      <c r="AL254"/>
      <c r="AM254"/>
      <c r="AN254"/>
      <c r="AO254"/>
      <c r="AP254"/>
      <c r="AQ254"/>
      <c r="AR254"/>
      <c r="AS254"/>
      <c r="AT254"/>
      <c r="AU254"/>
      <c r="AV254"/>
      <c r="AW254"/>
      <c r="AX254"/>
      <c r="AY254"/>
      <c r="AZ254"/>
      <c r="BA254"/>
      <c r="BB254"/>
      <c r="BC254"/>
      <c r="BD254"/>
      <c r="BE254"/>
      <c r="BF254"/>
      <c r="BG254"/>
      <c r="BH254"/>
      <c r="BI254"/>
      <c r="BJ254"/>
      <c r="BK254"/>
      <c r="BL254"/>
      <c r="BM254"/>
      <c r="BN254"/>
      <c r="BO254"/>
      <c r="BP254"/>
      <c r="BQ254"/>
      <c r="BR254"/>
      <c r="BS254"/>
      <c r="BT254"/>
      <c r="BU254"/>
      <c r="BV254"/>
      <c r="BW254"/>
      <c r="BX254"/>
      <c r="BY254"/>
      <c r="BZ254"/>
      <c r="CA254"/>
      <c r="CB254"/>
      <c r="CC254"/>
      <c r="CD254"/>
      <c r="CE254"/>
      <c r="CF254"/>
      <c r="CG254"/>
      <c r="CH254"/>
      <c r="CI254"/>
      <c r="CJ254"/>
      <c r="CK254"/>
      <c r="CL254"/>
      <c r="CM254"/>
      <c r="CN254"/>
      <c r="CO254"/>
      <c r="CP254"/>
      <c r="CQ254"/>
      <c r="CR254"/>
      <c r="CS254"/>
      <c r="CT254"/>
      <c r="CU254"/>
      <c r="CV254"/>
      <c r="CW254"/>
      <c r="CX254"/>
      <c r="CY254"/>
      <c r="CZ254"/>
      <c r="DA254"/>
      <c r="DB254"/>
      <c r="DC254"/>
      <c r="DD254"/>
      <c r="DE254"/>
      <c r="DF254"/>
    </row>
    <row r="255" spans="1:110" s="16" customFormat="1" x14ac:dyDescent="0.3">
      <c r="A255" t="s">
        <v>32</v>
      </c>
      <c r="B255" t="s">
        <v>290</v>
      </c>
      <c r="C255" t="s">
        <v>386</v>
      </c>
      <c r="D255" s="10">
        <f>D254-D254*inputs!$E$35</f>
        <v>0</v>
      </c>
      <c r="E255" t="str">
        <f t="shared" ca="1" si="4"/>
        <v>=D254-D254*inputs!$E$35</v>
      </c>
      <c r="F255"/>
      <c r="G255"/>
      <c r="H255"/>
      <c r="I255"/>
      <c r="J255"/>
      <c r="K255"/>
      <c r="L255"/>
      <c r="M255"/>
      <c r="N255"/>
      <c r="O255"/>
      <c r="P255"/>
      <c r="Q255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  <c r="AJ255"/>
      <c r="AK255"/>
      <c r="AL255"/>
      <c r="AM255"/>
      <c r="AN255"/>
      <c r="AO255"/>
      <c r="AP255"/>
      <c r="AQ255"/>
      <c r="AR255"/>
      <c r="AS255"/>
      <c r="AT255"/>
      <c r="AU255"/>
      <c r="AV255"/>
      <c r="AW255"/>
      <c r="AX255"/>
      <c r="AY255"/>
      <c r="AZ255"/>
      <c r="BA255"/>
      <c r="BB255"/>
      <c r="BC255"/>
      <c r="BD255"/>
      <c r="BE255"/>
      <c r="BF255"/>
      <c r="BG255"/>
      <c r="BH255"/>
      <c r="BI255"/>
      <c r="BJ255"/>
      <c r="BK255"/>
      <c r="BL255"/>
      <c r="BM255"/>
      <c r="BN255"/>
      <c r="BO255"/>
      <c r="BP255"/>
      <c r="BQ255"/>
      <c r="BR255"/>
      <c r="BS255"/>
      <c r="BT255"/>
      <c r="BU255"/>
      <c r="BV255"/>
      <c r="BW255"/>
      <c r="BX255"/>
      <c r="BY255"/>
      <c r="BZ255"/>
      <c r="CA255"/>
      <c r="CB255"/>
      <c r="CC255"/>
      <c r="CD255"/>
      <c r="CE255"/>
      <c r="CF255"/>
      <c r="CG255"/>
      <c r="CH255"/>
      <c r="CI255"/>
      <c r="CJ255"/>
      <c r="CK255"/>
      <c r="CL255"/>
      <c r="CM255"/>
      <c r="CN255"/>
      <c r="CO255"/>
      <c r="CP255"/>
      <c r="CQ255"/>
      <c r="CR255"/>
      <c r="CS255"/>
      <c r="CT255"/>
      <c r="CU255"/>
      <c r="CV255"/>
      <c r="CW255"/>
      <c r="CX255"/>
      <c r="CY255"/>
      <c r="CZ255"/>
      <c r="DA255"/>
      <c r="DB255"/>
      <c r="DC255"/>
      <c r="DD255"/>
      <c r="DE255"/>
      <c r="DF255"/>
    </row>
    <row r="256" spans="1:110" s="16" customFormat="1" x14ac:dyDescent="0.3">
      <c r="A256" t="s">
        <v>32</v>
      </c>
      <c r="B256" t="s">
        <v>290</v>
      </c>
      <c r="C256" t="s">
        <v>387</v>
      </c>
      <c r="D256" s="10">
        <f>D255-D255*inputs!$E$35</f>
        <v>0</v>
      </c>
      <c r="E256" t="str">
        <f t="shared" ca="1" si="4"/>
        <v>=D255-D255*inputs!$E$35</v>
      </c>
      <c r="F256"/>
      <c r="G256"/>
      <c r="H256"/>
      <c r="I256"/>
      <c r="J256"/>
      <c r="K256"/>
      <c r="L256"/>
      <c r="M256"/>
      <c r="N256"/>
      <c r="O256"/>
      <c r="P256"/>
      <c r="Q25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  <c r="AJ256"/>
      <c r="AK256"/>
      <c r="AL256"/>
      <c r="AM256"/>
      <c r="AN256"/>
      <c r="AO256"/>
      <c r="AP256"/>
      <c r="AQ256"/>
      <c r="AR256"/>
      <c r="AS256"/>
      <c r="AT256"/>
      <c r="AU256"/>
      <c r="AV256"/>
      <c r="AW256"/>
      <c r="AX256"/>
      <c r="AY256"/>
      <c r="AZ256"/>
      <c r="BA256"/>
      <c r="BB256"/>
      <c r="BC256"/>
      <c r="BD256"/>
      <c r="BE256"/>
      <c r="BF256"/>
      <c r="BG256"/>
      <c r="BH256"/>
      <c r="BI256"/>
      <c r="BJ256"/>
      <c r="BK256"/>
      <c r="BL256"/>
      <c r="BM256"/>
      <c r="BN256"/>
      <c r="BO256"/>
      <c r="BP256"/>
      <c r="BQ256"/>
      <c r="BR256"/>
      <c r="BS256"/>
      <c r="BT256"/>
      <c r="BU256"/>
      <c r="BV256"/>
      <c r="BW256"/>
      <c r="BX256"/>
      <c r="BY256"/>
      <c r="BZ256"/>
      <c r="CA256"/>
      <c r="CB256"/>
      <c r="CC256"/>
      <c r="CD256"/>
      <c r="CE256"/>
      <c r="CF256"/>
      <c r="CG256"/>
      <c r="CH256"/>
      <c r="CI256"/>
      <c r="CJ256"/>
      <c r="CK256"/>
      <c r="CL256"/>
      <c r="CM256"/>
      <c r="CN256"/>
      <c r="CO256"/>
      <c r="CP256"/>
      <c r="CQ256"/>
      <c r="CR256"/>
      <c r="CS256"/>
      <c r="CT256"/>
      <c r="CU256"/>
      <c r="CV256"/>
      <c r="CW256"/>
      <c r="CX256"/>
      <c r="CY256"/>
      <c r="CZ256"/>
      <c r="DA256"/>
      <c r="DB256"/>
      <c r="DC256"/>
      <c r="DD256"/>
      <c r="DE256"/>
      <c r="DF256"/>
    </row>
    <row r="257" spans="1:110" s="16" customFormat="1" x14ac:dyDescent="0.3">
      <c r="A257" t="s">
        <v>32</v>
      </c>
      <c r="B257" t="s">
        <v>290</v>
      </c>
      <c r="C257" t="s">
        <v>388</v>
      </c>
      <c r="D257" s="10">
        <f>D256-D256*inputs!$E$36</f>
        <v>0</v>
      </c>
      <c r="E257" t="str">
        <f t="shared" ca="1" si="4"/>
        <v>=D256-D256*inputs!$E$36</v>
      </c>
      <c r="F257"/>
      <c r="G257"/>
      <c r="H257"/>
      <c r="I257"/>
      <c r="J257"/>
      <c r="K257"/>
      <c r="L257"/>
      <c r="M257"/>
      <c r="N257"/>
      <c r="O257"/>
      <c r="P257"/>
      <c r="Q257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  <c r="AJ257"/>
      <c r="AK257"/>
      <c r="AL257"/>
      <c r="AM257"/>
      <c r="AN257"/>
      <c r="AO257"/>
      <c r="AP257"/>
      <c r="AQ257"/>
      <c r="AR257"/>
      <c r="AS257"/>
      <c r="AT257"/>
      <c r="AU257"/>
      <c r="AV257"/>
      <c r="AW257"/>
      <c r="AX257"/>
      <c r="AY257"/>
      <c r="AZ257"/>
      <c r="BA257"/>
      <c r="BB257"/>
      <c r="BC257"/>
      <c r="BD257"/>
      <c r="BE257"/>
      <c r="BF257"/>
      <c r="BG257"/>
      <c r="BH257"/>
      <c r="BI257"/>
      <c r="BJ257"/>
      <c r="BK257"/>
      <c r="BL257"/>
      <c r="BM257"/>
      <c r="BN257"/>
      <c r="BO257"/>
      <c r="BP257"/>
      <c r="BQ257"/>
      <c r="BR257"/>
      <c r="BS257"/>
      <c r="BT257"/>
      <c r="BU257"/>
      <c r="BV257"/>
      <c r="BW257"/>
      <c r="BX257"/>
      <c r="BY257"/>
      <c r="BZ257"/>
      <c r="CA257"/>
      <c r="CB257"/>
      <c r="CC257"/>
      <c r="CD257"/>
      <c r="CE257"/>
      <c r="CF257"/>
      <c r="CG257"/>
      <c r="CH257"/>
      <c r="CI257"/>
      <c r="CJ257"/>
      <c r="CK257"/>
      <c r="CL257"/>
      <c r="CM257"/>
      <c r="CN257"/>
      <c r="CO257"/>
      <c r="CP257"/>
      <c r="CQ257"/>
      <c r="CR257"/>
      <c r="CS257"/>
      <c r="CT257"/>
      <c r="CU257"/>
      <c r="CV257"/>
      <c r="CW257"/>
      <c r="CX257"/>
      <c r="CY257"/>
      <c r="CZ257"/>
      <c r="DA257"/>
      <c r="DB257"/>
      <c r="DC257"/>
      <c r="DD257"/>
      <c r="DE257"/>
      <c r="DF257"/>
    </row>
    <row r="258" spans="1:110" s="16" customFormat="1" x14ac:dyDescent="0.3">
      <c r="A258" t="s">
        <v>32</v>
      </c>
      <c r="B258" t="s">
        <v>290</v>
      </c>
      <c r="C258" t="s">
        <v>389</v>
      </c>
      <c r="D258" s="10">
        <f>D257-D257*inputs!$E$36</f>
        <v>0</v>
      </c>
      <c r="E258" t="str">
        <f t="shared" ca="1" si="4"/>
        <v>=D257-D257*inputs!$E$36</v>
      </c>
      <c r="F258"/>
      <c r="G258"/>
      <c r="H258"/>
      <c r="I258"/>
      <c r="J258"/>
      <c r="K258"/>
      <c r="L258"/>
      <c r="M258"/>
      <c r="N258"/>
      <c r="O258"/>
      <c r="P258"/>
      <c r="Q258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  <c r="AJ258"/>
      <c r="AK258"/>
      <c r="AL258"/>
      <c r="AM258"/>
      <c r="AN258"/>
      <c r="AO258"/>
      <c r="AP258"/>
      <c r="AQ258"/>
      <c r="AR258"/>
      <c r="AS258"/>
      <c r="AT258"/>
      <c r="AU258"/>
      <c r="AV258"/>
      <c r="AW258"/>
      <c r="AX258"/>
      <c r="AY258"/>
      <c r="AZ258"/>
      <c r="BA258"/>
      <c r="BB258"/>
      <c r="BC258"/>
      <c r="BD258"/>
      <c r="BE258"/>
      <c r="BF258"/>
      <c r="BG258"/>
      <c r="BH258"/>
      <c r="BI258"/>
      <c r="BJ258"/>
      <c r="BK258"/>
      <c r="BL258"/>
      <c r="BM258"/>
      <c r="BN258"/>
      <c r="BO258"/>
      <c r="BP258"/>
      <c r="BQ258"/>
      <c r="BR258"/>
      <c r="BS258"/>
      <c r="BT258"/>
      <c r="BU258"/>
      <c r="BV258"/>
      <c r="BW258"/>
      <c r="BX258"/>
      <c r="BY258"/>
      <c r="BZ258"/>
      <c r="CA258"/>
      <c r="CB258"/>
      <c r="CC258"/>
      <c r="CD258"/>
      <c r="CE258"/>
      <c r="CF258"/>
      <c r="CG258"/>
      <c r="CH258"/>
      <c r="CI258"/>
      <c r="CJ258"/>
      <c r="CK258"/>
      <c r="CL258"/>
      <c r="CM258"/>
      <c r="CN258"/>
      <c r="CO258"/>
      <c r="CP258"/>
      <c r="CQ258"/>
      <c r="CR258"/>
      <c r="CS258"/>
      <c r="CT258"/>
      <c r="CU258"/>
      <c r="CV258"/>
      <c r="CW258"/>
      <c r="CX258"/>
      <c r="CY258"/>
      <c r="CZ258"/>
      <c r="DA258"/>
      <c r="DB258"/>
      <c r="DC258"/>
      <c r="DD258"/>
      <c r="DE258"/>
      <c r="DF258"/>
    </row>
    <row r="259" spans="1:110" s="16" customFormat="1" x14ac:dyDescent="0.3">
      <c r="A259" t="s">
        <v>32</v>
      </c>
      <c r="B259" t="s">
        <v>290</v>
      </c>
      <c r="C259" t="s">
        <v>390</v>
      </c>
      <c r="D259" s="10">
        <f>D258-D258*inputs!$E$36</f>
        <v>0</v>
      </c>
      <c r="E259" t="str">
        <f t="shared" ca="1" si="4"/>
        <v>=D258-D258*inputs!$E$36</v>
      </c>
      <c r="F259"/>
      <c r="G259"/>
      <c r="H259"/>
      <c r="I259"/>
      <c r="J259"/>
      <c r="K259"/>
      <c r="L259"/>
      <c r="M259"/>
      <c r="N259"/>
      <c r="O259"/>
      <c r="P259"/>
      <c r="Q259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  <c r="AJ259"/>
      <c r="AK259"/>
      <c r="AL259"/>
      <c r="AM259"/>
      <c r="AN259"/>
      <c r="AO259"/>
      <c r="AP259"/>
      <c r="AQ259"/>
      <c r="AR259"/>
      <c r="AS259"/>
      <c r="AT259"/>
      <c r="AU259"/>
      <c r="AV259"/>
      <c r="AW259"/>
      <c r="AX259"/>
      <c r="AY259"/>
      <c r="AZ259"/>
      <c r="BA259"/>
      <c r="BB259"/>
      <c r="BC259"/>
      <c r="BD259"/>
      <c r="BE259"/>
      <c r="BF259"/>
      <c r="BG259"/>
      <c r="BH259"/>
      <c r="BI259"/>
      <c r="BJ259"/>
      <c r="BK259"/>
      <c r="BL259"/>
      <c r="BM259"/>
      <c r="BN259"/>
      <c r="BO259"/>
      <c r="BP259"/>
      <c r="BQ259"/>
      <c r="BR259"/>
      <c r="BS259"/>
      <c r="BT259"/>
      <c r="BU259"/>
      <c r="BV259"/>
      <c r="BW259"/>
      <c r="BX259"/>
      <c r="BY259"/>
      <c r="BZ259"/>
      <c r="CA259"/>
      <c r="CB259"/>
      <c r="CC259"/>
      <c r="CD259"/>
      <c r="CE259"/>
      <c r="CF259"/>
      <c r="CG259"/>
      <c r="CH259"/>
      <c r="CI259"/>
      <c r="CJ259"/>
      <c r="CK259"/>
      <c r="CL259"/>
      <c r="CM259"/>
      <c r="CN259"/>
      <c r="CO259"/>
      <c r="CP259"/>
      <c r="CQ259"/>
      <c r="CR259"/>
      <c r="CS259"/>
      <c r="CT259"/>
      <c r="CU259"/>
      <c r="CV259"/>
      <c r="CW259"/>
      <c r="CX259"/>
      <c r="CY259"/>
      <c r="CZ259"/>
      <c r="DA259"/>
      <c r="DB259"/>
      <c r="DC259"/>
      <c r="DD259"/>
      <c r="DE259"/>
      <c r="DF259"/>
    </row>
    <row r="260" spans="1:110" s="16" customFormat="1" x14ac:dyDescent="0.3">
      <c r="A260" t="s">
        <v>32</v>
      </c>
      <c r="B260" t="s">
        <v>290</v>
      </c>
      <c r="C260" t="s">
        <v>391</v>
      </c>
      <c r="D260" s="10">
        <f>D259-D259*inputs!$E$36</f>
        <v>0</v>
      </c>
      <c r="E260" t="str">
        <f t="shared" ca="1" si="4"/>
        <v>=D259-D259*inputs!$E$36</v>
      </c>
      <c r="F260"/>
      <c r="G260"/>
      <c r="H260"/>
      <c r="I260"/>
      <c r="J260"/>
      <c r="K260"/>
      <c r="L260"/>
      <c r="M260"/>
      <c r="N260"/>
      <c r="O260"/>
      <c r="P260"/>
      <c r="Q260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  <c r="AJ260"/>
      <c r="AK260"/>
      <c r="AL260"/>
      <c r="AM260"/>
      <c r="AN260"/>
      <c r="AO260"/>
      <c r="AP260"/>
      <c r="AQ260"/>
      <c r="AR260"/>
      <c r="AS260"/>
      <c r="AT260"/>
      <c r="AU260"/>
      <c r="AV260"/>
      <c r="AW260"/>
      <c r="AX260"/>
      <c r="AY260"/>
      <c r="AZ260"/>
      <c r="BA260"/>
      <c r="BB260"/>
      <c r="BC260"/>
      <c r="BD260"/>
      <c r="BE260"/>
      <c r="BF260"/>
      <c r="BG260"/>
      <c r="BH260"/>
      <c r="BI260"/>
      <c r="BJ260"/>
      <c r="BK260"/>
      <c r="BL260"/>
      <c r="BM260"/>
      <c r="BN260"/>
      <c r="BO260"/>
      <c r="BP260"/>
      <c r="BQ260"/>
      <c r="BR260"/>
      <c r="BS260"/>
      <c r="BT260"/>
      <c r="BU260"/>
      <c r="BV260"/>
      <c r="BW260"/>
      <c r="BX260"/>
      <c r="BY260"/>
      <c r="BZ260"/>
      <c r="CA260"/>
      <c r="CB260"/>
      <c r="CC260"/>
      <c r="CD260"/>
      <c r="CE260"/>
      <c r="CF260"/>
      <c r="CG260"/>
      <c r="CH260"/>
      <c r="CI260"/>
      <c r="CJ260"/>
      <c r="CK260"/>
      <c r="CL260"/>
      <c r="CM260"/>
      <c r="CN260"/>
      <c r="CO260"/>
      <c r="CP260"/>
      <c r="CQ260"/>
      <c r="CR260"/>
      <c r="CS260"/>
      <c r="CT260"/>
      <c r="CU260"/>
      <c r="CV260"/>
      <c r="CW260"/>
      <c r="CX260"/>
      <c r="CY260"/>
      <c r="CZ260"/>
      <c r="DA260"/>
      <c r="DB260"/>
      <c r="DC260"/>
      <c r="DD260"/>
      <c r="DE260"/>
      <c r="DF260"/>
    </row>
    <row r="261" spans="1:110" s="16" customFormat="1" x14ac:dyDescent="0.3">
      <c r="A261" t="s">
        <v>32</v>
      </c>
      <c r="B261" t="s">
        <v>290</v>
      </c>
      <c r="C261" t="s">
        <v>392</v>
      </c>
      <c r="D261" s="10">
        <f>D260-D260*inputs!$E$36</f>
        <v>0</v>
      </c>
      <c r="E261" t="str">
        <f t="shared" ca="1" si="4"/>
        <v>=D260-D260*inputs!$E$36</v>
      </c>
      <c r="F261"/>
      <c r="G261"/>
      <c r="H261"/>
      <c r="I261"/>
      <c r="J261"/>
      <c r="K261"/>
      <c r="L261"/>
      <c r="M261"/>
      <c r="N261"/>
      <c r="O261"/>
      <c r="P261"/>
      <c r="Q261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  <c r="AJ261"/>
      <c r="AK261"/>
      <c r="AL261"/>
      <c r="AM261"/>
      <c r="AN261"/>
      <c r="AO261"/>
      <c r="AP261"/>
      <c r="AQ261"/>
      <c r="AR261"/>
      <c r="AS261"/>
      <c r="AT261"/>
      <c r="AU261"/>
      <c r="AV261"/>
      <c r="AW261"/>
      <c r="AX261"/>
      <c r="AY261"/>
      <c r="AZ261"/>
      <c r="BA261"/>
      <c r="BB261"/>
      <c r="BC261"/>
      <c r="BD261"/>
      <c r="BE261"/>
      <c r="BF261"/>
      <c r="BG261"/>
      <c r="BH261"/>
      <c r="BI261"/>
      <c r="BJ261"/>
      <c r="BK261"/>
      <c r="BL261"/>
      <c r="BM261"/>
      <c r="BN261"/>
      <c r="BO261"/>
      <c r="BP261"/>
      <c r="BQ261"/>
      <c r="BR261"/>
      <c r="BS261"/>
      <c r="BT261"/>
      <c r="BU261"/>
      <c r="BV261"/>
      <c r="BW261"/>
      <c r="BX261"/>
      <c r="BY261"/>
      <c r="BZ261"/>
      <c r="CA261"/>
      <c r="CB261"/>
      <c r="CC261"/>
      <c r="CD261"/>
      <c r="CE261"/>
      <c r="CF261"/>
      <c r="CG261"/>
      <c r="CH261"/>
      <c r="CI261"/>
      <c r="CJ261"/>
      <c r="CK261"/>
      <c r="CL261"/>
      <c r="CM261"/>
      <c r="CN261"/>
      <c r="CO261"/>
      <c r="CP261"/>
      <c r="CQ261"/>
      <c r="CR261"/>
      <c r="CS261"/>
      <c r="CT261"/>
      <c r="CU261"/>
      <c r="CV261"/>
      <c r="CW261"/>
      <c r="CX261"/>
      <c r="CY261"/>
      <c r="CZ261"/>
      <c r="DA261"/>
      <c r="DB261"/>
      <c r="DC261"/>
      <c r="DD261"/>
      <c r="DE261"/>
      <c r="DF261"/>
    </row>
    <row r="262" spans="1:110" s="16" customFormat="1" x14ac:dyDescent="0.3">
      <c r="A262" t="s">
        <v>32</v>
      </c>
      <c r="B262" t="s">
        <v>290</v>
      </c>
      <c r="C262" t="s">
        <v>393</v>
      </c>
      <c r="D262" s="10">
        <f>D261-D261*inputs!$E$37</f>
        <v>0</v>
      </c>
      <c r="E262" t="str">
        <f t="shared" ca="1" si="4"/>
        <v>=D261-D261*inputs!$E$37</v>
      </c>
      <c r="F262"/>
      <c r="G262"/>
      <c r="H262"/>
      <c r="I262"/>
      <c r="J262"/>
      <c r="K262"/>
      <c r="L262"/>
      <c r="M262"/>
      <c r="N262"/>
      <c r="O262"/>
      <c r="P262"/>
      <c r="Q262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  <c r="AJ262"/>
      <c r="AK262"/>
      <c r="AL262"/>
      <c r="AM262"/>
      <c r="AN262"/>
      <c r="AO262"/>
      <c r="AP262"/>
      <c r="AQ262"/>
      <c r="AR262"/>
      <c r="AS262"/>
      <c r="AT262"/>
      <c r="AU262"/>
      <c r="AV262"/>
      <c r="AW262"/>
      <c r="AX262"/>
      <c r="AY262"/>
      <c r="AZ262"/>
      <c r="BA262"/>
      <c r="BB262"/>
      <c r="BC262"/>
      <c r="BD262"/>
      <c r="BE262"/>
      <c r="BF262"/>
      <c r="BG262"/>
      <c r="BH262"/>
      <c r="BI262"/>
      <c r="BJ262"/>
      <c r="BK262"/>
      <c r="BL262"/>
      <c r="BM262"/>
      <c r="BN262"/>
      <c r="BO262"/>
      <c r="BP262"/>
      <c r="BQ262"/>
      <c r="BR262"/>
      <c r="BS262"/>
      <c r="BT262"/>
      <c r="BU262"/>
      <c r="BV262"/>
      <c r="BW262"/>
      <c r="BX262"/>
      <c r="BY262"/>
      <c r="BZ262"/>
      <c r="CA262"/>
      <c r="CB262"/>
      <c r="CC262"/>
      <c r="CD262"/>
      <c r="CE262"/>
      <c r="CF262"/>
      <c r="CG262"/>
      <c r="CH262"/>
      <c r="CI262"/>
      <c r="CJ262"/>
      <c r="CK262"/>
      <c r="CL262"/>
      <c r="CM262"/>
      <c r="CN262"/>
      <c r="CO262"/>
      <c r="CP262"/>
      <c r="CQ262"/>
      <c r="CR262"/>
      <c r="CS262"/>
      <c r="CT262"/>
      <c r="CU262"/>
      <c r="CV262"/>
      <c r="CW262"/>
      <c r="CX262"/>
      <c r="CY262"/>
      <c r="CZ262"/>
      <c r="DA262"/>
      <c r="DB262"/>
      <c r="DC262"/>
      <c r="DD262"/>
      <c r="DE262"/>
      <c r="DF262"/>
    </row>
    <row r="263" spans="1:110" s="16" customFormat="1" x14ac:dyDescent="0.3">
      <c r="A263" t="s">
        <v>32</v>
      </c>
      <c r="B263" t="s">
        <v>290</v>
      </c>
      <c r="C263" t="s">
        <v>394</v>
      </c>
      <c r="D263" s="10">
        <f>D262-D262*inputs!$E$37</f>
        <v>0</v>
      </c>
      <c r="E263" t="str">
        <f t="shared" ca="1" si="4"/>
        <v>=D262-D262*inputs!$E$37</v>
      </c>
      <c r="F263"/>
      <c r="G263"/>
      <c r="H263"/>
      <c r="I263"/>
      <c r="J263"/>
      <c r="K263"/>
      <c r="L263"/>
      <c r="M263"/>
      <c r="N263"/>
      <c r="O263"/>
      <c r="P263"/>
      <c r="Q263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  <c r="AJ263"/>
      <c r="AK263"/>
      <c r="AL263"/>
      <c r="AM263"/>
      <c r="AN263"/>
      <c r="AO263"/>
      <c r="AP263"/>
      <c r="AQ263"/>
      <c r="AR263"/>
      <c r="AS263"/>
      <c r="AT263"/>
      <c r="AU263"/>
      <c r="AV263"/>
      <c r="AW263"/>
      <c r="AX263"/>
      <c r="AY263"/>
      <c r="AZ263"/>
      <c r="BA263"/>
      <c r="BB263"/>
      <c r="BC263"/>
      <c r="BD263"/>
      <c r="BE263"/>
      <c r="BF263"/>
      <c r="BG263"/>
      <c r="BH263"/>
      <c r="BI263"/>
      <c r="BJ263"/>
      <c r="BK263"/>
      <c r="BL263"/>
      <c r="BM263"/>
      <c r="BN263"/>
      <c r="BO263"/>
      <c r="BP263"/>
      <c r="BQ263"/>
      <c r="BR263"/>
      <c r="BS263"/>
      <c r="BT263"/>
      <c r="BU263"/>
      <c r="BV263"/>
      <c r="BW263"/>
      <c r="BX263"/>
      <c r="BY263"/>
      <c r="BZ263"/>
      <c r="CA263"/>
      <c r="CB263"/>
      <c r="CC263"/>
      <c r="CD263"/>
      <c r="CE263"/>
      <c r="CF263"/>
      <c r="CG263"/>
      <c r="CH263"/>
      <c r="CI263"/>
      <c r="CJ263"/>
      <c r="CK263"/>
      <c r="CL263"/>
      <c r="CM263"/>
      <c r="CN263"/>
      <c r="CO263"/>
      <c r="CP263"/>
      <c r="CQ263"/>
      <c r="CR263"/>
      <c r="CS263"/>
      <c r="CT263"/>
      <c r="CU263"/>
      <c r="CV263"/>
      <c r="CW263"/>
      <c r="CX263"/>
      <c r="CY263"/>
      <c r="CZ263"/>
      <c r="DA263"/>
      <c r="DB263"/>
      <c r="DC263"/>
      <c r="DD263"/>
      <c r="DE263"/>
      <c r="DF263"/>
    </row>
    <row r="264" spans="1:110" s="16" customFormat="1" x14ac:dyDescent="0.3">
      <c r="A264" t="s">
        <v>32</v>
      </c>
      <c r="B264" t="s">
        <v>290</v>
      </c>
      <c r="C264" t="s">
        <v>395</v>
      </c>
      <c r="D264" s="10">
        <f>D263-D263*inputs!$E$37</f>
        <v>0</v>
      </c>
      <c r="E264" t="str">
        <f t="shared" ca="1" si="4"/>
        <v>=D263-D263*inputs!$E$37</v>
      </c>
      <c r="F264"/>
      <c r="G264"/>
      <c r="H264"/>
      <c r="I264"/>
      <c r="J264"/>
      <c r="K264"/>
      <c r="L264"/>
      <c r="M264"/>
      <c r="N264"/>
      <c r="O264"/>
      <c r="P264"/>
      <c r="Q264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  <c r="AJ264"/>
      <c r="AK264"/>
      <c r="AL264"/>
      <c r="AM264"/>
      <c r="AN264"/>
      <c r="AO264"/>
      <c r="AP264"/>
      <c r="AQ264"/>
      <c r="AR264"/>
      <c r="AS264"/>
      <c r="AT264"/>
      <c r="AU264"/>
      <c r="AV264"/>
      <c r="AW264"/>
      <c r="AX264"/>
      <c r="AY264"/>
      <c r="AZ264"/>
      <c r="BA264"/>
      <c r="BB264"/>
      <c r="BC264"/>
      <c r="BD264"/>
      <c r="BE264"/>
      <c r="BF264"/>
      <c r="BG264"/>
      <c r="BH264"/>
      <c r="BI264"/>
      <c r="BJ264"/>
      <c r="BK264"/>
      <c r="BL264"/>
      <c r="BM264"/>
      <c r="BN264"/>
      <c r="BO264"/>
      <c r="BP264"/>
      <c r="BQ264"/>
      <c r="BR264"/>
      <c r="BS264"/>
      <c r="BT264"/>
      <c r="BU264"/>
      <c r="BV264"/>
      <c r="BW264"/>
      <c r="BX264"/>
      <c r="BY264"/>
      <c r="BZ264"/>
      <c r="CA264"/>
      <c r="CB264"/>
      <c r="CC264"/>
      <c r="CD264"/>
      <c r="CE264"/>
      <c r="CF264"/>
      <c r="CG264"/>
      <c r="CH264"/>
      <c r="CI264"/>
      <c r="CJ264"/>
      <c r="CK264"/>
      <c r="CL264"/>
      <c r="CM264"/>
      <c r="CN264"/>
      <c r="CO264"/>
      <c r="CP264"/>
      <c r="CQ264"/>
      <c r="CR264"/>
      <c r="CS264"/>
      <c r="CT264"/>
      <c r="CU264"/>
      <c r="CV264"/>
      <c r="CW264"/>
      <c r="CX264"/>
      <c r="CY264"/>
      <c r="CZ264"/>
      <c r="DA264"/>
      <c r="DB264"/>
      <c r="DC264"/>
      <c r="DD264"/>
      <c r="DE264"/>
      <c r="DF264"/>
    </row>
    <row r="265" spans="1:110" s="16" customFormat="1" x14ac:dyDescent="0.3">
      <c r="A265" t="s">
        <v>32</v>
      </c>
      <c r="B265" t="s">
        <v>290</v>
      </c>
      <c r="C265" t="s">
        <v>396</v>
      </c>
      <c r="D265" s="10">
        <f>D264-D264*inputs!$E$37</f>
        <v>0</v>
      </c>
      <c r="E265" t="str">
        <f t="shared" ca="1" si="4"/>
        <v>=D264-D264*inputs!$E$37</v>
      </c>
      <c r="F265"/>
      <c r="G265"/>
      <c r="H265"/>
      <c r="I265"/>
      <c r="J265"/>
      <c r="K265"/>
      <c r="L265"/>
      <c r="M265"/>
      <c r="N265"/>
      <c r="O265"/>
      <c r="P265"/>
      <c r="Q265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  <c r="AJ265"/>
      <c r="AK265"/>
      <c r="AL265"/>
      <c r="AM265"/>
      <c r="AN265"/>
      <c r="AO265"/>
      <c r="AP265"/>
      <c r="AQ265"/>
      <c r="AR265"/>
      <c r="AS265"/>
      <c r="AT265"/>
      <c r="AU265"/>
      <c r="AV265"/>
      <c r="AW265"/>
      <c r="AX265"/>
      <c r="AY265"/>
      <c r="AZ265"/>
      <c r="BA265"/>
      <c r="BB265"/>
      <c r="BC265"/>
      <c r="BD265"/>
      <c r="BE265"/>
      <c r="BF265"/>
      <c r="BG265"/>
      <c r="BH265"/>
      <c r="BI265"/>
      <c r="BJ265"/>
      <c r="BK265"/>
      <c r="BL265"/>
      <c r="BM265"/>
      <c r="BN265"/>
      <c r="BO265"/>
      <c r="BP265"/>
      <c r="BQ265"/>
      <c r="BR265"/>
      <c r="BS265"/>
      <c r="BT265"/>
      <c r="BU265"/>
      <c r="BV265"/>
      <c r="BW265"/>
      <c r="BX265"/>
      <c r="BY265"/>
      <c r="BZ265"/>
      <c r="CA265"/>
      <c r="CB265"/>
      <c r="CC265"/>
      <c r="CD265"/>
      <c r="CE265"/>
      <c r="CF265"/>
      <c r="CG265"/>
      <c r="CH265"/>
      <c r="CI265"/>
      <c r="CJ265"/>
      <c r="CK265"/>
      <c r="CL265"/>
      <c r="CM265"/>
      <c r="CN265"/>
      <c r="CO265"/>
      <c r="CP265"/>
      <c r="CQ265"/>
      <c r="CR265"/>
      <c r="CS265"/>
      <c r="CT265"/>
      <c r="CU265"/>
      <c r="CV265"/>
      <c r="CW265"/>
      <c r="CX265"/>
      <c r="CY265"/>
      <c r="CZ265"/>
      <c r="DA265"/>
      <c r="DB265"/>
      <c r="DC265"/>
      <c r="DD265"/>
      <c r="DE265"/>
      <c r="DF265"/>
    </row>
    <row r="266" spans="1:110" s="16" customFormat="1" x14ac:dyDescent="0.3">
      <c r="A266" t="s">
        <v>32</v>
      </c>
      <c r="B266" t="s">
        <v>290</v>
      </c>
      <c r="C266" t="s">
        <v>397</v>
      </c>
      <c r="D266" s="10">
        <f>D265-D265*inputs!$E$37</f>
        <v>0</v>
      </c>
      <c r="E266" t="str">
        <f t="shared" ca="1" si="4"/>
        <v>=D265-D265*inputs!$E$37</v>
      </c>
      <c r="F266"/>
      <c r="G266"/>
      <c r="H266"/>
      <c r="I266"/>
      <c r="J266"/>
      <c r="K266"/>
      <c r="L266"/>
      <c r="M266"/>
      <c r="N266"/>
      <c r="O266"/>
      <c r="P266"/>
      <c r="Q26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  <c r="AJ266"/>
      <c r="AK266"/>
      <c r="AL266"/>
      <c r="AM266"/>
      <c r="AN266"/>
      <c r="AO266"/>
      <c r="AP266"/>
      <c r="AQ266"/>
      <c r="AR266"/>
      <c r="AS266"/>
      <c r="AT266"/>
      <c r="AU266"/>
      <c r="AV266"/>
      <c r="AW266"/>
      <c r="AX266"/>
      <c r="AY266"/>
      <c r="AZ266"/>
      <c r="BA266"/>
      <c r="BB266"/>
      <c r="BC266"/>
      <c r="BD266"/>
      <c r="BE266"/>
      <c r="BF266"/>
      <c r="BG266"/>
      <c r="BH266"/>
      <c r="BI266"/>
      <c r="BJ266"/>
      <c r="BK266"/>
      <c r="BL266"/>
      <c r="BM266"/>
      <c r="BN266"/>
      <c r="BO266"/>
      <c r="BP266"/>
      <c r="BQ266"/>
      <c r="BR266"/>
      <c r="BS266"/>
      <c r="BT266"/>
      <c r="BU266"/>
      <c r="BV266"/>
      <c r="BW266"/>
      <c r="BX266"/>
      <c r="BY266"/>
      <c r="BZ266"/>
      <c r="CA266"/>
      <c r="CB266"/>
      <c r="CC266"/>
      <c r="CD266"/>
      <c r="CE266"/>
      <c r="CF266"/>
      <c r="CG266"/>
      <c r="CH266"/>
      <c r="CI266"/>
      <c r="CJ266"/>
      <c r="CK266"/>
      <c r="CL266"/>
      <c r="CM266"/>
      <c r="CN266"/>
      <c r="CO266"/>
      <c r="CP266"/>
      <c r="CQ266"/>
      <c r="CR266"/>
      <c r="CS266"/>
      <c r="CT266"/>
      <c r="CU266"/>
      <c r="CV266"/>
      <c r="CW266"/>
      <c r="CX266"/>
      <c r="CY266"/>
      <c r="CZ266"/>
      <c r="DA266"/>
      <c r="DB266"/>
      <c r="DC266"/>
      <c r="DD266"/>
      <c r="DE266"/>
      <c r="DF266"/>
    </row>
    <row r="267" spans="1:110" s="16" customFormat="1" x14ac:dyDescent="0.3">
      <c r="A267" t="s">
        <v>32</v>
      </c>
      <c r="B267" t="s">
        <v>290</v>
      </c>
      <c r="C267" t="s">
        <v>398</v>
      </c>
      <c r="D267" s="10">
        <f>D266-D266*inputs!$E$38</f>
        <v>0</v>
      </c>
      <c r="E267" t="str">
        <f t="shared" ca="1" si="4"/>
        <v>=D266-D266*inputs!$E$38</v>
      </c>
      <c r="F267"/>
      <c r="G267"/>
      <c r="H267"/>
      <c r="I267"/>
      <c r="J267"/>
      <c r="K267"/>
      <c r="L267"/>
      <c r="M267"/>
      <c r="N267"/>
      <c r="O267"/>
      <c r="P267"/>
      <c r="Q267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  <c r="AJ267"/>
      <c r="AK267"/>
      <c r="AL267"/>
      <c r="AM267"/>
      <c r="AN267"/>
      <c r="AO267"/>
      <c r="AP267"/>
      <c r="AQ267"/>
      <c r="AR267"/>
      <c r="AS267"/>
      <c r="AT267"/>
      <c r="AU267"/>
      <c r="AV267"/>
      <c r="AW267"/>
      <c r="AX267"/>
      <c r="AY267"/>
      <c r="AZ267"/>
      <c r="BA267"/>
      <c r="BB267"/>
      <c r="BC267"/>
      <c r="BD267"/>
      <c r="BE267"/>
      <c r="BF267"/>
      <c r="BG267"/>
      <c r="BH267"/>
      <c r="BI267"/>
      <c r="BJ267"/>
      <c r="BK267"/>
      <c r="BL267"/>
      <c r="BM267"/>
      <c r="BN267"/>
      <c r="BO267"/>
      <c r="BP267"/>
      <c r="BQ267"/>
      <c r="BR267"/>
      <c r="BS267"/>
      <c r="BT267"/>
      <c r="BU267"/>
      <c r="BV267"/>
      <c r="BW267"/>
      <c r="BX267"/>
      <c r="BY267"/>
      <c r="BZ267"/>
      <c r="CA267"/>
      <c r="CB267"/>
      <c r="CC267"/>
      <c r="CD267"/>
      <c r="CE267"/>
      <c r="CF267"/>
      <c r="CG267"/>
      <c r="CH267"/>
      <c r="CI267"/>
      <c r="CJ267"/>
      <c r="CK267"/>
      <c r="CL267"/>
      <c r="CM267"/>
      <c r="CN267"/>
      <c r="CO267"/>
      <c r="CP267"/>
      <c r="CQ267"/>
      <c r="CR267"/>
      <c r="CS267"/>
      <c r="CT267"/>
      <c r="CU267"/>
      <c r="CV267"/>
      <c r="CW267"/>
      <c r="CX267"/>
      <c r="CY267"/>
      <c r="CZ267"/>
      <c r="DA267"/>
      <c r="DB267"/>
      <c r="DC267"/>
      <c r="DD267"/>
      <c r="DE267"/>
      <c r="DF267"/>
    </row>
    <row r="268" spans="1:110" s="16" customFormat="1" x14ac:dyDescent="0.3">
      <c r="A268" t="s">
        <v>32</v>
      </c>
      <c r="B268" t="s">
        <v>290</v>
      </c>
      <c r="C268" t="s">
        <v>399</v>
      </c>
      <c r="D268" s="10">
        <f>D267-D267*inputs!$E$38</f>
        <v>0</v>
      </c>
      <c r="E268" t="str">
        <f t="shared" ca="1" si="4"/>
        <v>=D267-D267*inputs!$E$38</v>
      </c>
      <c r="F268"/>
      <c r="G268"/>
      <c r="H268"/>
      <c r="I268"/>
      <c r="J268"/>
      <c r="K268"/>
      <c r="L268"/>
      <c r="M268"/>
      <c r="N268"/>
      <c r="O268"/>
      <c r="P268"/>
      <c r="Q268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  <c r="AJ268"/>
      <c r="AK268"/>
      <c r="AL268"/>
      <c r="AM268"/>
      <c r="AN268"/>
      <c r="AO268"/>
      <c r="AP268"/>
      <c r="AQ268"/>
      <c r="AR268"/>
      <c r="AS268"/>
      <c r="AT268"/>
      <c r="AU268"/>
      <c r="AV268"/>
      <c r="AW268"/>
      <c r="AX268"/>
      <c r="AY268"/>
      <c r="AZ268"/>
      <c r="BA268"/>
      <c r="BB268"/>
      <c r="BC268"/>
      <c r="BD268"/>
      <c r="BE268"/>
      <c r="BF268"/>
      <c r="BG268"/>
      <c r="BH268"/>
      <c r="BI268"/>
      <c r="BJ268"/>
      <c r="BK268"/>
      <c r="BL268"/>
      <c r="BM268"/>
      <c r="BN268"/>
      <c r="BO268"/>
      <c r="BP268"/>
      <c r="BQ268"/>
      <c r="BR268"/>
      <c r="BS268"/>
      <c r="BT268"/>
      <c r="BU268"/>
      <c r="BV268"/>
      <c r="BW268"/>
      <c r="BX268"/>
      <c r="BY268"/>
      <c r="BZ268"/>
      <c r="CA268"/>
      <c r="CB268"/>
      <c r="CC268"/>
      <c r="CD268"/>
      <c r="CE268"/>
      <c r="CF268"/>
      <c r="CG268"/>
      <c r="CH268"/>
      <c r="CI268"/>
      <c r="CJ268"/>
      <c r="CK268"/>
      <c r="CL268"/>
      <c r="CM268"/>
      <c r="CN268"/>
      <c r="CO268"/>
      <c r="CP268"/>
      <c r="CQ268"/>
      <c r="CR268"/>
      <c r="CS268"/>
      <c r="CT268"/>
      <c r="CU268"/>
      <c r="CV268"/>
      <c r="CW268"/>
      <c r="CX268"/>
      <c r="CY268"/>
      <c r="CZ268"/>
      <c r="DA268"/>
      <c r="DB268"/>
      <c r="DC268"/>
      <c r="DD268"/>
      <c r="DE268"/>
      <c r="DF268"/>
    </row>
    <row r="269" spans="1:110" s="16" customFormat="1" x14ac:dyDescent="0.3">
      <c r="A269" t="s">
        <v>32</v>
      </c>
      <c r="B269" t="s">
        <v>290</v>
      </c>
      <c r="C269" t="s">
        <v>400</v>
      </c>
      <c r="D269" s="10">
        <f>D268-D268*inputs!$E$38</f>
        <v>0</v>
      </c>
      <c r="E269" t="str">
        <f t="shared" ca="1" si="4"/>
        <v>=D268-D268*inputs!$E$38</v>
      </c>
      <c r="F269"/>
      <c r="G269"/>
      <c r="H269"/>
      <c r="I269"/>
      <c r="J269"/>
      <c r="K269"/>
      <c r="L269"/>
      <c r="M269"/>
      <c r="N269"/>
      <c r="O269"/>
      <c r="P269"/>
      <c r="Q269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  <c r="AJ269"/>
      <c r="AK269"/>
      <c r="AL269"/>
      <c r="AM269"/>
      <c r="AN269"/>
      <c r="AO269"/>
      <c r="AP269"/>
      <c r="AQ269"/>
      <c r="AR269"/>
      <c r="AS269"/>
      <c r="AT269"/>
      <c r="AU269"/>
      <c r="AV269"/>
      <c r="AW269"/>
      <c r="AX269"/>
      <c r="AY269"/>
      <c r="AZ269"/>
      <c r="BA269"/>
      <c r="BB269"/>
      <c r="BC269"/>
      <c r="BD269"/>
      <c r="BE269"/>
      <c r="BF269"/>
      <c r="BG269"/>
      <c r="BH269"/>
      <c r="BI269"/>
      <c r="BJ269"/>
      <c r="BK269"/>
      <c r="BL269"/>
      <c r="BM269"/>
      <c r="BN269"/>
      <c r="BO269"/>
      <c r="BP269"/>
      <c r="BQ269"/>
      <c r="BR269"/>
      <c r="BS269"/>
      <c r="BT269"/>
      <c r="BU269"/>
      <c r="BV269"/>
      <c r="BW269"/>
      <c r="BX269"/>
      <c r="BY269"/>
      <c r="BZ269"/>
      <c r="CA269"/>
      <c r="CB269"/>
      <c r="CC269"/>
      <c r="CD269"/>
      <c r="CE269"/>
      <c r="CF269"/>
      <c r="CG269"/>
      <c r="CH269"/>
      <c r="CI269"/>
      <c r="CJ269"/>
      <c r="CK269"/>
      <c r="CL269"/>
      <c r="CM269"/>
      <c r="CN269"/>
      <c r="CO269"/>
      <c r="CP269"/>
      <c r="CQ269"/>
      <c r="CR269"/>
      <c r="CS269"/>
      <c r="CT269"/>
      <c r="CU269"/>
      <c r="CV269"/>
      <c r="CW269"/>
      <c r="CX269"/>
      <c r="CY269"/>
      <c r="CZ269"/>
      <c r="DA269"/>
      <c r="DB269"/>
      <c r="DC269"/>
      <c r="DD269"/>
      <c r="DE269"/>
      <c r="DF269"/>
    </row>
    <row r="270" spans="1:110" s="16" customFormat="1" x14ac:dyDescent="0.3">
      <c r="A270" t="s">
        <v>32</v>
      </c>
      <c r="B270" t="s">
        <v>290</v>
      </c>
      <c r="C270" t="s">
        <v>401</v>
      </c>
      <c r="D270" s="10">
        <f>D269-D269*inputs!$E$38</f>
        <v>0</v>
      </c>
      <c r="E270" t="str">
        <f t="shared" ca="1" si="4"/>
        <v>=D269-D269*inputs!$E$38</v>
      </c>
      <c r="F270"/>
      <c r="G270"/>
      <c r="H270"/>
      <c r="I270"/>
      <c r="J270"/>
      <c r="K270"/>
      <c r="L270"/>
      <c r="M270"/>
      <c r="N270"/>
      <c r="O270"/>
      <c r="P270"/>
      <c r="Q270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  <c r="AJ270"/>
      <c r="AK270"/>
      <c r="AL270"/>
      <c r="AM270"/>
      <c r="AN270"/>
      <c r="AO270"/>
      <c r="AP270"/>
      <c r="AQ270"/>
      <c r="AR270"/>
      <c r="AS270"/>
      <c r="AT270"/>
      <c r="AU270"/>
      <c r="AV270"/>
      <c r="AW270"/>
      <c r="AX270"/>
      <c r="AY270"/>
      <c r="AZ270"/>
      <c r="BA270"/>
      <c r="BB270"/>
      <c r="BC270"/>
      <c r="BD270"/>
      <c r="BE270"/>
      <c r="BF270"/>
      <c r="BG270"/>
      <c r="BH270"/>
      <c r="BI270"/>
      <c r="BJ270"/>
      <c r="BK270"/>
      <c r="BL270"/>
      <c r="BM270"/>
      <c r="BN270"/>
      <c r="BO270"/>
      <c r="BP270"/>
      <c r="BQ270"/>
      <c r="BR270"/>
      <c r="BS270"/>
      <c r="BT270"/>
      <c r="BU270"/>
      <c r="BV270"/>
      <c r="BW270"/>
      <c r="BX270"/>
      <c r="BY270"/>
      <c r="BZ270"/>
      <c r="CA270"/>
      <c r="CB270"/>
      <c r="CC270"/>
      <c r="CD270"/>
      <c r="CE270"/>
      <c r="CF270"/>
      <c r="CG270"/>
      <c r="CH270"/>
      <c r="CI270"/>
      <c r="CJ270"/>
      <c r="CK270"/>
      <c r="CL270"/>
      <c r="CM270"/>
      <c r="CN270"/>
      <c r="CO270"/>
      <c r="CP270"/>
      <c r="CQ270"/>
      <c r="CR270"/>
      <c r="CS270"/>
      <c r="CT270"/>
      <c r="CU270"/>
      <c r="CV270"/>
      <c r="CW270"/>
      <c r="CX270"/>
      <c r="CY270"/>
      <c r="CZ270"/>
      <c r="DA270"/>
      <c r="DB270"/>
      <c r="DC270"/>
      <c r="DD270"/>
      <c r="DE270"/>
      <c r="DF270"/>
    </row>
    <row r="271" spans="1:110" s="16" customFormat="1" x14ac:dyDescent="0.3">
      <c r="A271" t="s">
        <v>32</v>
      </c>
      <c r="B271" t="s">
        <v>290</v>
      </c>
      <c r="C271" t="s">
        <v>402</v>
      </c>
      <c r="D271" s="10">
        <f>D270-D270*inputs!$E$38</f>
        <v>0</v>
      </c>
      <c r="E271" t="str">
        <f t="shared" ca="1" si="4"/>
        <v>=D270-D270*inputs!$E$38</v>
      </c>
      <c r="F271"/>
      <c r="G271"/>
      <c r="H271"/>
      <c r="I271"/>
      <c r="J271"/>
      <c r="K271"/>
      <c r="L271"/>
      <c r="M271"/>
      <c r="N271"/>
      <c r="O271"/>
      <c r="P271"/>
      <c r="Q271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  <c r="AJ271"/>
      <c r="AK271"/>
      <c r="AL271"/>
      <c r="AM271"/>
      <c r="AN271"/>
      <c r="AO271"/>
      <c r="AP271"/>
      <c r="AQ271"/>
      <c r="AR271"/>
      <c r="AS271"/>
      <c r="AT271"/>
      <c r="AU271"/>
      <c r="AV271"/>
      <c r="AW271"/>
      <c r="AX271"/>
      <c r="AY271"/>
      <c r="AZ271"/>
      <c r="BA271"/>
      <c r="BB271"/>
      <c r="BC271"/>
      <c r="BD271"/>
      <c r="BE271"/>
      <c r="BF271"/>
      <c r="BG271"/>
      <c r="BH271"/>
      <c r="BI271"/>
      <c r="BJ271"/>
      <c r="BK271"/>
      <c r="BL271"/>
      <c r="BM271"/>
      <c r="BN271"/>
      <c r="BO271"/>
      <c r="BP271"/>
      <c r="BQ271"/>
      <c r="BR271"/>
      <c r="BS271"/>
      <c r="BT271"/>
      <c r="BU271"/>
      <c r="BV271"/>
      <c r="BW271"/>
      <c r="BX271"/>
      <c r="BY271"/>
      <c r="BZ271"/>
      <c r="CA271"/>
      <c r="CB271"/>
      <c r="CC271"/>
      <c r="CD271"/>
      <c r="CE271"/>
      <c r="CF271"/>
      <c r="CG271"/>
      <c r="CH271"/>
      <c r="CI271"/>
      <c r="CJ271"/>
      <c r="CK271"/>
      <c r="CL271"/>
      <c r="CM271"/>
      <c r="CN271"/>
      <c r="CO271"/>
      <c r="CP271"/>
      <c r="CQ271"/>
      <c r="CR271"/>
      <c r="CS271"/>
      <c r="CT271"/>
      <c r="CU271"/>
      <c r="CV271"/>
      <c r="CW271"/>
      <c r="CX271"/>
      <c r="CY271"/>
      <c r="CZ271"/>
      <c r="DA271"/>
      <c r="DB271"/>
      <c r="DC271"/>
      <c r="DD271"/>
      <c r="DE271"/>
      <c r="DF271"/>
    </row>
    <row r="272" spans="1:110" s="16" customFormat="1" x14ac:dyDescent="0.3">
      <c r="A272" t="s">
        <v>32</v>
      </c>
      <c r="B272" t="s">
        <v>290</v>
      </c>
      <c r="C272" t="s">
        <v>403</v>
      </c>
      <c r="D272" s="10">
        <f>D271-D271*inputs!$E$38</f>
        <v>0</v>
      </c>
      <c r="E272" t="str">
        <f t="shared" ca="1" si="4"/>
        <v>=D271-D271*inputs!$E$38</v>
      </c>
      <c r="F272"/>
      <c r="G272"/>
      <c r="H272"/>
      <c r="I272"/>
      <c r="J272"/>
      <c r="K272"/>
      <c r="L272"/>
      <c r="M272"/>
      <c r="N272"/>
      <c r="O272"/>
      <c r="P272"/>
      <c r="Q272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  <c r="AJ272"/>
      <c r="AK272"/>
      <c r="AL272"/>
      <c r="AM272"/>
      <c r="AN272"/>
      <c r="AO272"/>
      <c r="AP272"/>
      <c r="AQ272"/>
      <c r="AR272"/>
      <c r="AS272"/>
      <c r="AT272"/>
      <c r="AU272"/>
      <c r="AV272"/>
      <c r="AW272"/>
      <c r="AX272"/>
      <c r="AY272"/>
      <c r="AZ272"/>
      <c r="BA272"/>
      <c r="BB272"/>
      <c r="BC272"/>
      <c r="BD272"/>
      <c r="BE272"/>
      <c r="BF272"/>
      <c r="BG272"/>
      <c r="BH272"/>
      <c r="BI272"/>
      <c r="BJ272"/>
      <c r="BK272"/>
      <c r="BL272"/>
      <c r="BM272"/>
      <c r="BN272"/>
      <c r="BO272"/>
      <c r="BP272"/>
      <c r="BQ272"/>
      <c r="BR272"/>
      <c r="BS272"/>
      <c r="BT272"/>
      <c r="BU272"/>
      <c r="BV272"/>
      <c r="BW272"/>
      <c r="BX272"/>
      <c r="BY272"/>
      <c r="BZ272"/>
      <c r="CA272"/>
      <c r="CB272"/>
      <c r="CC272"/>
      <c r="CD272"/>
      <c r="CE272"/>
      <c r="CF272"/>
      <c r="CG272"/>
      <c r="CH272"/>
      <c r="CI272"/>
      <c r="CJ272"/>
      <c r="CK272"/>
      <c r="CL272"/>
      <c r="CM272"/>
      <c r="CN272"/>
      <c r="CO272"/>
      <c r="CP272"/>
      <c r="CQ272"/>
      <c r="CR272"/>
      <c r="CS272"/>
      <c r="CT272"/>
      <c r="CU272"/>
      <c r="CV272"/>
      <c r="CW272"/>
      <c r="CX272"/>
      <c r="CY272"/>
      <c r="CZ272"/>
      <c r="DA272"/>
      <c r="DB272"/>
      <c r="DC272"/>
      <c r="DD272"/>
      <c r="DE272"/>
      <c r="DF272"/>
    </row>
    <row r="273" spans="1:110" s="16" customFormat="1" x14ac:dyDescent="0.3">
      <c r="A273" t="s">
        <v>32</v>
      </c>
      <c r="B273" t="s">
        <v>290</v>
      </c>
      <c r="C273" t="s">
        <v>404</v>
      </c>
      <c r="D273" s="10">
        <f>D272-D272*inputs!$E$38</f>
        <v>0</v>
      </c>
      <c r="E273" t="str">
        <f t="shared" ca="1" si="4"/>
        <v>=D272-D272*inputs!$E$38</v>
      </c>
      <c r="F273"/>
      <c r="G273"/>
      <c r="H273"/>
      <c r="I273"/>
      <c r="J273"/>
      <c r="K273"/>
      <c r="L273"/>
      <c r="M273"/>
      <c r="N273"/>
      <c r="O273"/>
      <c r="P273"/>
      <c r="Q273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  <c r="AJ273"/>
      <c r="AK273"/>
      <c r="AL273"/>
      <c r="AM273"/>
      <c r="AN273"/>
      <c r="AO273"/>
      <c r="AP273"/>
      <c r="AQ273"/>
      <c r="AR273"/>
      <c r="AS273"/>
      <c r="AT273"/>
      <c r="AU273"/>
      <c r="AV273"/>
      <c r="AW273"/>
      <c r="AX273"/>
      <c r="AY273"/>
      <c r="AZ273"/>
      <c r="BA273"/>
      <c r="BB273"/>
      <c r="BC273"/>
      <c r="BD273"/>
      <c r="BE273"/>
      <c r="BF273"/>
      <c r="BG273"/>
      <c r="BH273"/>
      <c r="BI273"/>
      <c r="BJ273"/>
      <c r="BK273"/>
      <c r="BL273"/>
      <c r="BM273"/>
      <c r="BN273"/>
      <c r="BO273"/>
      <c r="BP273"/>
      <c r="BQ273"/>
      <c r="BR273"/>
      <c r="BS273"/>
      <c r="BT273"/>
      <c r="BU273"/>
      <c r="BV273"/>
      <c r="BW273"/>
      <c r="BX273"/>
      <c r="BY273"/>
      <c r="BZ273"/>
      <c r="CA273"/>
      <c r="CB273"/>
      <c r="CC273"/>
      <c r="CD273"/>
      <c r="CE273"/>
      <c r="CF273"/>
      <c r="CG273"/>
      <c r="CH273"/>
      <c r="CI273"/>
      <c r="CJ273"/>
      <c r="CK273"/>
      <c r="CL273"/>
      <c r="CM273"/>
      <c r="CN273"/>
      <c r="CO273"/>
      <c r="CP273"/>
      <c r="CQ273"/>
      <c r="CR273"/>
      <c r="CS273"/>
      <c r="CT273"/>
      <c r="CU273"/>
      <c r="CV273"/>
      <c r="CW273"/>
      <c r="CX273"/>
      <c r="CY273"/>
      <c r="CZ273"/>
      <c r="DA273"/>
      <c r="DB273"/>
      <c r="DC273"/>
      <c r="DD273"/>
      <c r="DE273"/>
      <c r="DF273"/>
    </row>
    <row r="274" spans="1:110" s="16" customFormat="1" x14ac:dyDescent="0.3">
      <c r="A274" t="s">
        <v>32</v>
      </c>
      <c r="B274" t="s">
        <v>290</v>
      </c>
      <c r="C274" t="s">
        <v>405</v>
      </c>
      <c r="D274" s="10">
        <f>D273-D273*inputs!$E$38</f>
        <v>0</v>
      </c>
      <c r="E274" t="str">
        <f t="shared" ca="1" si="4"/>
        <v>=D273-D273*inputs!$E$38</v>
      </c>
      <c r="F274"/>
      <c r="G274"/>
      <c r="H274"/>
      <c r="I274"/>
      <c r="J274"/>
      <c r="K274"/>
      <c r="L274"/>
      <c r="M274"/>
      <c r="N274"/>
      <c r="O274"/>
      <c r="P274"/>
      <c r="Q274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  <c r="AJ274"/>
      <c r="AK274"/>
      <c r="AL274"/>
      <c r="AM274"/>
      <c r="AN274"/>
      <c r="AO274"/>
      <c r="AP274"/>
      <c r="AQ274"/>
      <c r="AR274"/>
      <c r="AS274"/>
      <c r="AT274"/>
      <c r="AU274"/>
      <c r="AV274"/>
      <c r="AW274"/>
      <c r="AX274"/>
      <c r="AY274"/>
      <c r="AZ274"/>
      <c r="BA274"/>
      <c r="BB274"/>
      <c r="BC274"/>
      <c r="BD274"/>
      <c r="BE274"/>
      <c r="BF274"/>
      <c r="BG274"/>
      <c r="BH274"/>
      <c r="BI274"/>
      <c r="BJ274"/>
      <c r="BK274"/>
      <c r="BL274"/>
      <c r="BM274"/>
      <c r="BN274"/>
      <c r="BO274"/>
      <c r="BP274"/>
      <c r="BQ274"/>
      <c r="BR274"/>
      <c r="BS274"/>
      <c r="BT274"/>
      <c r="BU274"/>
      <c r="BV274"/>
      <c r="BW274"/>
      <c r="BX274"/>
      <c r="BY274"/>
      <c r="BZ274"/>
      <c r="CA274"/>
      <c r="CB274"/>
      <c r="CC274"/>
      <c r="CD274"/>
      <c r="CE274"/>
      <c r="CF274"/>
      <c r="CG274"/>
      <c r="CH274"/>
      <c r="CI274"/>
      <c r="CJ274"/>
      <c r="CK274"/>
      <c r="CL274"/>
      <c r="CM274"/>
      <c r="CN274"/>
      <c r="CO274"/>
      <c r="CP274"/>
      <c r="CQ274"/>
      <c r="CR274"/>
      <c r="CS274"/>
      <c r="CT274"/>
      <c r="CU274"/>
      <c r="CV274"/>
      <c r="CW274"/>
      <c r="CX274"/>
      <c r="CY274"/>
      <c r="CZ274"/>
      <c r="DA274"/>
      <c r="DB274"/>
      <c r="DC274"/>
      <c r="DD274"/>
      <c r="DE274"/>
      <c r="DF274"/>
    </row>
    <row r="275" spans="1:110" s="16" customFormat="1" x14ac:dyDescent="0.3">
      <c r="A275" t="s">
        <v>32</v>
      </c>
      <c r="B275" t="s">
        <v>290</v>
      </c>
      <c r="C275" t="s">
        <v>406</v>
      </c>
      <c r="D275" s="10">
        <f>D274-D274*inputs!$E$38</f>
        <v>0</v>
      </c>
      <c r="E275" t="str">
        <f t="shared" ca="1" si="4"/>
        <v>=D274-D274*inputs!$E$38</v>
      </c>
      <c r="F275"/>
      <c r="G275"/>
      <c r="H275"/>
      <c r="I275"/>
      <c r="J275"/>
      <c r="K275"/>
      <c r="L275"/>
      <c r="M275"/>
      <c r="N275"/>
      <c r="O275"/>
      <c r="P275"/>
      <c r="Q275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  <c r="AJ275"/>
      <c r="AK275"/>
      <c r="AL275"/>
      <c r="AM275"/>
      <c r="AN275"/>
      <c r="AO275"/>
      <c r="AP275"/>
      <c r="AQ275"/>
      <c r="AR275"/>
      <c r="AS275"/>
      <c r="AT275"/>
      <c r="AU275"/>
      <c r="AV275"/>
      <c r="AW275"/>
      <c r="AX275"/>
      <c r="AY275"/>
      <c r="AZ275"/>
      <c r="BA275"/>
      <c r="BB275"/>
      <c r="BC275"/>
      <c r="BD275"/>
      <c r="BE275"/>
      <c r="BF275"/>
      <c r="BG275"/>
      <c r="BH275"/>
      <c r="BI275"/>
      <c r="BJ275"/>
      <c r="BK275"/>
      <c r="BL275"/>
      <c r="BM275"/>
      <c r="BN275"/>
      <c r="BO275"/>
      <c r="BP275"/>
      <c r="BQ275"/>
      <c r="BR275"/>
      <c r="BS275"/>
      <c r="BT275"/>
      <c r="BU275"/>
      <c r="BV275"/>
      <c r="BW275"/>
      <c r="BX275"/>
      <c r="BY275"/>
      <c r="BZ275"/>
      <c r="CA275"/>
      <c r="CB275"/>
      <c r="CC275"/>
      <c r="CD275"/>
      <c r="CE275"/>
      <c r="CF275"/>
      <c r="CG275"/>
      <c r="CH275"/>
      <c r="CI275"/>
      <c r="CJ275"/>
      <c r="CK275"/>
      <c r="CL275"/>
      <c r="CM275"/>
      <c r="CN275"/>
      <c r="CO275"/>
      <c r="CP275"/>
      <c r="CQ275"/>
      <c r="CR275"/>
      <c r="CS275"/>
      <c r="CT275"/>
      <c r="CU275"/>
      <c r="CV275"/>
      <c r="CW275"/>
      <c r="CX275"/>
      <c r="CY275"/>
      <c r="CZ275"/>
      <c r="DA275"/>
      <c r="DB275"/>
      <c r="DC275"/>
      <c r="DD275"/>
      <c r="DE275"/>
      <c r="DF275"/>
    </row>
    <row r="276" spans="1:110" s="16" customFormat="1" x14ac:dyDescent="0.3">
      <c r="A276" t="s">
        <v>32</v>
      </c>
      <c r="B276" t="s">
        <v>290</v>
      </c>
      <c r="C276" t="s">
        <v>407</v>
      </c>
      <c r="D276" s="10">
        <f>D275-D275*inputs!$E$38</f>
        <v>0</v>
      </c>
      <c r="E276" t="str">
        <f t="shared" ca="1" si="4"/>
        <v>=D275-D275*inputs!$E$38</v>
      </c>
      <c r="F276"/>
      <c r="G276"/>
      <c r="H276"/>
      <c r="I276"/>
      <c r="J276"/>
      <c r="K276"/>
      <c r="L276"/>
      <c r="M276"/>
      <c r="N276"/>
      <c r="O276"/>
      <c r="P276"/>
      <c r="Q27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  <c r="AJ276"/>
      <c r="AK276"/>
      <c r="AL276"/>
      <c r="AM276"/>
      <c r="AN276"/>
      <c r="AO276"/>
      <c r="AP276"/>
      <c r="AQ276"/>
      <c r="AR276"/>
      <c r="AS276"/>
      <c r="AT276"/>
      <c r="AU276"/>
      <c r="AV276"/>
      <c r="AW276"/>
      <c r="AX276"/>
      <c r="AY276"/>
      <c r="AZ276"/>
      <c r="BA276"/>
      <c r="BB276"/>
      <c r="BC276"/>
      <c r="BD276"/>
      <c r="BE276"/>
      <c r="BF276"/>
      <c r="BG276"/>
      <c r="BH276"/>
      <c r="BI276"/>
      <c r="BJ276"/>
      <c r="BK276"/>
      <c r="BL276"/>
      <c r="BM276"/>
      <c r="BN276"/>
      <c r="BO276"/>
      <c r="BP276"/>
      <c r="BQ276"/>
      <c r="BR276"/>
      <c r="BS276"/>
      <c r="BT276"/>
      <c r="BU276"/>
      <c r="BV276"/>
      <c r="BW276"/>
      <c r="BX276"/>
      <c r="BY276"/>
      <c r="BZ276"/>
      <c r="CA276"/>
      <c r="CB276"/>
      <c r="CC276"/>
      <c r="CD276"/>
      <c r="CE276"/>
      <c r="CF276"/>
      <c r="CG276"/>
      <c r="CH276"/>
      <c r="CI276"/>
      <c r="CJ276"/>
      <c r="CK276"/>
      <c r="CL276"/>
      <c r="CM276"/>
      <c r="CN276"/>
      <c r="CO276"/>
      <c r="CP276"/>
      <c r="CQ276"/>
      <c r="CR276"/>
      <c r="CS276"/>
      <c r="CT276"/>
      <c r="CU276"/>
      <c r="CV276"/>
      <c r="CW276"/>
      <c r="CX276"/>
      <c r="CY276"/>
      <c r="CZ276"/>
      <c r="DA276"/>
      <c r="DB276"/>
      <c r="DC276"/>
      <c r="DD276"/>
      <c r="DE276"/>
      <c r="DF276"/>
    </row>
    <row r="277" spans="1:110" s="14" customFormat="1" x14ac:dyDescent="0.3">
      <c r="A277" t="s">
        <v>32</v>
      </c>
      <c r="B277" t="s">
        <v>290</v>
      </c>
      <c r="C277" t="s">
        <v>408</v>
      </c>
      <c r="D277" s="10">
        <f>$D$158-$D$158*inputs!$E$33</f>
        <v>0</v>
      </c>
      <c r="E277" t="str">
        <f t="shared" ca="1" si="4"/>
        <v>=$D$158-$D$158*inputs!$E$33</v>
      </c>
      <c r="F277" t="s">
        <v>818</v>
      </c>
      <c r="G277"/>
      <c r="H277"/>
      <c r="I277"/>
      <c r="J277"/>
      <c r="K277"/>
      <c r="L277"/>
      <c r="M277"/>
      <c r="N277"/>
      <c r="O277"/>
      <c r="P277"/>
      <c r="Q277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  <c r="AJ277"/>
      <c r="AK277"/>
      <c r="AL277"/>
      <c r="AM277"/>
      <c r="AN277"/>
      <c r="AO277"/>
      <c r="AP277"/>
      <c r="AQ277"/>
      <c r="AR277"/>
      <c r="AS277"/>
      <c r="AT277"/>
      <c r="AU277"/>
      <c r="AV277"/>
      <c r="AW277"/>
      <c r="AX277"/>
      <c r="AY277"/>
      <c r="AZ277"/>
      <c r="BA277"/>
      <c r="BB277"/>
      <c r="BC277"/>
      <c r="BD277"/>
      <c r="BE277"/>
      <c r="BF277"/>
      <c r="BG277"/>
      <c r="BH277"/>
      <c r="BI277"/>
      <c r="BJ277"/>
      <c r="BK277"/>
      <c r="BL277"/>
      <c r="BM277"/>
      <c r="BN277"/>
      <c r="BO277"/>
      <c r="BP277"/>
      <c r="BQ277"/>
      <c r="BR277"/>
      <c r="BS277"/>
      <c r="BT277"/>
      <c r="BU277"/>
      <c r="BV277"/>
      <c r="BW277"/>
      <c r="BX277"/>
      <c r="BY277"/>
      <c r="BZ277"/>
      <c r="CA277"/>
      <c r="CB277"/>
      <c r="CC277"/>
      <c r="CD277"/>
      <c r="CE277"/>
      <c r="CF277"/>
      <c r="CG277"/>
      <c r="CH277"/>
      <c r="CI277"/>
      <c r="CJ277"/>
      <c r="CK277"/>
      <c r="CL277"/>
      <c r="CM277"/>
      <c r="CN277"/>
      <c r="CO277"/>
      <c r="CP277"/>
      <c r="CQ277"/>
      <c r="CR277"/>
      <c r="CS277"/>
      <c r="CT277"/>
      <c r="CU277"/>
      <c r="CV277"/>
      <c r="CW277"/>
      <c r="CX277"/>
      <c r="CY277"/>
      <c r="CZ277"/>
      <c r="DA277"/>
      <c r="DB277"/>
      <c r="DC277"/>
      <c r="DD277"/>
      <c r="DE277"/>
      <c r="DF277"/>
    </row>
    <row r="278" spans="1:110" s="14" customFormat="1" x14ac:dyDescent="0.3">
      <c r="A278" t="s">
        <v>32</v>
      </c>
      <c r="B278" t="s">
        <v>290</v>
      </c>
      <c r="C278" t="s">
        <v>409</v>
      </c>
      <c r="D278" s="10">
        <f>D277-D277*inputs!$E$33</f>
        <v>0</v>
      </c>
      <c r="E278" t="str">
        <f t="shared" ca="1" si="4"/>
        <v>=D277-D277*inputs!$E$33</v>
      </c>
      <c r="F278"/>
      <c r="G278"/>
      <c r="H278"/>
      <c r="I278"/>
      <c r="J278"/>
      <c r="K278"/>
      <c r="L278"/>
      <c r="M278"/>
      <c r="N278"/>
      <c r="O278"/>
      <c r="P278"/>
      <c r="Q278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  <c r="AJ278"/>
      <c r="AK278"/>
      <c r="AL278"/>
      <c r="AM278"/>
      <c r="AN278"/>
      <c r="AO278"/>
      <c r="AP278"/>
      <c r="AQ278"/>
      <c r="AR278"/>
      <c r="AS278"/>
      <c r="AT278"/>
      <c r="AU278"/>
      <c r="AV278"/>
      <c r="AW278"/>
      <c r="AX278"/>
      <c r="AY278"/>
      <c r="AZ278"/>
      <c r="BA278"/>
      <c r="BB278"/>
      <c r="BC278"/>
      <c r="BD278"/>
      <c r="BE278"/>
      <c r="BF278"/>
      <c r="BG278"/>
      <c r="BH278"/>
      <c r="BI278"/>
      <c r="BJ278"/>
      <c r="BK278"/>
      <c r="BL278"/>
      <c r="BM278"/>
      <c r="BN278"/>
      <c r="BO278"/>
      <c r="BP278"/>
      <c r="BQ278"/>
      <c r="BR278"/>
      <c r="BS278"/>
      <c r="BT278"/>
      <c r="BU278"/>
      <c r="BV278"/>
      <c r="BW278"/>
      <c r="BX278"/>
      <c r="BY278"/>
      <c r="BZ278"/>
      <c r="CA278"/>
      <c r="CB278"/>
      <c r="CC278"/>
      <c r="CD278"/>
      <c r="CE278"/>
      <c r="CF278"/>
      <c r="CG278"/>
      <c r="CH278"/>
      <c r="CI278"/>
      <c r="CJ278"/>
      <c r="CK278"/>
      <c r="CL278"/>
      <c r="CM278"/>
      <c r="CN278"/>
      <c r="CO278"/>
      <c r="CP278"/>
      <c r="CQ278"/>
      <c r="CR278"/>
      <c r="CS278"/>
      <c r="CT278"/>
      <c r="CU278"/>
      <c r="CV278"/>
      <c r="CW278"/>
      <c r="CX278"/>
      <c r="CY278"/>
      <c r="CZ278"/>
      <c r="DA278"/>
      <c r="DB278"/>
      <c r="DC278"/>
      <c r="DD278"/>
      <c r="DE278"/>
      <c r="DF278"/>
    </row>
    <row r="279" spans="1:110" s="14" customFormat="1" x14ac:dyDescent="0.3">
      <c r="A279" t="s">
        <v>32</v>
      </c>
      <c r="B279" t="s">
        <v>290</v>
      </c>
      <c r="C279" t="s">
        <v>410</v>
      </c>
      <c r="D279" s="10">
        <f>D278-D278*inputs!$E$33</f>
        <v>0</v>
      </c>
      <c r="E279" t="str">
        <f t="shared" ca="1" si="4"/>
        <v>=D278-D278*inputs!$E$33</v>
      </c>
      <c r="F279"/>
      <c r="G279"/>
      <c r="H279"/>
      <c r="I279"/>
      <c r="J279"/>
      <c r="K279"/>
      <c r="L279"/>
      <c r="M279"/>
      <c r="N279"/>
      <c r="O279"/>
      <c r="P279"/>
      <c r="Q279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  <c r="AJ279"/>
      <c r="AK279"/>
      <c r="AL279"/>
      <c r="AM279"/>
      <c r="AN279"/>
      <c r="AO279"/>
      <c r="AP279"/>
      <c r="AQ279"/>
      <c r="AR279"/>
      <c r="AS279"/>
      <c r="AT279"/>
      <c r="AU279"/>
      <c r="AV279"/>
      <c r="AW279"/>
      <c r="AX279"/>
      <c r="AY279"/>
      <c r="AZ279"/>
      <c r="BA279"/>
      <c r="BB279"/>
      <c r="BC279"/>
      <c r="BD279"/>
      <c r="BE279"/>
      <c r="BF279"/>
      <c r="BG279"/>
      <c r="BH279"/>
      <c r="BI279"/>
      <c r="BJ279"/>
      <c r="BK279"/>
      <c r="BL279"/>
      <c r="BM279"/>
      <c r="BN279"/>
      <c r="BO279"/>
      <c r="BP279"/>
      <c r="BQ279"/>
      <c r="BR279"/>
      <c r="BS279"/>
      <c r="BT279"/>
      <c r="BU279"/>
      <c r="BV279"/>
      <c r="BW279"/>
      <c r="BX279"/>
      <c r="BY279"/>
      <c r="BZ279"/>
      <c r="CA279"/>
      <c r="CB279"/>
      <c r="CC279"/>
      <c r="CD279"/>
      <c r="CE279"/>
      <c r="CF279"/>
      <c r="CG279"/>
      <c r="CH279"/>
      <c r="CI279"/>
      <c r="CJ279"/>
      <c r="CK279"/>
      <c r="CL279"/>
      <c r="CM279"/>
      <c r="CN279"/>
      <c r="CO279"/>
      <c r="CP279"/>
      <c r="CQ279"/>
      <c r="CR279"/>
      <c r="CS279"/>
      <c r="CT279"/>
      <c r="CU279"/>
      <c r="CV279"/>
      <c r="CW279"/>
      <c r="CX279"/>
      <c r="CY279"/>
      <c r="CZ279"/>
      <c r="DA279"/>
      <c r="DB279"/>
      <c r="DC279"/>
      <c r="DD279"/>
      <c r="DE279"/>
      <c r="DF279"/>
    </row>
    <row r="280" spans="1:110" s="14" customFormat="1" x14ac:dyDescent="0.3">
      <c r="A280" t="s">
        <v>32</v>
      </c>
      <c r="B280" t="s">
        <v>290</v>
      </c>
      <c r="C280" t="s">
        <v>411</v>
      </c>
      <c r="D280" s="10">
        <f>D279-D279*inputs!$E$33</f>
        <v>0</v>
      </c>
      <c r="E280" t="str">
        <f t="shared" ref="E280:E343" ca="1" si="5">_xlfn.FORMULATEXT(D280)</f>
        <v>=D279-D279*inputs!$E$33</v>
      </c>
      <c r="F280"/>
      <c r="G280"/>
      <c r="H280"/>
      <c r="I280"/>
      <c r="J280"/>
      <c r="K280"/>
      <c r="L280"/>
      <c r="M280"/>
      <c r="N280"/>
      <c r="O280"/>
      <c r="P280"/>
      <c r="Q280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  <c r="AJ280"/>
      <c r="AK280"/>
      <c r="AL280"/>
      <c r="AM280"/>
      <c r="AN280"/>
      <c r="AO280"/>
      <c r="AP280"/>
      <c r="AQ280"/>
      <c r="AR280"/>
      <c r="AS280"/>
      <c r="AT280"/>
      <c r="AU280"/>
      <c r="AV280"/>
      <c r="AW280"/>
      <c r="AX280"/>
      <c r="AY280"/>
      <c r="AZ280"/>
      <c r="BA280"/>
      <c r="BB280"/>
      <c r="BC280"/>
      <c r="BD280"/>
      <c r="BE280"/>
      <c r="BF280"/>
      <c r="BG280"/>
      <c r="BH280"/>
      <c r="BI280"/>
      <c r="BJ280"/>
      <c r="BK280"/>
      <c r="BL280"/>
      <c r="BM280"/>
      <c r="BN280"/>
      <c r="BO280"/>
      <c r="BP280"/>
      <c r="BQ280"/>
      <c r="BR280"/>
      <c r="BS280"/>
      <c r="BT280"/>
      <c r="BU280"/>
      <c r="BV280"/>
      <c r="BW280"/>
      <c r="BX280"/>
      <c r="BY280"/>
      <c r="BZ280"/>
      <c r="CA280"/>
      <c r="CB280"/>
      <c r="CC280"/>
      <c r="CD280"/>
      <c r="CE280"/>
      <c r="CF280"/>
      <c r="CG280"/>
      <c r="CH280"/>
      <c r="CI280"/>
      <c r="CJ280"/>
      <c r="CK280"/>
      <c r="CL280"/>
      <c r="CM280"/>
      <c r="CN280"/>
      <c r="CO280"/>
      <c r="CP280"/>
      <c r="CQ280"/>
      <c r="CR280"/>
      <c r="CS280"/>
      <c r="CT280"/>
      <c r="CU280"/>
      <c r="CV280"/>
      <c r="CW280"/>
      <c r="CX280"/>
      <c r="CY280"/>
      <c r="CZ280"/>
      <c r="DA280"/>
      <c r="DB280"/>
      <c r="DC280"/>
      <c r="DD280"/>
      <c r="DE280"/>
      <c r="DF280"/>
    </row>
    <row r="281" spans="1:110" s="14" customFormat="1" x14ac:dyDescent="0.3">
      <c r="A281" t="s">
        <v>32</v>
      </c>
      <c r="B281" t="s">
        <v>290</v>
      </c>
      <c r="C281" t="s">
        <v>412</v>
      </c>
      <c r="D281" s="10">
        <f>D280-D280*inputs!$E$34</f>
        <v>0</v>
      </c>
      <c r="E281" t="str">
        <f t="shared" ca="1" si="5"/>
        <v>=D280-D280*inputs!$E$34</v>
      </c>
      <c r="F281"/>
      <c r="G281"/>
      <c r="H281"/>
      <c r="I281"/>
      <c r="J281"/>
      <c r="K281"/>
      <c r="L281"/>
      <c r="M281"/>
      <c r="N281"/>
      <c r="O281"/>
      <c r="P281"/>
      <c r="Q281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  <c r="AJ281"/>
      <c r="AK281"/>
      <c r="AL281"/>
      <c r="AM281"/>
      <c r="AN281"/>
      <c r="AO281"/>
      <c r="AP281"/>
      <c r="AQ281"/>
      <c r="AR281"/>
      <c r="AS281"/>
      <c r="AT281"/>
      <c r="AU281"/>
      <c r="AV281"/>
      <c r="AW281"/>
      <c r="AX281"/>
      <c r="AY281"/>
      <c r="AZ281"/>
      <c r="BA281"/>
      <c r="BB281"/>
      <c r="BC281"/>
      <c r="BD281"/>
      <c r="BE281"/>
      <c r="BF281"/>
      <c r="BG281"/>
      <c r="BH281"/>
      <c r="BI281"/>
      <c r="BJ281"/>
      <c r="BK281"/>
      <c r="BL281"/>
      <c r="BM281"/>
      <c r="BN281"/>
      <c r="BO281"/>
      <c r="BP281"/>
      <c r="BQ281"/>
      <c r="BR281"/>
      <c r="BS281"/>
      <c r="BT281"/>
      <c r="BU281"/>
      <c r="BV281"/>
      <c r="BW281"/>
      <c r="BX281"/>
      <c r="BY281"/>
      <c r="BZ281"/>
      <c r="CA281"/>
      <c r="CB281"/>
      <c r="CC281"/>
      <c r="CD281"/>
      <c r="CE281"/>
      <c r="CF281"/>
      <c r="CG281"/>
      <c r="CH281"/>
      <c r="CI281"/>
      <c r="CJ281"/>
      <c r="CK281"/>
      <c r="CL281"/>
      <c r="CM281"/>
      <c r="CN281"/>
      <c r="CO281"/>
      <c r="CP281"/>
      <c r="CQ281"/>
      <c r="CR281"/>
      <c r="CS281"/>
      <c r="CT281"/>
      <c r="CU281"/>
      <c r="CV281"/>
      <c r="CW281"/>
      <c r="CX281"/>
      <c r="CY281"/>
      <c r="CZ281"/>
      <c r="DA281"/>
      <c r="DB281"/>
      <c r="DC281"/>
      <c r="DD281"/>
      <c r="DE281"/>
      <c r="DF281"/>
    </row>
    <row r="282" spans="1:110" s="14" customFormat="1" x14ac:dyDescent="0.3">
      <c r="A282" t="s">
        <v>32</v>
      </c>
      <c r="B282" t="s">
        <v>290</v>
      </c>
      <c r="C282" t="s">
        <v>413</v>
      </c>
      <c r="D282" s="10">
        <f>D281-D281*inputs!$E$34</f>
        <v>0</v>
      </c>
      <c r="E282" t="str">
        <f t="shared" ca="1" si="5"/>
        <v>=D281-D281*inputs!$E$34</v>
      </c>
      <c r="F282"/>
      <c r="G282"/>
      <c r="H282"/>
      <c r="I282"/>
      <c r="J282"/>
      <c r="K282"/>
      <c r="L282"/>
      <c r="M282"/>
      <c r="N282"/>
      <c r="O282"/>
      <c r="P282"/>
      <c r="Q282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  <c r="AJ282"/>
      <c r="AK282"/>
      <c r="AL282"/>
      <c r="AM282"/>
      <c r="AN282"/>
      <c r="AO282"/>
      <c r="AP282"/>
      <c r="AQ282"/>
      <c r="AR282"/>
      <c r="AS282"/>
      <c r="AT282"/>
      <c r="AU282"/>
      <c r="AV282"/>
      <c r="AW282"/>
      <c r="AX282"/>
      <c r="AY282"/>
      <c r="AZ282"/>
      <c r="BA282"/>
      <c r="BB282"/>
      <c r="BC282"/>
      <c r="BD282"/>
      <c r="BE282"/>
      <c r="BF282"/>
      <c r="BG282"/>
      <c r="BH282"/>
      <c r="BI282"/>
      <c r="BJ282"/>
      <c r="BK282"/>
      <c r="BL282"/>
      <c r="BM282"/>
      <c r="BN282"/>
      <c r="BO282"/>
      <c r="BP282"/>
      <c r="BQ282"/>
      <c r="BR282"/>
      <c r="BS282"/>
      <c r="BT282"/>
      <c r="BU282"/>
      <c r="BV282"/>
      <c r="BW282"/>
      <c r="BX282"/>
      <c r="BY282"/>
      <c r="BZ282"/>
      <c r="CA282"/>
      <c r="CB282"/>
      <c r="CC282"/>
      <c r="CD282"/>
      <c r="CE282"/>
      <c r="CF282"/>
      <c r="CG282"/>
      <c r="CH282"/>
      <c r="CI282"/>
      <c r="CJ282"/>
      <c r="CK282"/>
      <c r="CL282"/>
      <c r="CM282"/>
      <c r="CN282"/>
      <c r="CO282"/>
      <c r="CP282"/>
      <c r="CQ282"/>
      <c r="CR282"/>
      <c r="CS282"/>
      <c r="CT282"/>
      <c r="CU282"/>
      <c r="CV282"/>
      <c r="CW282"/>
      <c r="CX282"/>
      <c r="CY282"/>
      <c r="CZ282"/>
      <c r="DA282"/>
      <c r="DB282"/>
      <c r="DC282"/>
      <c r="DD282"/>
      <c r="DE282"/>
      <c r="DF282"/>
    </row>
    <row r="283" spans="1:110" s="14" customFormat="1" x14ac:dyDescent="0.3">
      <c r="A283" t="s">
        <v>32</v>
      </c>
      <c r="B283" t="s">
        <v>290</v>
      </c>
      <c r="C283" t="s">
        <v>414</v>
      </c>
      <c r="D283" s="10">
        <f>D282-D282*inputs!$E$34</f>
        <v>0</v>
      </c>
      <c r="E283" t="str">
        <f t="shared" ca="1" si="5"/>
        <v>=D282-D282*inputs!$E$34</v>
      </c>
      <c r="F283"/>
      <c r="G283"/>
      <c r="H283"/>
      <c r="I283"/>
      <c r="J283"/>
      <c r="K283"/>
      <c r="L283"/>
      <c r="M283"/>
      <c r="N283"/>
      <c r="O283"/>
      <c r="P283"/>
      <c r="Q283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  <c r="AJ283"/>
      <c r="AK283"/>
      <c r="AL283"/>
      <c r="AM283"/>
      <c r="AN283"/>
      <c r="AO283"/>
      <c r="AP283"/>
      <c r="AQ283"/>
      <c r="AR283"/>
      <c r="AS283"/>
      <c r="AT283"/>
      <c r="AU283"/>
      <c r="AV283"/>
      <c r="AW283"/>
      <c r="AX283"/>
      <c r="AY283"/>
      <c r="AZ283"/>
      <c r="BA283"/>
      <c r="BB283"/>
      <c r="BC283"/>
      <c r="BD283"/>
      <c r="BE283"/>
      <c r="BF283"/>
      <c r="BG283"/>
      <c r="BH283"/>
      <c r="BI283"/>
      <c r="BJ283"/>
      <c r="BK283"/>
      <c r="BL283"/>
      <c r="BM283"/>
      <c r="BN283"/>
      <c r="BO283"/>
      <c r="BP283"/>
      <c r="BQ283"/>
      <c r="BR283"/>
      <c r="BS283"/>
      <c r="BT283"/>
      <c r="BU283"/>
      <c r="BV283"/>
      <c r="BW283"/>
      <c r="BX283"/>
      <c r="BY283"/>
      <c r="BZ283"/>
      <c r="CA283"/>
      <c r="CB283"/>
      <c r="CC283"/>
      <c r="CD283"/>
      <c r="CE283"/>
      <c r="CF283"/>
      <c r="CG283"/>
      <c r="CH283"/>
      <c r="CI283"/>
      <c r="CJ283"/>
      <c r="CK283"/>
      <c r="CL283"/>
      <c r="CM283"/>
      <c r="CN283"/>
      <c r="CO283"/>
      <c r="CP283"/>
      <c r="CQ283"/>
      <c r="CR283"/>
      <c r="CS283"/>
      <c r="CT283"/>
      <c r="CU283"/>
      <c r="CV283"/>
      <c r="CW283"/>
      <c r="CX283"/>
      <c r="CY283"/>
      <c r="CZ283"/>
      <c r="DA283"/>
      <c r="DB283"/>
      <c r="DC283"/>
      <c r="DD283"/>
      <c r="DE283"/>
      <c r="DF283"/>
    </row>
    <row r="284" spans="1:110" s="14" customFormat="1" x14ac:dyDescent="0.3">
      <c r="A284" t="s">
        <v>32</v>
      </c>
      <c r="B284" t="s">
        <v>290</v>
      </c>
      <c r="C284" t="s">
        <v>415</v>
      </c>
      <c r="D284" s="10">
        <f>D283-D283*inputs!$E$34</f>
        <v>0</v>
      </c>
      <c r="E284" t="str">
        <f t="shared" ca="1" si="5"/>
        <v>=D283-D283*inputs!$E$34</v>
      </c>
      <c r="F284"/>
      <c r="G284"/>
      <c r="H284"/>
      <c r="I284"/>
      <c r="J284"/>
      <c r="K284"/>
      <c r="L284"/>
      <c r="M284"/>
      <c r="N284"/>
      <c r="O284"/>
      <c r="P284"/>
      <c r="Q284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  <c r="AJ284"/>
      <c r="AK284"/>
      <c r="AL284"/>
      <c r="AM284"/>
      <c r="AN284"/>
      <c r="AO284"/>
      <c r="AP284"/>
      <c r="AQ284"/>
      <c r="AR284"/>
      <c r="AS284"/>
      <c r="AT284"/>
      <c r="AU284"/>
      <c r="AV284"/>
      <c r="AW284"/>
      <c r="AX284"/>
      <c r="AY284"/>
      <c r="AZ284"/>
      <c r="BA284"/>
      <c r="BB284"/>
      <c r="BC284"/>
      <c r="BD284"/>
      <c r="BE284"/>
      <c r="BF284"/>
      <c r="BG284"/>
      <c r="BH284"/>
      <c r="BI284"/>
      <c r="BJ284"/>
      <c r="BK284"/>
      <c r="BL284"/>
      <c r="BM284"/>
      <c r="BN284"/>
      <c r="BO284"/>
      <c r="BP284"/>
      <c r="BQ284"/>
      <c r="BR284"/>
      <c r="BS284"/>
      <c r="BT284"/>
      <c r="BU284"/>
      <c r="BV284"/>
      <c r="BW284"/>
      <c r="BX284"/>
      <c r="BY284"/>
      <c r="BZ284"/>
      <c r="CA284"/>
      <c r="CB284"/>
      <c r="CC284"/>
      <c r="CD284"/>
      <c r="CE284"/>
      <c r="CF284"/>
      <c r="CG284"/>
      <c r="CH284"/>
      <c r="CI284"/>
      <c r="CJ284"/>
      <c r="CK284"/>
      <c r="CL284"/>
      <c r="CM284"/>
      <c r="CN284"/>
      <c r="CO284"/>
      <c r="CP284"/>
      <c r="CQ284"/>
      <c r="CR284"/>
      <c r="CS284"/>
      <c r="CT284"/>
      <c r="CU284"/>
      <c r="CV284"/>
      <c r="CW284"/>
      <c r="CX284"/>
      <c r="CY284"/>
      <c r="CZ284"/>
      <c r="DA284"/>
      <c r="DB284"/>
      <c r="DC284"/>
      <c r="DD284"/>
      <c r="DE284"/>
      <c r="DF284"/>
    </row>
    <row r="285" spans="1:110" s="14" customFormat="1" x14ac:dyDescent="0.3">
      <c r="A285" t="s">
        <v>32</v>
      </c>
      <c r="B285" t="s">
        <v>290</v>
      </c>
      <c r="C285" t="s">
        <v>416</v>
      </c>
      <c r="D285" s="10">
        <f>D284-D284*inputs!$E$34</f>
        <v>0</v>
      </c>
      <c r="E285" t="str">
        <f t="shared" ca="1" si="5"/>
        <v>=D284-D284*inputs!$E$34</v>
      </c>
      <c r="F285"/>
      <c r="G285"/>
      <c r="H285"/>
      <c r="I285"/>
      <c r="J285"/>
      <c r="K285"/>
      <c r="L285"/>
      <c r="M285"/>
      <c r="N285"/>
      <c r="O285"/>
      <c r="P285"/>
      <c r="Q285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  <c r="AJ285"/>
      <c r="AK285"/>
      <c r="AL285"/>
      <c r="AM285"/>
      <c r="AN285"/>
      <c r="AO285"/>
      <c r="AP285"/>
      <c r="AQ285"/>
      <c r="AR285"/>
      <c r="AS285"/>
      <c r="AT285"/>
      <c r="AU285"/>
      <c r="AV285"/>
      <c r="AW285"/>
      <c r="AX285"/>
      <c r="AY285"/>
      <c r="AZ285"/>
      <c r="BA285"/>
      <c r="BB285"/>
      <c r="BC285"/>
      <c r="BD285"/>
      <c r="BE285"/>
      <c r="BF285"/>
      <c r="BG285"/>
      <c r="BH285"/>
      <c r="BI285"/>
      <c r="BJ285"/>
      <c r="BK285"/>
      <c r="BL285"/>
      <c r="BM285"/>
      <c r="BN285"/>
      <c r="BO285"/>
      <c r="BP285"/>
      <c r="BQ285"/>
      <c r="BR285"/>
      <c r="BS285"/>
      <c r="BT285"/>
      <c r="BU285"/>
      <c r="BV285"/>
      <c r="BW285"/>
      <c r="BX285"/>
      <c r="BY285"/>
      <c r="BZ285"/>
      <c r="CA285"/>
      <c r="CB285"/>
      <c r="CC285"/>
      <c r="CD285"/>
      <c r="CE285"/>
      <c r="CF285"/>
      <c r="CG285"/>
      <c r="CH285"/>
      <c r="CI285"/>
      <c r="CJ285"/>
      <c r="CK285"/>
      <c r="CL285"/>
      <c r="CM285"/>
      <c r="CN285"/>
      <c r="CO285"/>
      <c r="CP285"/>
      <c r="CQ285"/>
      <c r="CR285"/>
      <c r="CS285"/>
      <c r="CT285"/>
      <c r="CU285"/>
      <c r="CV285"/>
      <c r="CW285"/>
      <c r="CX285"/>
      <c r="CY285"/>
      <c r="CZ285"/>
      <c r="DA285"/>
      <c r="DB285"/>
      <c r="DC285"/>
      <c r="DD285"/>
      <c r="DE285"/>
      <c r="DF285"/>
    </row>
    <row r="286" spans="1:110" s="14" customFormat="1" x14ac:dyDescent="0.3">
      <c r="A286" t="s">
        <v>32</v>
      </c>
      <c r="B286" t="s">
        <v>290</v>
      </c>
      <c r="C286" t="s">
        <v>417</v>
      </c>
      <c r="D286" s="10">
        <f>D285-D285*inputs!$E$35</f>
        <v>0</v>
      </c>
      <c r="E286" t="str">
        <f t="shared" ca="1" si="5"/>
        <v>=D285-D285*inputs!$E$35</v>
      </c>
      <c r="F286"/>
      <c r="G286"/>
      <c r="H286"/>
      <c r="I286"/>
      <c r="J286"/>
      <c r="K286"/>
      <c r="L286"/>
      <c r="M286"/>
      <c r="N286"/>
      <c r="O286"/>
      <c r="P286"/>
      <c r="Q28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  <c r="AJ286"/>
      <c r="AK286"/>
      <c r="AL286"/>
      <c r="AM286"/>
      <c r="AN286"/>
      <c r="AO286"/>
      <c r="AP286"/>
      <c r="AQ286"/>
      <c r="AR286"/>
      <c r="AS286"/>
      <c r="AT286"/>
      <c r="AU286"/>
      <c r="AV286"/>
      <c r="AW286"/>
      <c r="AX286"/>
      <c r="AY286"/>
      <c r="AZ286"/>
      <c r="BA286"/>
      <c r="BB286"/>
      <c r="BC286"/>
      <c r="BD286"/>
      <c r="BE286"/>
      <c r="BF286"/>
      <c r="BG286"/>
      <c r="BH286"/>
      <c r="BI286"/>
      <c r="BJ286"/>
      <c r="BK286"/>
      <c r="BL286"/>
      <c r="BM286"/>
      <c r="BN286"/>
      <c r="BO286"/>
      <c r="BP286"/>
      <c r="BQ286"/>
      <c r="BR286"/>
      <c r="BS286"/>
      <c r="BT286"/>
      <c r="BU286"/>
      <c r="BV286"/>
      <c r="BW286"/>
      <c r="BX286"/>
      <c r="BY286"/>
      <c r="BZ286"/>
      <c r="CA286"/>
      <c r="CB286"/>
      <c r="CC286"/>
      <c r="CD286"/>
      <c r="CE286"/>
      <c r="CF286"/>
      <c r="CG286"/>
      <c r="CH286"/>
      <c r="CI286"/>
      <c r="CJ286"/>
      <c r="CK286"/>
      <c r="CL286"/>
      <c r="CM286"/>
      <c r="CN286"/>
      <c r="CO286"/>
      <c r="CP286"/>
      <c r="CQ286"/>
      <c r="CR286"/>
      <c r="CS286"/>
      <c r="CT286"/>
      <c r="CU286"/>
      <c r="CV286"/>
      <c r="CW286"/>
      <c r="CX286"/>
      <c r="CY286"/>
      <c r="CZ286"/>
      <c r="DA286"/>
      <c r="DB286"/>
      <c r="DC286"/>
      <c r="DD286"/>
      <c r="DE286"/>
      <c r="DF286"/>
    </row>
    <row r="287" spans="1:110" s="14" customFormat="1" x14ac:dyDescent="0.3">
      <c r="A287" t="s">
        <v>32</v>
      </c>
      <c r="B287" t="s">
        <v>290</v>
      </c>
      <c r="C287" t="s">
        <v>418</v>
      </c>
      <c r="D287" s="10">
        <f>D286-D286*inputs!$E$35</f>
        <v>0</v>
      </c>
      <c r="E287" t="str">
        <f t="shared" ca="1" si="5"/>
        <v>=D286-D286*inputs!$E$35</v>
      </c>
      <c r="F287"/>
      <c r="G287"/>
      <c r="H287"/>
      <c r="I287"/>
      <c r="J287"/>
      <c r="K287"/>
      <c r="L287"/>
      <c r="M287"/>
      <c r="N287"/>
      <c r="O287"/>
      <c r="P287"/>
      <c r="Q287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  <c r="AJ287"/>
      <c r="AK287"/>
      <c r="AL287"/>
      <c r="AM287"/>
      <c r="AN287"/>
      <c r="AO287"/>
      <c r="AP287"/>
      <c r="AQ287"/>
      <c r="AR287"/>
      <c r="AS287"/>
      <c r="AT287"/>
      <c r="AU287"/>
      <c r="AV287"/>
      <c r="AW287"/>
      <c r="AX287"/>
      <c r="AY287"/>
      <c r="AZ287"/>
      <c r="BA287"/>
      <c r="BB287"/>
      <c r="BC287"/>
      <c r="BD287"/>
      <c r="BE287"/>
      <c r="BF287"/>
      <c r="BG287"/>
      <c r="BH287"/>
      <c r="BI287"/>
      <c r="BJ287"/>
      <c r="BK287"/>
      <c r="BL287"/>
      <c r="BM287"/>
      <c r="BN287"/>
      <c r="BO287"/>
      <c r="BP287"/>
      <c r="BQ287"/>
      <c r="BR287"/>
      <c r="BS287"/>
      <c r="BT287"/>
      <c r="BU287"/>
      <c r="BV287"/>
      <c r="BW287"/>
      <c r="BX287"/>
      <c r="BY287"/>
      <c r="BZ287"/>
      <c r="CA287"/>
      <c r="CB287"/>
      <c r="CC287"/>
      <c r="CD287"/>
      <c r="CE287"/>
      <c r="CF287"/>
      <c r="CG287"/>
      <c r="CH287"/>
      <c r="CI287"/>
      <c r="CJ287"/>
      <c r="CK287"/>
      <c r="CL287"/>
      <c r="CM287"/>
      <c r="CN287"/>
      <c r="CO287"/>
      <c r="CP287"/>
      <c r="CQ287"/>
      <c r="CR287"/>
      <c r="CS287"/>
      <c r="CT287"/>
      <c r="CU287"/>
      <c r="CV287"/>
      <c r="CW287"/>
      <c r="CX287"/>
      <c r="CY287"/>
      <c r="CZ287"/>
      <c r="DA287"/>
      <c r="DB287"/>
      <c r="DC287"/>
      <c r="DD287"/>
      <c r="DE287"/>
      <c r="DF287"/>
    </row>
    <row r="288" spans="1:110" s="14" customFormat="1" x14ac:dyDescent="0.3">
      <c r="A288" t="s">
        <v>32</v>
      </c>
      <c r="B288" t="s">
        <v>290</v>
      </c>
      <c r="C288" t="s">
        <v>419</v>
      </c>
      <c r="D288" s="10">
        <f>D287-D287*inputs!$E$35</f>
        <v>0</v>
      </c>
      <c r="E288" t="str">
        <f t="shared" ca="1" si="5"/>
        <v>=D287-D287*inputs!$E$35</v>
      </c>
      <c r="F288"/>
      <c r="G288"/>
      <c r="H288"/>
      <c r="I288"/>
      <c r="J288"/>
      <c r="K288"/>
      <c r="L288"/>
      <c r="M288"/>
      <c r="N288"/>
      <c r="O288"/>
      <c r="P288"/>
      <c r="Q288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  <c r="AJ288"/>
      <c r="AK288"/>
      <c r="AL288"/>
      <c r="AM288"/>
      <c r="AN288"/>
      <c r="AO288"/>
      <c r="AP288"/>
      <c r="AQ288"/>
      <c r="AR288"/>
      <c r="AS288"/>
      <c r="AT288"/>
      <c r="AU288"/>
      <c r="AV288"/>
      <c r="AW288"/>
      <c r="AX288"/>
      <c r="AY288"/>
      <c r="AZ288"/>
      <c r="BA288"/>
      <c r="BB288"/>
      <c r="BC288"/>
      <c r="BD288"/>
      <c r="BE288"/>
      <c r="BF288"/>
      <c r="BG288"/>
      <c r="BH288"/>
      <c r="BI288"/>
      <c r="BJ288"/>
      <c r="BK288"/>
      <c r="BL288"/>
      <c r="BM288"/>
      <c r="BN288"/>
      <c r="BO288"/>
      <c r="BP288"/>
      <c r="BQ288"/>
      <c r="BR288"/>
      <c r="BS288"/>
      <c r="BT288"/>
      <c r="BU288"/>
      <c r="BV288"/>
      <c r="BW288"/>
      <c r="BX288"/>
      <c r="BY288"/>
      <c r="BZ288"/>
      <c r="CA288"/>
      <c r="CB288"/>
      <c r="CC288"/>
      <c r="CD288"/>
      <c r="CE288"/>
      <c r="CF288"/>
      <c r="CG288"/>
      <c r="CH288"/>
      <c r="CI288"/>
      <c r="CJ288"/>
      <c r="CK288"/>
      <c r="CL288"/>
      <c r="CM288"/>
      <c r="CN288"/>
      <c r="CO288"/>
      <c r="CP288"/>
      <c r="CQ288"/>
      <c r="CR288"/>
      <c r="CS288"/>
      <c r="CT288"/>
      <c r="CU288"/>
      <c r="CV288"/>
      <c r="CW288"/>
      <c r="CX288"/>
      <c r="CY288"/>
      <c r="CZ288"/>
      <c r="DA288"/>
      <c r="DB288"/>
      <c r="DC288"/>
      <c r="DD288"/>
      <c r="DE288"/>
      <c r="DF288"/>
    </row>
    <row r="289" spans="1:110" s="14" customFormat="1" x14ac:dyDescent="0.3">
      <c r="A289" t="s">
        <v>32</v>
      </c>
      <c r="B289" t="s">
        <v>290</v>
      </c>
      <c r="C289" t="s">
        <v>420</v>
      </c>
      <c r="D289" s="10">
        <f>D288-D288*inputs!$E$35</f>
        <v>0</v>
      </c>
      <c r="E289" t="str">
        <f t="shared" ca="1" si="5"/>
        <v>=D288-D288*inputs!$E$35</v>
      </c>
      <c r="F289"/>
      <c r="G289"/>
      <c r="H289"/>
      <c r="I289"/>
      <c r="J289"/>
      <c r="K289"/>
      <c r="L289"/>
      <c r="M289"/>
      <c r="N289"/>
      <c r="O289"/>
      <c r="P289"/>
      <c r="Q289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  <c r="AJ289"/>
      <c r="AK289"/>
      <c r="AL289"/>
      <c r="AM289"/>
      <c r="AN289"/>
      <c r="AO289"/>
      <c r="AP289"/>
      <c r="AQ289"/>
      <c r="AR289"/>
      <c r="AS289"/>
      <c r="AT289"/>
      <c r="AU289"/>
      <c r="AV289"/>
      <c r="AW289"/>
      <c r="AX289"/>
      <c r="AY289"/>
      <c r="AZ289"/>
      <c r="BA289"/>
      <c r="BB289"/>
      <c r="BC289"/>
      <c r="BD289"/>
      <c r="BE289"/>
      <c r="BF289"/>
      <c r="BG289"/>
      <c r="BH289"/>
      <c r="BI289"/>
      <c r="BJ289"/>
      <c r="BK289"/>
      <c r="BL289"/>
      <c r="BM289"/>
      <c r="BN289"/>
      <c r="BO289"/>
      <c r="BP289"/>
      <c r="BQ289"/>
      <c r="BR289"/>
      <c r="BS289"/>
      <c r="BT289"/>
      <c r="BU289"/>
      <c r="BV289"/>
      <c r="BW289"/>
      <c r="BX289"/>
      <c r="BY289"/>
      <c r="BZ289"/>
      <c r="CA289"/>
      <c r="CB289"/>
      <c r="CC289"/>
      <c r="CD289"/>
      <c r="CE289"/>
      <c r="CF289"/>
      <c r="CG289"/>
      <c r="CH289"/>
      <c r="CI289"/>
      <c r="CJ289"/>
      <c r="CK289"/>
      <c r="CL289"/>
      <c r="CM289"/>
      <c r="CN289"/>
      <c r="CO289"/>
      <c r="CP289"/>
      <c r="CQ289"/>
      <c r="CR289"/>
      <c r="CS289"/>
      <c r="CT289"/>
      <c r="CU289"/>
      <c r="CV289"/>
      <c r="CW289"/>
      <c r="CX289"/>
      <c r="CY289"/>
      <c r="CZ289"/>
      <c r="DA289"/>
      <c r="DB289"/>
      <c r="DC289"/>
      <c r="DD289"/>
      <c r="DE289"/>
      <c r="DF289"/>
    </row>
    <row r="290" spans="1:110" s="14" customFormat="1" x14ac:dyDescent="0.3">
      <c r="A290" t="s">
        <v>32</v>
      </c>
      <c r="B290" t="s">
        <v>290</v>
      </c>
      <c r="C290" t="s">
        <v>421</v>
      </c>
      <c r="D290" s="10">
        <f>D289-D289*inputs!$E$35</f>
        <v>0</v>
      </c>
      <c r="E290" t="str">
        <f t="shared" ca="1" si="5"/>
        <v>=D289-D289*inputs!$E$35</v>
      </c>
      <c r="F290"/>
      <c r="G290"/>
      <c r="H290"/>
      <c r="I290"/>
      <c r="J290"/>
      <c r="K290"/>
      <c r="L290"/>
      <c r="M290"/>
      <c r="N290"/>
      <c r="O290"/>
      <c r="P290"/>
      <c r="Q290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  <c r="AJ290"/>
      <c r="AK290"/>
      <c r="AL290"/>
      <c r="AM290"/>
      <c r="AN290"/>
      <c r="AO290"/>
      <c r="AP290"/>
      <c r="AQ290"/>
      <c r="AR290"/>
      <c r="AS290"/>
      <c r="AT290"/>
      <c r="AU290"/>
      <c r="AV290"/>
      <c r="AW290"/>
      <c r="AX290"/>
      <c r="AY290"/>
      <c r="AZ290"/>
      <c r="BA290"/>
      <c r="BB290"/>
      <c r="BC290"/>
      <c r="BD290"/>
      <c r="BE290"/>
      <c r="BF290"/>
      <c r="BG290"/>
      <c r="BH290"/>
      <c r="BI290"/>
      <c r="BJ290"/>
      <c r="BK290"/>
      <c r="BL290"/>
      <c r="BM290"/>
      <c r="BN290"/>
      <c r="BO290"/>
      <c r="BP290"/>
      <c r="BQ290"/>
      <c r="BR290"/>
      <c r="BS290"/>
      <c r="BT290"/>
      <c r="BU290"/>
      <c r="BV290"/>
      <c r="BW290"/>
      <c r="BX290"/>
      <c r="BY290"/>
      <c r="BZ290"/>
      <c r="CA290"/>
      <c r="CB290"/>
      <c r="CC290"/>
      <c r="CD290"/>
      <c r="CE290"/>
      <c r="CF290"/>
      <c r="CG290"/>
      <c r="CH290"/>
      <c r="CI290"/>
      <c r="CJ290"/>
      <c r="CK290"/>
      <c r="CL290"/>
      <c r="CM290"/>
      <c r="CN290"/>
      <c r="CO290"/>
      <c r="CP290"/>
      <c r="CQ290"/>
      <c r="CR290"/>
      <c r="CS290"/>
      <c r="CT290"/>
      <c r="CU290"/>
      <c r="CV290"/>
      <c r="CW290"/>
      <c r="CX290"/>
      <c r="CY290"/>
      <c r="CZ290"/>
      <c r="DA290"/>
      <c r="DB290"/>
      <c r="DC290"/>
      <c r="DD290"/>
      <c r="DE290"/>
      <c r="DF290"/>
    </row>
    <row r="291" spans="1:110" s="14" customFormat="1" x14ac:dyDescent="0.3">
      <c r="A291" t="s">
        <v>32</v>
      </c>
      <c r="B291" t="s">
        <v>290</v>
      </c>
      <c r="C291" t="s">
        <v>422</v>
      </c>
      <c r="D291" s="10">
        <f>D290-D290*inputs!$E$35</f>
        <v>0</v>
      </c>
      <c r="E291" t="str">
        <f t="shared" ca="1" si="5"/>
        <v>=D290-D290*inputs!$E$35</v>
      </c>
      <c r="F291"/>
      <c r="G291"/>
      <c r="H291"/>
      <c r="I291"/>
      <c r="J291"/>
      <c r="K291"/>
      <c r="L291"/>
      <c r="M291"/>
      <c r="N291"/>
      <c r="O291"/>
      <c r="P291"/>
      <c r="Q291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  <c r="AJ291"/>
      <c r="AK291"/>
      <c r="AL291"/>
      <c r="AM291"/>
      <c r="AN291"/>
      <c r="AO291"/>
      <c r="AP291"/>
      <c r="AQ291"/>
      <c r="AR291"/>
      <c r="AS291"/>
      <c r="AT291"/>
      <c r="AU291"/>
      <c r="AV291"/>
      <c r="AW291"/>
      <c r="AX291"/>
      <c r="AY291"/>
      <c r="AZ291"/>
      <c r="BA291"/>
      <c r="BB291"/>
      <c r="BC291"/>
      <c r="BD291"/>
      <c r="BE291"/>
      <c r="BF291"/>
      <c r="BG291"/>
      <c r="BH291"/>
      <c r="BI291"/>
      <c r="BJ291"/>
      <c r="BK291"/>
      <c r="BL291"/>
      <c r="BM291"/>
      <c r="BN291"/>
      <c r="BO291"/>
      <c r="BP291"/>
      <c r="BQ291"/>
      <c r="BR291"/>
      <c r="BS291"/>
      <c r="BT291"/>
      <c r="BU291"/>
      <c r="BV291"/>
      <c r="BW291"/>
      <c r="BX291"/>
      <c r="BY291"/>
      <c r="BZ291"/>
      <c r="CA291"/>
      <c r="CB291"/>
      <c r="CC291"/>
      <c r="CD291"/>
      <c r="CE291"/>
      <c r="CF291"/>
      <c r="CG291"/>
      <c r="CH291"/>
      <c r="CI291"/>
      <c r="CJ291"/>
      <c r="CK291"/>
      <c r="CL291"/>
      <c r="CM291"/>
      <c r="CN291"/>
      <c r="CO291"/>
      <c r="CP291"/>
      <c r="CQ291"/>
      <c r="CR291"/>
      <c r="CS291"/>
      <c r="CT291"/>
      <c r="CU291"/>
      <c r="CV291"/>
      <c r="CW291"/>
      <c r="CX291"/>
      <c r="CY291"/>
      <c r="CZ291"/>
      <c r="DA291"/>
      <c r="DB291"/>
      <c r="DC291"/>
      <c r="DD291"/>
      <c r="DE291"/>
      <c r="DF291"/>
    </row>
    <row r="292" spans="1:110" s="14" customFormat="1" x14ac:dyDescent="0.3">
      <c r="A292" t="s">
        <v>32</v>
      </c>
      <c r="B292" t="s">
        <v>290</v>
      </c>
      <c r="C292" t="s">
        <v>423</v>
      </c>
      <c r="D292" s="10">
        <f>D291-D291*inputs!$E$35</f>
        <v>0</v>
      </c>
      <c r="E292" t="str">
        <f t="shared" ca="1" si="5"/>
        <v>=D291-D291*inputs!$E$35</v>
      </c>
      <c r="F292"/>
      <c r="G292"/>
      <c r="H292"/>
      <c r="I292"/>
      <c r="J292"/>
      <c r="K292"/>
      <c r="L292"/>
      <c r="M292"/>
      <c r="N292"/>
      <c r="O292"/>
      <c r="P292"/>
      <c r="Q292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  <c r="AJ292"/>
      <c r="AK292"/>
      <c r="AL292"/>
      <c r="AM292"/>
      <c r="AN292"/>
      <c r="AO292"/>
      <c r="AP292"/>
      <c r="AQ292"/>
      <c r="AR292"/>
      <c r="AS292"/>
      <c r="AT292"/>
      <c r="AU292"/>
      <c r="AV292"/>
      <c r="AW292"/>
      <c r="AX292"/>
      <c r="AY292"/>
      <c r="AZ292"/>
      <c r="BA292"/>
      <c r="BB292"/>
      <c r="BC292"/>
      <c r="BD292"/>
      <c r="BE292"/>
      <c r="BF292"/>
      <c r="BG292"/>
      <c r="BH292"/>
      <c r="BI292"/>
      <c r="BJ292"/>
      <c r="BK292"/>
      <c r="BL292"/>
      <c r="BM292"/>
      <c r="BN292"/>
      <c r="BO292"/>
      <c r="BP292"/>
      <c r="BQ292"/>
      <c r="BR292"/>
      <c r="BS292"/>
      <c r="BT292"/>
      <c r="BU292"/>
      <c r="BV292"/>
      <c r="BW292"/>
      <c r="BX292"/>
      <c r="BY292"/>
      <c r="BZ292"/>
      <c r="CA292"/>
      <c r="CB292"/>
      <c r="CC292"/>
      <c r="CD292"/>
      <c r="CE292"/>
      <c r="CF292"/>
      <c r="CG292"/>
      <c r="CH292"/>
      <c r="CI292"/>
      <c r="CJ292"/>
      <c r="CK292"/>
      <c r="CL292"/>
      <c r="CM292"/>
      <c r="CN292"/>
      <c r="CO292"/>
      <c r="CP292"/>
      <c r="CQ292"/>
      <c r="CR292"/>
      <c r="CS292"/>
      <c r="CT292"/>
      <c r="CU292"/>
      <c r="CV292"/>
      <c r="CW292"/>
      <c r="CX292"/>
      <c r="CY292"/>
      <c r="CZ292"/>
      <c r="DA292"/>
      <c r="DB292"/>
      <c r="DC292"/>
      <c r="DD292"/>
      <c r="DE292"/>
      <c r="DF292"/>
    </row>
    <row r="293" spans="1:110" s="14" customFormat="1" x14ac:dyDescent="0.3">
      <c r="A293" t="s">
        <v>32</v>
      </c>
      <c r="B293" t="s">
        <v>290</v>
      </c>
      <c r="C293" t="s">
        <v>424</v>
      </c>
      <c r="D293" s="10">
        <f>D292-D292*inputs!$E$35</f>
        <v>0</v>
      </c>
      <c r="E293" t="str">
        <f t="shared" ca="1" si="5"/>
        <v>=D292-D292*inputs!$E$35</v>
      </c>
      <c r="F293"/>
      <c r="G293"/>
      <c r="H293"/>
      <c r="I293"/>
      <c r="J293"/>
      <c r="K293"/>
      <c r="L293"/>
      <c r="M293"/>
      <c r="N293"/>
      <c r="O293"/>
      <c r="P293"/>
      <c r="Q293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  <c r="AJ293"/>
      <c r="AK293"/>
      <c r="AL293"/>
      <c r="AM293"/>
      <c r="AN293"/>
      <c r="AO293"/>
      <c r="AP293"/>
      <c r="AQ293"/>
      <c r="AR293"/>
      <c r="AS293"/>
      <c r="AT293"/>
      <c r="AU293"/>
      <c r="AV293"/>
      <c r="AW293"/>
      <c r="AX293"/>
      <c r="AY293"/>
      <c r="AZ293"/>
      <c r="BA293"/>
      <c r="BB293"/>
      <c r="BC293"/>
      <c r="BD293"/>
      <c r="BE293"/>
      <c r="BF293"/>
      <c r="BG293"/>
      <c r="BH293"/>
      <c r="BI293"/>
      <c r="BJ293"/>
      <c r="BK293"/>
      <c r="BL293"/>
      <c r="BM293"/>
      <c r="BN293"/>
      <c r="BO293"/>
      <c r="BP293"/>
      <c r="BQ293"/>
      <c r="BR293"/>
      <c r="BS293"/>
      <c r="BT293"/>
      <c r="BU293"/>
      <c r="BV293"/>
      <c r="BW293"/>
      <c r="BX293"/>
      <c r="BY293"/>
      <c r="BZ293"/>
      <c r="CA293"/>
      <c r="CB293"/>
      <c r="CC293"/>
      <c r="CD293"/>
      <c r="CE293"/>
      <c r="CF293"/>
      <c r="CG293"/>
      <c r="CH293"/>
      <c r="CI293"/>
      <c r="CJ293"/>
      <c r="CK293"/>
      <c r="CL293"/>
      <c r="CM293"/>
      <c r="CN293"/>
      <c r="CO293"/>
      <c r="CP293"/>
      <c r="CQ293"/>
      <c r="CR293"/>
      <c r="CS293"/>
      <c r="CT293"/>
      <c r="CU293"/>
      <c r="CV293"/>
      <c r="CW293"/>
      <c r="CX293"/>
      <c r="CY293"/>
      <c r="CZ293"/>
      <c r="DA293"/>
      <c r="DB293"/>
      <c r="DC293"/>
      <c r="DD293"/>
      <c r="DE293"/>
      <c r="DF293"/>
    </row>
    <row r="294" spans="1:110" s="14" customFormat="1" x14ac:dyDescent="0.3">
      <c r="A294" t="s">
        <v>32</v>
      </c>
      <c r="B294" t="s">
        <v>290</v>
      </c>
      <c r="C294" t="s">
        <v>425</v>
      </c>
      <c r="D294" s="10">
        <f>D293-D293*inputs!$E$35</f>
        <v>0</v>
      </c>
      <c r="E294" t="str">
        <f t="shared" ca="1" si="5"/>
        <v>=D293-D293*inputs!$E$35</v>
      </c>
      <c r="F294"/>
      <c r="G294"/>
      <c r="H294"/>
      <c r="I294"/>
      <c r="J294"/>
      <c r="K294"/>
      <c r="L294"/>
      <c r="M294"/>
      <c r="N294"/>
      <c r="O294"/>
      <c r="P294"/>
      <c r="Q294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  <c r="AJ294"/>
      <c r="AK294"/>
      <c r="AL294"/>
      <c r="AM294"/>
      <c r="AN294"/>
      <c r="AO294"/>
      <c r="AP294"/>
      <c r="AQ294"/>
      <c r="AR294"/>
      <c r="AS294"/>
      <c r="AT294"/>
      <c r="AU294"/>
      <c r="AV294"/>
      <c r="AW294"/>
      <c r="AX294"/>
      <c r="AY294"/>
      <c r="AZ294"/>
      <c r="BA294"/>
      <c r="BB294"/>
      <c r="BC294"/>
      <c r="BD294"/>
      <c r="BE294"/>
      <c r="BF294"/>
      <c r="BG294"/>
      <c r="BH294"/>
      <c r="BI294"/>
      <c r="BJ294"/>
      <c r="BK294"/>
      <c r="BL294"/>
      <c r="BM294"/>
      <c r="BN294"/>
      <c r="BO294"/>
      <c r="BP294"/>
      <c r="BQ294"/>
      <c r="BR294"/>
      <c r="BS294"/>
      <c r="BT294"/>
      <c r="BU294"/>
      <c r="BV294"/>
      <c r="BW294"/>
      <c r="BX294"/>
      <c r="BY294"/>
      <c r="BZ294"/>
      <c r="CA294"/>
      <c r="CB294"/>
      <c r="CC294"/>
      <c r="CD294"/>
      <c r="CE294"/>
      <c r="CF294"/>
      <c r="CG294"/>
      <c r="CH294"/>
      <c r="CI294"/>
      <c r="CJ294"/>
      <c r="CK294"/>
      <c r="CL294"/>
      <c r="CM294"/>
      <c r="CN294"/>
      <c r="CO294"/>
      <c r="CP294"/>
      <c r="CQ294"/>
      <c r="CR294"/>
      <c r="CS294"/>
      <c r="CT294"/>
      <c r="CU294"/>
      <c r="CV294"/>
      <c r="CW294"/>
      <c r="CX294"/>
      <c r="CY294"/>
      <c r="CZ294"/>
      <c r="DA294"/>
      <c r="DB294"/>
      <c r="DC294"/>
      <c r="DD294"/>
      <c r="DE294"/>
      <c r="DF294"/>
    </row>
    <row r="295" spans="1:110" s="14" customFormat="1" x14ac:dyDescent="0.3">
      <c r="A295" t="s">
        <v>32</v>
      </c>
      <c r="B295" t="s">
        <v>290</v>
      </c>
      <c r="C295" t="s">
        <v>426</v>
      </c>
      <c r="D295" s="10">
        <f>D294-D294*inputs!$E$35</f>
        <v>0</v>
      </c>
      <c r="E295" t="str">
        <f t="shared" ca="1" si="5"/>
        <v>=D294-D294*inputs!$E$35</v>
      </c>
      <c r="F295"/>
      <c r="G295"/>
      <c r="H295"/>
      <c r="I295"/>
      <c r="J295"/>
      <c r="K295"/>
      <c r="L295"/>
      <c r="M295"/>
      <c r="N295"/>
      <c r="O295"/>
      <c r="P295"/>
      <c r="Q295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  <c r="AJ295"/>
      <c r="AK295"/>
      <c r="AL295"/>
      <c r="AM295"/>
      <c r="AN295"/>
      <c r="AO295"/>
      <c r="AP295"/>
      <c r="AQ295"/>
      <c r="AR295"/>
      <c r="AS295"/>
      <c r="AT295"/>
      <c r="AU295"/>
      <c r="AV295"/>
      <c r="AW295"/>
      <c r="AX295"/>
      <c r="AY295"/>
      <c r="AZ295"/>
      <c r="BA295"/>
      <c r="BB295"/>
      <c r="BC295"/>
      <c r="BD295"/>
      <c r="BE295"/>
      <c r="BF295"/>
      <c r="BG295"/>
      <c r="BH295"/>
      <c r="BI295"/>
      <c r="BJ295"/>
      <c r="BK295"/>
      <c r="BL295"/>
      <c r="BM295"/>
      <c r="BN295"/>
      <c r="BO295"/>
      <c r="BP295"/>
      <c r="BQ295"/>
      <c r="BR295"/>
      <c r="BS295"/>
      <c r="BT295"/>
      <c r="BU295"/>
      <c r="BV295"/>
      <c r="BW295"/>
      <c r="BX295"/>
      <c r="BY295"/>
      <c r="BZ295"/>
      <c r="CA295"/>
      <c r="CB295"/>
      <c r="CC295"/>
      <c r="CD295"/>
      <c r="CE295"/>
      <c r="CF295"/>
      <c r="CG295"/>
      <c r="CH295"/>
      <c r="CI295"/>
      <c r="CJ295"/>
      <c r="CK295"/>
      <c r="CL295"/>
      <c r="CM295"/>
      <c r="CN295"/>
      <c r="CO295"/>
      <c r="CP295"/>
      <c r="CQ295"/>
      <c r="CR295"/>
      <c r="CS295"/>
      <c r="CT295"/>
      <c r="CU295"/>
      <c r="CV295"/>
      <c r="CW295"/>
      <c r="CX295"/>
      <c r="CY295"/>
      <c r="CZ295"/>
      <c r="DA295"/>
      <c r="DB295"/>
      <c r="DC295"/>
      <c r="DD295"/>
      <c r="DE295"/>
      <c r="DF295"/>
    </row>
    <row r="296" spans="1:110" s="14" customFormat="1" x14ac:dyDescent="0.3">
      <c r="A296" t="s">
        <v>32</v>
      </c>
      <c r="B296" t="s">
        <v>290</v>
      </c>
      <c r="C296" t="s">
        <v>427</v>
      </c>
      <c r="D296" s="10">
        <f>D295-D295*inputs!$E$36</f>
        <v>0</v>
      </c>
      <c r="E296" t="str">
        <f t="shared" ca="1" si="5"/>
        <v>=D295-D295*inputs!$E$36</v>
      </c>
      <c r="F296"/>
      <c r="G296"/>
      <c r="H296"/>
      <c r="I296"/>
      <c r="J296"/>
      <c r="K296"/>
      <c r="L296"/>
      <c r="M296"/>
      <c r="N296"/>
      <c r="O296"/>
      <c r="P296"/>
      <c r="Q29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  <c r="AJ296"/>
      <c r="AK296"/>
      <c r="AL296"/>
      <c r="AM296"/>
      <c r="AN296"/>
      <c r="AO296"/>
      <c r="AP296"/>
      <c r="AQ296"/>
      <c r="AR296"/>
      <c r="AS296"/>
      <c r="AT296"/>
      <c r="AU296"/>
      <c r="AV296"/>
      <c r="AW296"/>
      <c r="AX296"/>
      <c r="AY296"/>
      <c r="AZ296"/>
      <c r="BA296"/>
      <c r="BB296"/>
      <c r="BC296"/>
      <c r="BD296"/>
      <c r="BE296"/>
      <c r="BF296"/>
      <c r="BG296"/>
      <c r="BH296"/>
      <c r="BI296"/>
      <c r="BJ296"/>
      <c r="BK296"/>
      <c r="BL296"/>
      <c r="BM296"/>
      <c r="BN296"/>
      <c r="BO296"/>
      <c r="BP296"/>
      <c r="BQ296"/>
      <c r="BR296"/>
      <c r="BS296"/>
      <c r="BT296"/>
      <c r="BU296"/>
      <c r="BV296"/>
      <c r="BW296"/>
      <c r="BX296"/>
      <c r="BY296"/>
      <c r="BZ296"/>
      <c r="CA296"/>
      <c r="CB296"/>
      <c r="CC296"/>
      <c r="CD296"/>
      <c r="CE296"/>
      <c r="CF296"/>
      <c r="CG296"/>
      <c r="CH296"/>
      <c r="CI296"/>
      <c r="CJ296"/>
      <c r="CK296"/>
      <c r="CL296"/>
      <c r="CM296"/>
      <c r="CN296"/>
      <c r="CO296"/>
      <c r="CP296"/>
      <c r="CQ296"/>
      <c r="CR296"/>
      <c r="CS296"/>
      <c r="CT296"/>
      <c r="CU296"/>
      <c r="CV296"/>
      <c r="CW296"/>
      <c r="CX296"/>
      <c r="CY296"/>
      <c r="CZ296"/>
      <c r="DA296"/>
      <c r="DB296"/>
      <c r="DC296"/>
      <c r="DD296"/>
      <c r="DE296"/>
      <c r="DF296"/>
    </row>
    <row r="297" spans="1:110" s="14" customFormat="1" x14ac:dyDescent="0.3">
      <c r="A297" t="s">
        <v>32</v>
      </c>
      <c r="B297" t="s">
        <v>290</v>
      </c>
      <c r="C297" t="s">
        <v>428</v>
      </c>
      <c r="D297" s="10">
        <f>D296-D296*inputs!$E$36</f>
        <v>0</v>
      </c>
      <c r="E297" t="str">
        <f t="shared" ca="1" si="5"/>
        <v>=D296-D296*inputs!$E$36</v>
      </c>
      <c r="F297"/>
      <c r="G297"/>
      <c r="H297"/>
      <c r="I297"/>
      <c r="J297"/>
      <c r="K297"/>
      <c r="L297"/>
      <c r="M297"/>
      <c r="N297"/>
      <c r="O297"/>
      <c r="P297"/>
      <c r="Q297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  <c r="AJ297"/>
      <c r="AK297"/>
      <c r="AL297"/>
      <c r="AM297"/>
      <c r="AN297"/>
      <c r="AO297"/>
      <c r="AP297"/>
      <c r="AQ297"/>
      <c r="AR297"/>
      <c r="AS297"/>
      <c r="AT297"/>
      <c r="AU297"/>
      <c r="AV297"/>
      <c r="AW297"/>
      <c r="AX297"/>
      <c r="AY297"/>
      <c r="AZ297"/>
      <c r="BA297"/>
      <c r="BB297"/>
      <c r="BC297"/>
      <c r="BD297"/>
      <c r="BE297"/>
      <c r="BF297"/>
      <c r="BG297"/>
      <c r="BH297"/>
      <c r="BI297"/>
      <c r="BJ297"/>
      <c r="BK297"/>
      <c r="BL297"/>
      <c r="BM297"/>
      <c r="BN297"/>
      <c r="BO297"/>
      <c r="BP297"/>
      <c r="BQ297"/>
      <c r="BR297"/>
      <c r="BS297"/>
      <c r="BT297"/>
      <c r="BU297"/>
      <c r="BV297"/>
      <c r="BW297"/>
      <c r="BX297"/>
      <c r="BY297"/>
      <c r="BZ297"/>
      <c r="CA297"/>
      <c r="CB297"/>
      <c r="CC297"/>
      <c r="CD297"/>
      <c r="CE297"/>
      <c r="CF297"/>
      <c r="CG297"/>
      <c r="CH297"/>
      <c r="CI297"/>
      <c r="CJ297"/>
      <c r="CK297"/>
      <c r="CL297"/>
      <c r="CM297"/>
      <c r="CN297"/>
      <c r="CO297"/>
      <c r="CP297"/>
      <c r="CQ297"/>
      <c r="CR297"/>
      <c r="CS297"/>
      <c r="CT297"/>
      <c r="CU297"/>
      <c r="CV297"/>
      <c r="CW297"/>
      <c r="CX297"/>
      <c r="CY297"/>
      <c r="CZ297"/>
      <c r="DA297"/>
      <c r="DB297"/>
      <c r="DC297"/>
      <c r="DD297"/>
      <c r="DE297"/>
      <c r="DF297"/>
    </row>
    <row r="298" spans="1:110" s="14" customFormat="1" x14ac:dyDescent="0.3">
      <c r="A298" t="s">
        <v>32</v>
      </c>
      <c r="B298" t="s">
        <v>290</v>
      </c>
      <c r="C298" t="s">
        <v>429</v>
      </c>
      <c r="D298" s="10">
        <f>D297-D297*inputs!$E$36</f>
        <v>0</v>
      </c>
      <c r="E298" t="str">
        <f t="shared" ca="1" si="5"/>
        <v>=D297-D297*inputs!$E$36</v>
      </c>
      <c r="F298"/>
      <c r="G298"/>
      <c r="H298"/>
      <c r="I298"/>
      <c r="J298"/>
      <c r="K298"/>
      <c r="L298"/>
      <c r="M298"/>
      <c r="N298"/>
      <c r="O298"/>
      <c r="P298"/>
      <c r="Q298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  <c r="AJ298"/>
      <c r="AK298"/>
      <c r="AL298"/>
      <c r="AM298"/>
      <c r="AN298"/>
      <c r="AO298"/>
      <c r="AP298"/>
      <c r="AQ298"/>
      <c r="AR298"/>
      <c r="AS298"/>
      <c r="AT298"/>
      <c r="AU298"/>
      <c r="AV298"/>
      <c r="AW298"/>
      <c r="AX298"/>
      <c r="AY298"/>
      <c r="AZ298"/>
      <c r="BA298"/>
      <c r="BB298"/>
      <c r="BC298"/>
      <c r="BD298"/>
      <c r="BE298"/>
      <c r="BF298"/>
      <c r="BG298"/>
      <c r="BH298"/>
      <c r="BI298"/>
      <c r="BJ298"/>
      <c r="BK298"/>
      <c r="BL298"/>
      <c r="BM298"/>
      <c r="BN298"/>
      <c r="BO298"/>
      <c r="BP298"/>
      <c r="BQ298"/>
      <c r="BR298"/>
      <c r="BS298"/>
      <c r="BT298"/>
      <c r="BU298"/>
      <c r="BV298"/>
      <c r="BW298"/>
      <c r="BX298"/>
      <c r="BY298"/>
      <c r="BZ298"/>
      <c r="CA298"/>
      <c r="CB298"/>
      <c r="CC298"/>
      <c r="CD298"/>
      <c r="CE298"/>
      <c r="CF298"/>
      <c r="CG298"/>
      <c r="CH298"/>
      <c r="CI298"/>
      <c r="CJ298"/>
      <c r="CK298"/>
      <c r="CL298"/>
      <c r="CM298"/>
      <c r="CN298"/>
      <c r="CO298"/>
      <c r="CP298"/>
      <c r="CQ298"/>
      <c r="CR298"/>
      <c r="CS298"/>
      <c r="CT298"/>
      <c r="CU298"/>
      <c r="CV298"/>
      <c r="CW298"/>
      <c r="CX298"/>
      <c r="CY298"/>
      <c r="CZ298"/>
      <c r="DA298"/>
      <c r="DB298"/>
      <c r="DC298"/>
      <c r="DD298"/>
      <c r="DE298"/>
      <c r="DF298"/>
    </row>
    <row r="299" spans="1:110" s="14" customFormat="1" x14ac:dyDescent="0.3">
      <c r="A299" t="s">
        <v>32</v>
      </c>
      <c r="B299" t="s">
        <v>290</v>
      </c>
      <c r="C299" t="s">
        <v>430</v>
      </c>
      <c r="D299" s="10">
        <f>D298-D298*inputs!$E$36</f>
        <v>0</v>
      </c>
      <c r="E299" t="str">
        <f t="shared" ca="1" si="5"/>
        <v>=D298-D298*inputs!$E$36</v>
      </c>
      <c r="F299"/>
      <c r="G299"/>
      <c r="H299"/>
      <c r="I299"/>
      <c r="J299"/>
      <c r="K299"/>
      <c r="L299"/>
      <c r="M299"/>
      <c r="N299"/>
      <c r="O299"/>
      <c r="P299"/>
      <c r="Q299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  <c r="AJ299"/>
      <c r="AK299"/>
      <c r="AL299"/>
      <c r="AM299"/>
      <c r="AN299"/>
      <c r="AO299"/>
      <c r="AP299"/>
      <c r="AQ299"/>
      <c r="AR299"/>
      <c r="AS299"/>
      <c r="AT299"/>
      <c r="AU299"/>
      <c r="AV299"/>
      <c r="AW299"/>
      <c r="AX299"/>
      <c r="AY299"/>
      <c r="AZ299"/>
      <c r="BA299"/>
      <c r="BB299"/>
      <c r="BC299"/>
      <c r="BD299"/>
      <c r="BE299"/>
      <c r="BF299"/>
      <c r="BG299"/>
      <c r="BH299"/>
      <c r="BI299"/>
      <c r="BJ299"/>
      <c r="BK299"/>
      <c r="BL299"/>
      <c r="BM299"/>
      <c r="BN299"/>
      <c r="BO299"/>
      <c r="BP299"/>
      <c r="BQ299"/>
      <c r="BR299"/>
      <c r="BS299"/>
      <c r="BT299"/>
      <c r="BU299"/>
      <c r="BV299"/>
      <c r="BW299"/>
      <c r="BX299"/>
      <c r="BY299"/>
      <c r="BZ299"/>
      <c r="CA299"/>
      <c r="CB299"/>
      <c r="CC299"/>
      <c r="CD299"/>
      <c r="CE299"/>
      <c r="CF299"/>
      <c r="CG299"/>
      <c r="CH299"/>
      <c r="CI299"/>
      <c r="CJ299"/>
      <c r="CK299"/>
      <c r="CL299"/>
      <c r="CM299"/>
      <c r="CN299"/>
      <c r="CO299"/>
      <c r="CP299"/>
      <c r="CQ299"/>
      <c r="CR299"/>
      <c r="CS299"/>
      <c r="CT299"/>
      <c r="CU299"/>
      <c r="CV299"/>
      <c r="CW299"/>
      <c r="CX299"/>
      <c r="CY299"/>
      <c r="CZ299"/>
      <c r="DA299"/>
      <c r="DB299"/>
      <c r="DC299"/>
      <c r="DD299"/>
      <c r="DE299"/>
      <c r="DF299"/>
    </row>
    <row r="300" spans="1:110" s="14" customFormat="1" x14ac:dyDescent="0.3">
      <c r="A300" t="s">
        <v>32</v>
      </c>
      <c r="B300" t="s">
        <v>290</v>
      </c>
      <c r="C300" t="s">
        <v>431</v>
      </c>
      <c r="D300" s="10">
        <f>D299-D299*inputs!$E$36</f>
        <v>0</v>
      </c>
      <c r="E300" t="str">
        <f t="shared" ca="1" si="5"/>
        <v>=D299-D299*inputs!$E$36</v>
      </c>
      <c r="F300"/>
      <c r="G300"/>
      <c r="H300"/>
      <c r="I300"/>
      <c r="J300"/>
      <c r="K300"/>
      <c r="L300"/>
      <c r="M300"/>
      <c r="N300"/>
      <c r="O300"/>
      <c r="P300"/>
      <c r="Q300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  <c r="AJ300"/>
      <c r="AK300"/>
      <c r="AL300"/>
      <c r="AM300"/>
      <c r="AN300"/>
      <c r="AO300"/>
      <c r="AP300"/>
      <c r="AQ300"/>
      <c r="AR300"/>
      <c r="AS300"/>
      <c r="AT300"/>
      <c r="AU300"/>
      <c r="AV300"/>
      <c r="AW300"/>
      <c r="AX300"/>
      <c r="AY300"/>
      <c r="AZ300"/>
      <c r="BA300"/>
      <c r="BB300"/>
      <c r="BC300"/>
      <c r="BD300"/>
      <c r="BE300"/>
      <c r="BF300"/>
      <c r="BG300"/>
      <c r="BH300"/>
      <c r="BI300"/>
      <c r="BJ300"/>
      <c r="BK300"/>
      <c r="BL300"/>
      <c r="BM300"/>
      <c r="BN300"/>
      <c r="BO300"/>
      <c r="BP300"/>
      <c r="BQ300"/>
      <c r="BR300"/>
      <c r="BS300"/>
      <c r="BT300"/>
      <c r="BU300"/>
      <c r="BV300"/>
      <c r="BW300"/>
      <c r="BX300"/>
      <c r="BY300"/>
      <c r="BZ300"/>
      <c r="CA300"/>
      <c r="CB300"/>
      <c r="CC300"/>
      <c r="CD300"/>
      <c r="CE300"/>
      <c r="CF300"/>
      <c r="CG300"/>
      <c r="CH300"/>
      <c r="CI300"/>
      <c r="CJ300"/>
      <c r="CK300"/>
      <c r="CL300"/>
      <c r="CM300"/>
      <c r="CN300"/>
      <c r="CO300"/>
      <c r="CP300"/>
      <c r="CQ300"/>
      <c r="CR300"/>
      <c r="CS300"/>
      <c r="CT300"/>
      <c r="CU300"/>
      <c r="CV300"/>
      <c r="CW300"/>
      <c r="CX300"/>
      <c r="CY300"/>
      <c r="CZ300"/>
      <c r="DA300"/>
      <c r="DB300"/>
      <c r="DC300"/>
      <c r="DD300"/>
      <c r="DE300"/>
      <c r="DF300"/>
    </row>
    <row r="301" spans="1:110" s="14" customFormat="1" x14ac:dyDescent="0.3">
      <c r="A301" t="s">
        <v>32</v>
      </c>
      <c r="B301" t="s">
        <v>290</v>
      </c>
      <c r="C301" t="s">
        <v>432</v>
      </c>
      <c r="D301" s="10">
        <f>D300-D300*inputs!$E$37</f>
        <v>0</v>
      </c>
      <c r="E301" t="str">
        <f t="shared" ca="1" si="5"/>
        <v>=D300-D300*inputs!$E$37</v>
      </c>
      <c r="F301"/>
      <c r="G301"/>
      <c r="H301"/>
      <c r="I301"/>
      <c r="J301"/>
      <c r="K301"/>
      <c r="L301"/>
      <c r="M301"/>
      <c r="N301"/>
      <c r="O301"/>
      <c r="P301"/>
      <c r="Q301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  <c r="AJ301"/>
      <c r="AK301"/>
      <c r="AL301"/>
      <c r="AM301"/>
      <c r="AN301"/>
      <c r="AO301"/>
      <c r="AP301"/>
      <c r="AQ301"/>
      <c r="AR301"/>
      <c r="AS301"/>
      <c r="AT301"/>
      <c r="AU301"/>
      <c r="AV301"/>
      <c r="AW301"/>
      <c r="AX301"/>
      <c r="AY301"/>
      <c r="AZ301"/>
      <c r="BA301"/>
      <c r="BB301"/>
      <c r="BC301"/>
      <c r="BD301"/>
      <c r="BE301"/>
      <c r="BF301"/>
      <c r="BG301"/>
      <c r="BH301"/>
      <c r="BI301"/>
      <c r="BJ301"/>
      <c r="BK301"/>
      <c r="BL301"/>
      <c r="BM301"/>
      <c r="BN301"/>
      <c r="BO301"/>
      <c r="BP301"/>
      <c r="BQ301"/>
      <c r="BR301"/>
      <c r="BS301"/>
      <c r="BT301"/>
      <c r="BU301"/>
      <c r="BV301"/>
      <c r="BW301"/>
      <c r="BX301"/>
      <c r="BY301"/>
      <c r="BZ301"/>
      <c r="CA301"/>
      <c r="CB301"/>
      <c r="CC301"/>
      <c r="CD301"/>
      <c r="CE301"/>
      <c r="CF301"/>
      <c r="CG301"/>
      <c r="CH301"/>
      <c r="CI301"/>
      <c r="CJ301"/>
      <c r="CK301"/>
      <c r="CL301"/>
      <c r="CM301"/>
      <c r="CN301"/>
      <c r="CO301"/>
      <c r="CP301"/>
      <c r="CQ301"/>
      <c r="CR301"/>
      <c r="CS301"/>
      <c r="CT301"/>
      <c r="CU301"/>
      <c r="CV301"/>
      <c r="CW301"/>
      <c r="CX301"/>
      <c r="CY301"/>
      <c r="CZ301"/>
      <c r="DA301"/>
      <c r="DB301"/>
      <c r="DC301"/>
      <c r="DD301"/>
      <c r="DE301"/>
      <c r="DF301"/>
    </row>
    <row r="302" spans="1:110" s="14" customFormat="1" x14ac:dyDescent="0.3">
      <c r="A302" t="s">
        <v>32</v>
      </c>
      <c r="B302" t="s">
        <v>290</v>
      </c>
      <c r="C302" t="s">
        <v>433</v>
      </c>
      <c r="D302" s="10">
        <f>D301-D301*inputs!$E$37</f>
        <v>0</v>
      </c>
      <c r="E302" t="str">
        <f t="shared" ca="1" si="5"/>
        <v>=D301-D301*inputs!$E$37</v>
      </c>
      <c r="F302"/>
      <c r="G302"/>
      <c r="H302"/>
      <c r="I302"/>
      <c r="J302"/>
      <c r="K302"/>
      <c r="L302"/>
      <c r="M302"/>
      <c r="N302"/>
      <c r="O302"/>
      <c r="P302"/>
      <c r="Q302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  <c r="AJ302"/>
      <c r="AK302"/>
      <c r="AL302"/>
      <c r="AM302"/>
      <c r="AN302"/>
      <c r="AO302"/>
      <c r="AP302"/>
      <c r="AQ302"/>
      <c r="AR302"/>
      <c r="AS302"/>
      <c r="AT302"/>
      <c r="AU302"/>
      <c r="AV302"/>
      <c r="AW302"/>
      <c r="AX302"/>
      <c r="AY302"/>
      <c r="AZ302"/>
      <c r="BA302"/>
      <c r="BB302"/>
      <c r="BC302"/>
      <c r="BD302"/>
      <c r="BE302"/>
      <c r="BF302"/>
      <c r="BG302"/>
      <c r="BH302"/>
      <c r="BI302"/>
      <c r="BJ302"/>
      <c r="BK302"/>
      <c r="BL302"/>
      <c r="BM302"/>
      <c r="BN302"/>
      <c r="BO302"/>
      <c r="BP302"/>
      <c r="BQ302"/>
      <c r="BR302"/>
      <c r="BS302"/>
      <c r="BT302"/>
      <c r="BU302"/>
      <c r="BV302"/>
      <c r="BW302"/>
      <c r="BX302"/>
      <c r="BY302"/>
      <c r="BZ302"/>
      <c r="CA302"/>
      <c r="CB302"/>
      <c r="CC302"/>
      <c r="CD302"/>
      <c r="CE302"/>
      <c r="CF302"/>
      <c r="CG302"/>
      <c r="CH302"/>
      <c r="CI302"/>
      <c r="CJ302"/>
      <c r="CK302"/>
      <c r="CL302"/>
      <c r="CM302"/>
      <c r="CN302"/>
      <c r="CO302"/>
      <c r="CP302"/>
      <c r="CQ302"/>
      <c r="CR302"/>
      <c r="CS302"/>
      <c r="CT302"/>
      <c r="CU302"/>
      <c r="CV302"/>
      <c r="CW302"/>
      <c r="CX302"/>
      <c r="CY302"/>
      <c r="CZ302"/>
      <c r="DA302"/>
      <c r="DB302"/>
      <c r="DC302"/>
      <c r="DD302"/>
      <c r="DE302"/>
      <c r="DF302"/>
    </row>
    <row r="303" spans="1:110" s="14" customFormat="1" x14ac:dyDescent="0.3">
      <c r="A303" t="s">
        <v>32</v>
      </c>
      <c r="B303" t="s">
        <v>290</v>
      </c>
      <c r="C303" t="s">
        <v>434</v>
      </c>
      <c r="D303" s="10">
        <f>D302-D302*inputs!$E$37</f>
        <v>0</v>
      </c>
      <c r="E303" t="str">
        <f t="shared" ca="1" si="5"/>
        <v>=D302-D302*inputs!$E$37</v>
      </c>
      <c r="F303"/>
      <c r="G303"/>
      <c r="H303"/>
      <c r="I303"/>
      <c r="J303"/>
      <c r="K303"/>
      <c r="L303"/>
      <c r="M303"/>
      <c r="N303"/>
      <c r="O303"/>
      <c r="P303"/>
      <c r="Q303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  <c r="AJ303"/>
      <c r="AK303"/>
      <c r="AL303"/>
      <c r="AM303"/>
      <c r="AN303"/>
      <c r="AO303"/>
      <c r="AP303"/>
      <c r="AQ303"/>
      <c r="AR303"/>
      <c r="AS303"/>
      <c r="AT303"/>
      <c r="AU303"/>
      <c r="AV303"/>
      <c r="AW303"/>
      <c r="AX303"/>
      <c r="AY303"/>
      <c r="AZ303"/>
      <c r="BA303"/>
      <c r="BB303"/>
      <c r="BC303"/>
      <c r="BD303"/>
      <c r="BE303"/>
      <c r="BF303"/>
      <c r="BG303"/>
      <c r="BH303"/>
      <c r="BI303"/>
      <c r="BJ303"/>
      <c r="BK303"/>
      <c r="BL303"/>
      <c r="BM303"/>
      <c r="BN303"/>
      <c r="BO303"/>
      <c r="BP303"/>
      <c r="BQ303"/>
      <c r="BR303"/>
      <c r="BS303"/>
      <c r="BT303"/>
      <c r="BU303"/>
      <c r="BV303"/>
      <c r="BW303"/>
      <c r="BX303"/>
      <c r="BY303"/>
      <c r="BZ303"/>
      <c r="CA303"/>
      <c r="CB303"/>
      <c r="CC303"/>
      <c r="CD303"/>
      <c r="CE303"/>
      <c r="CF303"/>
      <c r="CG303"/>
      <c r="CH303"/>
      <c r="CI303"/>
      <c r="CJ303"/>
      <c r="CK303"/>
      <c r="CL303"/>
      <c r="CM303"/>
      <c r="CN303"/>
      <c r="CO303"/>
      <c r="CP303"/>
      <c r="CQ303"/>
      <c r="CR303"/>
      <c r="CS303"/>
      <c r="CT303"/>
      <c r="CU303"/>
      <c r="CV303"/>
      <c r="CW303"/>
      <c r="CX303"/>
      <c r="CY303"/>
      <c r="CZ303"/>
      <c r="DA303"/>
      <c r="DB303"/>
      <c r="DC303"/>
      <c r="DD303"/>
      <c r="DE303"/>
      <c r="DF303"/>
    </row>
    <row r="304" spans="1:110" s="14" customFormat="1" x14ac:dyDescent="0.3">
      <c r="A304" t="s">
        <v>32</v>
      </c>
      <c r="B304" t="s">
        <v>290</v>
      </c>
      <c r="C304" t="s">
        <v>435</v>
      </c>
      <c r="D304" s="10">
        <f>D303-D303*inputs!$E$37</f>
        <v>0</v>
      </c>
      <c r="E304" t="str">
        <f t="shared" ca="1" si="5"/>
        <v>=D303-D303*inputs!$E$37</v>
      </c>
      <c r="F304"/>
      <c r="G304"/>
      <c r="H304"/>
      <c r="I304"/>
      <c r="J304"/>
      <c r="K304"/>
      <c r="L304"/>
      <c r="M304"/>
      <c r="N304"/>
      <c r="O304"/>
      <c r="P304"/>
      <c r="Q304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  <c r="AJ304"/>
      <c r="AK304"/>
      <c r="AL304"/>
      <c r="AM304"/>
      <c r="AN304"/>
      <c r="AO304"/>
      <c r="AP304"/>
      <c r="AQ304"/>
      <c r="AR304"/>
      <c r="AS304"/>
      <c r="AT304"/>
      <c r="AU304"/>
      <c r="AV304"/>
      <c r="AW304"/>
      <c r="AX304"/>
      <c r="AY304"/>
      <c r="AZ304"/>
      <c r="BA304"/>
      <c r="BB304"/>
      <c r="BC304"/>
      <c r="BD304"/>
      <c r="BE304"/>
      <c r="BF304"/>
      <c r="BG304"/>
      <c r="BH304"/>
      <c r="BI304"/>
      <c r="BJ304"/>
      <c r="BK304"/>
      <c r="BL304"/>
      <c r="BM304"/>
      <c r="BN304"/>
      <c r="BO304"/>
      <c r="BP304"/>
      <c r="BQ304"/>
      <c r="BR304"/>
      <c r="BS304"/>
      <c r="BT304"/>
      <c r="BU304"/>
      <c r="BV304"/>
      <c r="BW304"/>
      <c r="BX304"/>
      <c r="BY304"/>
      <c r="BZ304"/>
      <c r="CA304"/>
      <c r="CB304"/>
      <c r="CC304"/>
      <c r="CD304"/>
      <c r="CE304"/>
      <c r="CF304"/>
      <c r="CG304"/>
      <c r="CH304"/>
      <c r="CI304"/>
      <c r="CJ304"/>
      <c r="CK304"/>
      <c r="CL304"/>
      <c r="CM304"/>
      <c r="CN304"/>
      <c r="CO304"/>
      <c r="CP304"/>
      <c r="CQ304"/>
      <c r="CR304"/>
      <c r="CS304"/>
      <c r="CT304"/>
      <c r="CU304"/>
      <c r="CV304"/>
      <c r="CW304"/>
      <c r="CX304"/>
      <c r="CY304"/>
      <c r="CZ304"/>
      <c r="DA304"/>
      <c r="DB304"/>
      <c r="DC304"/>
      <c r="DD304"/>
      <c r="DE304"/>
      <c r="DF304"/>
    </row>
    <row r="305" spans="1:110" s="14" customFormat="1" x14ac:dyDescent="0.3">
      <c r="A305" t="s">
        <v>32</v>
      </c>
      <c r="B305" t="s">
        <v>290</v>
      </c>
      <c r="C305" t="s">
        <v>436</v>
      </c>
      <c r="D305" s="10">
        <f>D304-D304*inputs!$E$37</f>
        <v>0</v>
      </c>
      <c r="E305" t="str">
        <f t="shared" ca="1" si="5"/>
        <v>=D304-D304*inputs!$E$37</v>
      </c>
      <c r="F305"/>
      <c r="G305"/>
      <c r="H305"/>
      <c r="I305"/>
      <c r="J305"/>
      <c r="K305"/>
      <c r="L305"/>
      <c r="M305"/>
      <c r="N305"/>
      <c r="O305"/>
      <c r="P305"/>
      <c r="Q305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  <c r="AJ305"/>
      <c r="AK305"/>
      <c r="AL305"/>
      <c r="AM305"/>
      <c r="AN305"/>
      <c r="AO305"/>
      <c r="AP305"/>
      <c r="AQ305"/>
      <c r="AR305"/>
      <c r="AS305"/>
      <c r="AT305"/>
      <c r="AU305"/>
      <c r="AV305"/>
      <c r="AW305"/>
      <c r="AX305"/>
      <c r="AY305"/>
      <c r="AZ305"/>
      <c r="BA305"/>
      <c r="BB305"/>
      <c r="BC305"/>
      <c r="BD305"/>
      <c r="BE305"/>
      <c r="BF305"/>
      <c r="BG305"/>
      <c r="BH305"/>
      <c r="BI305"/>
      <c r="BJ305"/>
      <c r="BK305"/>
      <c r="BL305"/>
      <c r="BM305"/>
      <c r="BN305"/>
      <c r="BO305"/>
      <c r="BP305"/>
      <c r="BQ305"/>
      <c r="BR305"/>
      <c r="BS305"/>
      <c r="BT305"/>
      <c r="BU305"/>
      <c r="BV305"/>
      <c r="BW305"/>
      <c r="BX305"/>
      <c r="BY305"/>
      <c r="BZ305"/>
      <c r="CA305"/>
      <c r="CB305"/>
      <c r="CC305"/>
      <c r="CD305"/>
      <c r="CE305"/>
      <c r="CF305"/>
      <c r="CG305"/>
      <c r="CH305"/>
      <c r="CI305"/>
      <c r="CJ305"/>
      <c r="CK305"/>
      <c r="CL305"/>
      <c r="CM305"/>
      <c r="CN305"/>
      <c r="CO305"/>
      <c r="CP305"/>
      <c r="CQ305"/>
      <c r="CR305"/>
      <c r="CS305"/>
      <c r="CT305"/>
      <c r="CU305"/>
      <c r="CV305"/>
      <c r="CW305"/>
      <c r="CX305"/>
      <c r="CY305"/>
      <c r="CZ305"/>
      <c r="DA305"/>
      <c r="DB305"/>
      <c r="DC305"/>
      <c r="DD305"/>
      <c r="DE305"/>
      <c r="DF305"/>
    </row>
    <row r="306" spans="1:110" s="14" customFormat="1" x14ac:dyDescent="0.3">
      <c r="A306" t="s">
        <v>32</v>
      </c>
      <c r="B306" t="s">
        <v>290</v>
      </c>
      <c r="C306" t="s">
        <v>437</v>
      </c>
      <c r="D306" s="10">
        <f>D305-D305*inputs!$E$38</f>
        <v>0</v>
      </c>
      <c r="E306" t="str">
        <f t="shared" ca="1" si="5"/>
        <v>=D305-D305*inputs!$E$38</v>
      </c>
      <c r="F306"/>
      <c r="G306"/>
      <c r="H306"/>
      <c r="I306"/>
      <c r="J306"/>
      <c r="K306"/>
      <c r="L306"/>
      <c r="M306"/>
      <c r="N306"/>
      <c r="O306"/>
      <c r="P306"/>
      <c r="Q30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  <c r="AJ306"/>
      <c r="AK306"/>
      <c r="AL306"/>
      <c r="AM306"/>
      <c r="AN306"/>
      <c r="AO306"/>
      <c r="AP306"/>
      <c r="AQ306"/>
      <c r="AR306"/>
      <c r="AS306"/>
      <c r="AT306"/>
      <c r="AU306"/>
      <c r="AV306"/>
      <c r="AW306"/>
      <c r="AX306"/>
      <c r="AY306"/>
      <c r="AZ306"/>
      <c r="BA306"/>
      <c r="BB306"/>
      <c r="BC306"/>
      <c r="BD306"/>
      <c r="BE306"/>
      <c r="BF306"/>
      <c r="BG306"/>
      <c r="BH306"/>
      <c r="BI306"/>
      <c r="BJ306"/>
      <c r="BK306"/>
      <c r="BL306"/>
      <c r="BM306"/>
      <c r="BN306"/>
      <c r="BO306"/>
      <c r="BP306"/>
      <c r="BQ306"/>
      <c r="BR306"/>
      <c r="BS306"/>
      <c r="BT306"/>
      <c r="BU306"/>
      <c r="BV306"/>
      <c r="BW306"/>
      <c r="BX306"/>
      <c r="BY306"/>
      <c r="BZ306"/>
      <c r="CA306"/>
      <c r="CB306"/>
      <c r="CC306"/>
      <c r="CD306"/>
      <c r="CE306"/>
      <c r="CF306"/>
      <c r="CG306"/>
      <c r="CH306"/>
      <c r="CI306"/>
      <c r="CJ306"/>
      <c r="CK306"/>
      <c r="CL306"/>
      <c r="CM306"/>
      <c r="CN306"/>
      <c r="CO306"/>
      <c r="CP306"/>
      <c r="CQ306"/>
      <c r="CR306"/>
      <c r="CS306"/>
      <c r="CT306"/>
      <c r="CU306"/>
      <c r="CV306"/>
      <c r="CW306"/>
      <c r="CX306"/>
      <c r="CY306"/>
      <c r="CZ306"/>
      <c r="DA306"/>
      <c r="DB306"/>
      <c r="DC306"/>
      <c r="DD306"/>
      <c r="DE306"/>
      <c r="DF306"/>
    </row>
    <row r="307" spans="1:110" s="14" customFormat="1" x14ac:dyDescent="0.3">
      <c r="A307" t="s">
        <v>32</v>
      </c>
      <c r="B307" t="s">
        <v>290</v>
      </c>
      <c r="C307" t="s">
        <v>438</v>
      </c>
      <c r="D307" s="10">
        <f>D306-D306*inputs!$E$38</f>
        <v>0</v>
      </c>
      <c r="E307" t="str">
        <f t="shared" ca="1" si="5"/>
        <v>=D306-D306*inputs!$E$38</v>
      </c>
      <c r="F307"/>
      <c r="G307"/>
      <c r="H307"/>
      <c r="I307"/>
      <c r="J307"/>
      <c r="K307"/>
      <c r="L307"/>
      <c r="M307"/>
      <c r="N307"/>
      <c r="O307"/>
      <c r="P307"/>
      <c r="Q307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  <c r="AJ307"/>
      <c r="AK307"/>
      <c r="AL307"/>
      <c r="AM307"/>
      <c r="AN307"/>
      <c r="AO307"/>
      <c r="AP307"/>
      <c r="AQ307"/>
      <c r="AR307"/>
      <c r="AS307"/>
      <c r="AT307"/>
      <c r="AU307"/>
      <c r="AV307"/>
      <c r="AW307"/>
      <c r="AX307"/>
      <c r="AY307"/>
      <c r="AZ307"/>
      <c r="BA307"/>
      <c r="BB307"/>
      <c r="BC307"/>
      <c r="BD307"/>
      <c r="BE307"/>
      <c r="BF307"/>
      <c r="BG307"/>
      <c r="BH307"/>
      <c r="BI307"/>
      <c r="BJ307"/>
      <c r="BK307"/>
      <c r="BL307"/>
      <c r="BM307"/>
      <c r="BN307"/>
      <c r="BO307"/>
      <c r="BP307"/>
      <c r="BQ307"/>
      <c r="BR307"/>
      <c r="BS307"/>
      <c r="BT307"/>
      <c r="BU307"/>
      <c r="BV307"/>
      <c r="BW307"/>
      <c r="BX307"/>
      <c r="BY307"/>
      <c r="BZ307"/>
      <c r="CA307"/>
      <c r="CB307"/>
      <c r="CC307"/>
      <c r="CD307"/>
      <c r="CE307"/>
      <c r="CF307"/>
      <c r="CG307"/>
      <c r="CH307"/>
      <c r="CI307"/>
      <c r="CJ307"/>
      <c r="CK307"/>
      <c r="CL307"/>
      <c r="CM307"/>
      <c r="CN307"/>
      <c r="CO307"/>
      <c r="CP307"/>
      <c r="CQ307"/>
      <c r="CR307"/>
      <c r="CS307"/>
      <c r="CT307"/>
      <c r="CU307"/>
      <c r="CV307"/>
      <c r="CW307"/>
      <c r="CX307"/>
      <c r="CY307"/>
      <c r="CZ307"/>
      <c r="DA307"/>
      <c r="DB307"/>
      <c r="DC307"/>
      <c r="DD307"/>
      <c r="DE307"/>
      <c r="DF307"/>
    </row>
    <row r="308" spans="1:110" s="14" customFormat="1" x14ac:dyDescent="0.3">
      <c r="A308" t="s">
        <v>32</v>
      </c>
      <c r="B308" t="s">
        <v>290</v>
      </c>
      <c r="C308" t="s">
        <v>439</v>
      </c>
      <c r="D308" s="10">
        <f>D307-D307*inputs!$E$38</f>
        <v>0</v>
      </c>
      <c r="E308" t="str">
        <f t="shared" ca="1" si="5"/>
        <v>=D307-D307*inputs!$E$38</v>
      </c>
      <c r="F308"/>
      <c r="G308"/>
      <c r="H308"/>
      <c r="I308"/>
      <c r="J308"/>
      <c r="K308"/>
      <c r="L308"/>
      <c r="M308"/>
      <c r="N308"/>
      <c r="O308"/>
      <c r="P308"/>
      <c r="Q308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  <c r="AJ308"/>
      <c r="AK308"/>
      <c r="AL308"/>
      <c r="AM308"/>
      <c r="AN308"/>
      <c r="AO308"/>
      <c r="AP308"/>
      <c r="AQ308"/>
      <c r="AR308"/>
      <c r="AS308"/>
      <c r="AT308"/>
      <c r="AU308"/>
      <c r="AV308"/>
      <c r="AW308"/>
      <c r="AX308"/>
      <c r="AY308"/>
      <c r="AZ308"/>
      <c r="BA308"/>
      <c r="BB308"/>
      <c r="BC308"/>
      <c r="BD308"/>
      <c r="BE308"/>
      <c r="BF308"/>
      <c r="BG308"/>
      <c r="BH308"/>
      <c r="BI308"/>
      <c r="BJ308"/>
      <c r="BK308"/>
      <c r="BL308"/>
      <c r="BM308"/>
      <c r="BN308"/>
      <c r="BO308"/>
      <c r="BP308"/>
      <c r="BQ308"/>
      <c r="BR308"/>
      <c r="BS308"/>
      <c r="BT308"/>
      <c r="BU308"/>
      <c r="BV308"/>
      <c r="BW308"/>
      <c r="BX308"/>
      <c r="BY308"/>
      <c r="BZ308"/>
      <c r="CA308"/>
      <c r="CB308"/>
      <c r="CC308"/>
      <c r="CD308"/>
      <c r="CE308"/>
      <c r="CF308"/>
      <c r="CG308"/>
      <c r="CH308"/>
      <c r="CI308"/>
      <c r="CJ308"/>
      <c r="CK308"/>
      <c r="CL308"/>
      <c r="CM308"/>
      <c r="CN308"/>
      <c r="CO308"/>
      <c r="CP308"/>
      <c r="CQ308"/>
      <c r="CR308"/>
      <c r="CS308"/>
      <c r="CT308"/>
      <c r="CU308"/>
      <c r="CV308"/>
      <c r="CW308"/>
      <c r="CX308"/>
      <c r="CY308"/>
      <c r="CZ308"/>
      <c r="DA308"/>
      <c r="DB308"/>
      <c r="DC308"/>
      <c r="DD308"/>
      <c r="DE308"/>
      <c r="DF308"/>
    </row>
    <row r="309" spans="1:110" s="14" customFormat="1" x14ac:dyDescent="0.3">
      <c r="A309" t="s">
        <v>32</v>
      </c>
      <c r="B309" t="s">
        <v>290</v>
      </c>
      <c r="C309" t="s">
        <v>440</v>
      </c>
      <c r="D309" s="10">
        <f>D308-D308*inputs!$E$38</f>
        <v>0</v>
      </c>
      <c r="E309" t="str">
        <f t="shared" ca="1" si="5"/>
        <v>=D308-D308*inputs!$E$38</v>
      </c>
      <c r="F309"/>
      <c r="G309"/>
      <c r="H309"/>
      <c r="I309"/>
      <c r="J309"/>
      <c r="K309"/>
      <c r="L309"/>
      <c r="M309"/>
      <c r="N309"/>
      <c r="O309"/>
      <c r="P309"/>
      <c r="Q309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  <c r="AJ309"/>
      <c r="AK309"/>
      <c r="AL309"/>
      <c r="AM309"/>
      <c r="AN309"/>
      <c r="AO309"/>
      <c r="AP309"/>
      <c r="AQ309"/>
      <c r="AR309"/>
      <c r="AS309"/>
      <c r="AT309"/>
      <c r="AU309"/>
      <c r="AV309"/>
      <c r="AW309"/>
      <c r="AX309"/>
      <c r="AY309"/>
      <c r="AZ309"/>
      <c r="BA309"/>
      <c r="BB309"/>
      <c r="BC309"/>
      <c r="BD309"/>
      <c r="BE309"/>
      <c r="BF309"/>
      <c r="BG309"/>
      <c r="BH309"/>
      <c r="BI309"/>
      <c r="BJ309"/>
      <c r="BK309"/>
      <c r="BL309"/>
      <c r="BM309"/>
      <c r="BN309"/>
      <c r="BO309"/>
      <c r="BP309"/>
      <c r="BQ309"/>
      <c r="BR309"/>
      <c r="BS309"/>
      <c r="BT309"/>
      <c r="BU309"/>
      <c r="BV309"/>
      <c r="BW309"/>
      <c r="BX309"/>
      <c r="BY309"/>
      <c r="BZ309"/>
      <c r="CA309"/>
      <c r="CB309"/>
      <c r="CC309"/>
      <c r="CD309"/>
      <c r="CE309"/>
      <c r="CF309"/>
      <c r="CG309"/>
      <c r="CH309"/>
      <c r="CI309"/>
      <c r="CJ309"/>
      <c r="CK309"/>
      <c r="CL309"/>
      <c r="CM309"/>
      <c r="CN309"/>
      <c r="CO309"/>
      <c r="CP309"/>
      <c r="CQ309"/>
      <c r="CR309"/>
      <c r="CS309"/>
      <c r="CT309"/>
      <c r="CU309"/>
      <c r="CV309"/>
      <c r="CW309"/>
      <c r="CX309"/>
      <c r="CY309"/>
      <c r="CZ309"/>
      <c r="DA309"/>
      <c r="DB309"/>
      <c r="DC309"/>
      <c r="DD309"/>
      <c r="DE309"/>
      <c r="DF309"/>
    </row>
    <row r="310" spans="1:110" s="14" customFormat="1" x14ac:dyDescent="0.3">
      <c r="A310" t="s">
        <v>32</v>
      </c>
      <c r="B310" t="s">
        <v>290</v>
      </c>
      <c r="C310" t="s">
        <v>441</v>
      </c>
      <c r="D310" s="10">
        <f>D309-D309*inputs!$E$38</f>
        <v>0</v>
      </c>
      <c r="E310" t="str">
        <f t="shared" ca="1" si="5"/>
        <v>=D309-D309*inputs!$E$38</v>
      </c>
      <c r="F310"/>
      <c r="G310"/>
      <c r="H310"/>
      <c r="I310"/>
      <c r="J310"/>
      <c r="K310"/>
      <c r="L310"/>
      <c r="M310"/>
      <c r="N310"/>
      <c r="O310"/>
      <c r="P310"/>
      <c r="Q310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  <c r="AJ310"/>
      <c r="AK310"/>
      <c r="AL310"/>
      <c r="AM310"/>
      <c r="AN310"/>
      <c r="AO310"/>
      <c r="AP310"/>
      <c r="AQ310"/>
      <c r="AR310"/>
      <c r="AS310"/>
      <c r="AT310"/>
      <c r="AU310"/>
      <c r="AV310"/>
      <c r="AW310"/>
      <c r="AX310"/>
      <c r="AY310"/>
      <c r="AZ310"/>
      <c r="BA310"/>
      <c r="BB310"/>
      <c r="BC310"/>
      <c r="BD310"/>
      <c r="BE310"/>
      <c r="BF310"/>
      <c r="BG310"/>
      <c r="BH310"/>
      <c r="BI310"/>
      <c r="BJ310"/>
      <c r="BK310"/>
      <c r="BL310"/>
      <c r="BM310"/>
      <c r="BN310"/>
      <c r="BO310"/>
      <c r="BP310"/>
      <c r="BQ310"/>
      <c r="BR310"/>
      <c r="BS310"/>
      <c r="BT310"/>
      <c r="BU310"/>
      <c r="BV310"/>
      <c r="BW310"/>
      <c r="BX310"/>
      <c r="BY310"/>
      <c r="BZ310"/>
      <c r="CA310"/>
      <c r="CB310"/>
      <c r="CC310"/>
      <c r="CD310"/>
      <c r="CE310"/>
      <c r="CF310"/>
      <c r="CG310"/>
      <c r="CH310"/>
      <c r="CI310"/>
      <c r="CJ310"/>
      <c r="CK310"/>
      <c r="CL310"/>
      <c r="CM310"/>
      <c r="CN310"/>
      <c r="CO310"/>
      <c r="CP310"/>
      <c r="CQ310"/>
      <c r="CR310"/>
      <c r="CS310"/>
      <c r="CT310"/>
      <c r="CU310"/>
      <c r="CV310"/>
      <c r="CW310"/>
      <c r="CX310"/>
      <c r="CY310"/>
      <c r="CZ310"/>
      <c r="DA310"/>
      <c r="DB310"/>
      <c r="DC310"/>
      <c r="DD310"/>
      <c r="DE310"/>
      <c r="DF310"/>
    </row>
    <row r="311" spans="1:110" s="14" customFormat="1" x14ac:dyDescent="0.3">
      <c r="A311" t="s">
        <v>32</v>
      </c>
      <c r="B311" t="s">
        <v>290</v>
      </c>
      <c r="C311" t="s">
        <v>442</v>
      </c>
      <c r="D311" s="10">
        <f>D310-D310*inputs!$E$38</f>
        <v>0</v>
      </c>
      <c r="E311" t="str">
        <f t="shared" ca="1" si="5"/>
        <v>=D310-D310*inputs!$E$38</v>
      </c>
      <c r="F311"/>
      <c r="G311"/>
      <c r="H311"/>
      <c r="I311"/>
      <c r="J311"/>
      <c r="K311"/>
      <c r="L311"/>
      <c r="M311"/>
      <c r="N311"/>
      <c r="O311"/>
      <c r="P311"/>
      <c r="Q311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  <c r="AJ311"/>
      <c r="AK311"/>
      <c r="AL311"/>
      <c r="AM311"/>
      <c r="AN311"/>
      <c r="AO311"/>
      <c r="AP311"/>
      <c r="AQ311"/>
      <c r="AR311"/>
      <c r="AS311"/>
      <c r="AT311"/>
      <c r="AU311"/>
      <c r="AV311"/>
      <c r="AW311"/>
      <c r="AX311"/>
      <c r="AY311"/>
      <c r="AZ311"/>
      <c r="BA311"/>
      <c r="BB311"/>
      <c r="BC311"/>
      <c r="BD311"/>
      <c r="BE311"/>
      <c r="BF311"/>
      <c r="BG311"/>
      <c r="BH311"/>
      <c r="BI311"/>
      <c r="BJ311"/>
      <c r="BK311"/>
      <c r="BL311"/>
      <c r="BM311"/>
      <c r="BN311"/>
      <c r="BO311"/>
      <c r="BP311"/>
      <c r="BQ311"/>
      <c r="BR311"/>
      <c r="BS311"/>
      <c r="BT311"/>
      <c r="BU311"/>
      <c r="BV311"/>
      <c r="BW311"/>
      <c r="BX311"/>
      <c r="BY311"/>
      <c r="BZ311"/>
      <c r="CA311"/>
      <c r="CB311"/>
      <c r="CC311"/>
      <c r="CD311"/>
      <c r="CE311"/>
      <c r="CF311"/>
      <c r="CG311"/>
      <c r="CH311"/>
      <c r="CI311"/>
      <c r="CJ311"/>
      <c r="CK311"/>
      <c r="CL311"/>
      <c r="CM311"/>
      <c r="CN311"/>
      <c r="CO311"/>
      <c r="CP311"/>
      <c r="CQ311"/>
      <c r="CR311"/>
      <c r="CS311"/>
      <c r="CT311"/>
      <c r="CU311"/>
      <c r="CV311"/>
      <c r="CW311"/>
      <c r="CX311"/>
      <c r="CY311"/>
      <c r="CZ311"/>
      <c r="DA311"/>
      <c r="DB311"/>
      <c r="DC311"/>
      <c r="DD311"/>
      <c r="DE311"/>
      <c r="DF311"/>
    </row>
    <row r="312" spans="1:110" s="14" customFormat="1" x14ac:dyDescent="0.3">
      <c r="A312" t="s">
        <v>32</v>
      </c>
      <c r="B312" t="s">
        <v>290</v>
      </c>
      <c r="C312" t="s">
        <v>443</v>
      </c>
      <c r="D312" s="10">
        <f>D311-D311*inputs!$E$38</f>
        <v>0</v>
      </c>
      <c r="E312" t="str">
        <f t="shared" ca="1" si="5"/>
        <v>=D311-D311*inputs!$E$38</v>
      </c>
      <c r="F312"/>
      <c r="G312"/>
      <c r="H312"/>
      <c r="I312"/>
      <c r="J312"/>
      <c r="K312"/>
      <c r="L312"/>
      <c r="M312"/>
      <c r="N312"/>
      <c r="O312"/>
      <c r="P312"/>
      <c r="Q312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  <c r="AJ312"/>
      <c r="AK312"/>
      <c r="AL312"/>
      <c r="AM312"/>
      <c r="AN312"/>
      <c r="AO312"/>
      <c r="AP312"/>
      <c r="AQ312"/>
      <c r="AR312"/>
      <c r="AS312"/>
      <c r="AT312"/>
      <c r="AU312"/>
      <c r="AV312"/>
      <c r="AW312"/>
      <c r="AX312"/>
      <c r="AY312"/>
      <c r="AZ312"/>
      <c r="BA312"/>
      <c r="BB312"/>
      <c r="BC312"/>
      <c r="BD312"/>
      <c r="BE312"/>
      <c r="BF312"/>
      <c r="BG312"/>
      <c r="BH312"/>
      <c r="BI312"/>
      <c r="BJ312"/>
      <c r="BK312"/>
      <c r="BL312"/>
      <c r="BM312"/>
      <c r="BN312"/>
      <c r="BO312"/>
      <c r="BP312"/>
      <c r="BQ312"/>
      <c r="BR312"/>
      <c r="BS312"/>
      <c r="BT312"/>
      <c r="BU312"/>
      <c r="BV312"/>
      <c r="BW312"/>
      <c r="BX312"/>
      <c r="BY312"/>
      <c r="BZ312"/>
      <c r="CA312"/>
      <c r="CB312"/>
      <c r="CC312"/>
      <c r="CD312"/>
      <c r="CE312"/>
      <c r="CF312"/>
      <c r="CG312"/>
      <c r="CH312"/>
      <c r="CI312"/>
      <c r="CJ312"/>
      <c r="CK312"/>
      <c r="CL312"/>
      <c r="CM312"/>
      <c r="CN312"/>
      <c r="CO312"/>
      <c r="CP312"/>
      <c r="CQ312"/>
      <c r="CR312"/>
      <c r="CS312"/>
      <c r="CT312"/>
      <c r="CU312"/>
      <c r="CV312"/>
      <c r="CW312"/>
      <c r="CX312"/>
      <c r="CY312"/>
      <c r="CZ312"/>
      <c r="DA312"/>
      <c r="DB312"/>
      <c r="DC312"/>
      <c r="DD312"/>
      <c r="DE312"/>
      <c r="DF312"/>
    </row>
    <row r="313" spans="1:110" s="14" customFormat="1" x14ac:dyDescent="0.3">
      <c r="A313" t="s">
        <v>32</v>
      </c>
      <c r="B313" t="s">
        <v>290</v>
      </c>
      <c r="C313" t="s">
        <v>444</v>
      </c>
      <c r="D313" s="10">
        <f>D312-D312*inputs!$E$38</f>
        <v>0</v>
      </c>
      <c r="E313" t="str">
        <f t="shared" ca="1" si="5"/>
        <v>=D312-D312*inputs!$E$38</v>
      </c>
      <c r="F313"/>
      <c r="G313"/>
      <c r="H313"/>
      <c r="I313"/>
      <c r="J313"/>
      <c r="K313"/>
      <c r="L313"/>
      <c r="M313"/>
      <c r="N313"/>
      <c r="O313"/>
      <c r="P313"/>
      <c r="Q313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  <c r="AJ313"/>
      <c r="AK313"/>
      <c r="AL313"/>
      <c r="AM313"/>
      <c r="AN313"/>
      <c r="AO313"/>
      <c r="AP313"/>
      <c r="AQ313"/>
      <c r="AR313"/>
      <c r="AS313"/>
      <c r="AT313"/>
      <c r="AU313"/>
      <c r="AV313"/>
      <c r="AW313"/>
      <c r="AX313"/>
      <c r="AY313"/>
      <c r="AZ313"/>
      <c r="BA313"/>
      <c r="BB313"/>
      <c r="BC313"/>
      <c r="BD313"/>
      <c r="BE313"/>
      <c r="BF313"/>
      <c r="BG313"/>
      <c r="BH313"/>
      <c r="BI313"/>
      <c r="BJ313"/>
      <c r="BK313"/>
      <c r="BL313"/>
      <c r="BM313"/>
      <c r="BN313"/>
      <c r="BO313"/>
      <c r="BP313"/>
      <c r="BQ313"/>
      <c r="BR313"/>
      <c r="BS313"/>
      <c r="BT313"/>
      <c r="BU313"/>
      <c r="BV313"/>
      <c r="BW313"/>
      <c r="BX313"/>
      <c r="BY313"/>
      <c r="BZ313"/>
      <c r="CA313"/>
      <c r="CB313"/>
      <c r="CC313"/>
      <c r="CD313"/>
      <c r="CE313"/>
      <c r="CF313"/>
      <c r="CG313"/>
      <c r="CH313"/>
      <c r="CI313"/>
      <c r="CJ313"/>
      <c r="CK313"/>
      <c r="CL313"/>
      <c r="CM313"/>
      <c r="CN313"/>
      <c r="CO313"/>
      <c r="CP313"/>
      <c r="CQ313"/>
      <c r="CR313"/>
      <c r="CS313"/>
      <c r="CT313"/>
      <c r="CU313"/>
      <c r="CV313"/>
      <c r="CW313"/>
      <c r="CX313"/>
      <c r="CY313"/>
      <c r="CZ313"/>
      <c r="DA313"/>
      <c r="DB313"/>
      <c r="DC313"/>
      <c r="DD313"/>
      <c r="DE313"/>
      <c r="DF313"/>
    </row>
    <row r="314" spans="1:110" s="14" customFormat="1" x14ac:dyDescent="0.3">
      <c r="A314" t="s">
        <v>32</v>
      </c>
      <c r="B314" t="s">
        <v>290</v>
      </c>
      <c r="C314" t="s">
        <v>445</v>
      </c>
      <c r="D314" s="10">
        <f>D313-D313*inputs!$E$38</f>
        <v>0</v>
      </c>
      <c r="E314" t="str">
        <f t="shared" ca="1" si="5"/>
        <v>=D313-D313*inputs!$E$38</v>
      </c>
      <c r="F314"/>
      <c r="G314"/>
      <c r="H314"/>
      <c r="I314"/>
      <c r="J314"/>
      <c r="K314"/>
      <c r="L314"/>
      <c r="M314"/>
      <c r="N314"/>
      <c r="O314"/>
      <c r="P314"/>
      <c r="Q314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  <c r="AJ314"/>
      <c r="AK314"/>
      <c r="AL314"/>
      <c r="AM314"/>
      <c r="AN314"/>
      <c r="AO314"/>
      <c r="AP314"/>
      <c r="AQ314"/>
      <c r="AR314"/>
      <c r="AS314"/>
      <c r="AT314"/>
      <c r="AU314"/>
      <c r="AV314"/>
      <c r="AW314"/>
      <c r="AX314"/>
      <c r="AY314"/>
      <c r="AZ314"/>
      <c r="BA314"/>
      <c r="BB314"/>
      <c r="BC314"/>
      <c r="BD314"/>
      <c r="BE314"/>
      <c r="BF314"/>
      <c r="BG314"/>
      <c r="BH314"/>
      <c r="BI314"/>
      <c r="BJ314"/>
      <c r="BK314"/>
      <c r="BL314"/>
      <c r="BM314"/>
      <c r="BN314"/>
      <c r="BO314"/>
      <c r="BP314"/>
      <c r="BQ314"/>
      <c r="BR314"/>
      <c r="BS314"/>
      <c r="BT314"/>
      <c r="BU314"/>
      <c r="BV314"/>
      <c r="BW314"/>
      <c r="BX314"/>
      <c r="BY314"/>
      <c r="BZ314"/>
      <c r="CA314"/>
      <c r="CB314"/>
      <c r="CC314"/>
      <c r="CD314"/>
      <c r="CE314"/>
      <c r="CF314"/>
      <c r="CG314"/>
      <c r="CH314"/>
      <c r="CI314"/>
      <c r="CJ314"/>
      <c r="CK314"/>
      <c r="CL314"/>
      <c r="CM314"/>
      <c r="CN314"/>
      <c r="CO314"/>
      <c r="CP314"/>
      <c r="CQ314"/>
      <c r="CR314"/>
      <c r="CS314"/>
      <c r="CT314"/>
      <c r="CU314"/>
      <c r="CV314"/>
      <c r="CW314"/>
      <c r="CX314"/>
      <c r="CY314"/>
      <c r="CZ314"/>
      <c r="DA314"/>
      <c r="DB314"/>
      <c r="DC314"/>
      <c r="DD314"/>
      <c r="DE314"/>
      <c r="DF314"/>
    </row>
    <row r="315" spans="1:110" s="14" customFormat="1" x14ac:dyDescent="0.3">
      <c r="A315" t="s">
        <v>32</v>
      </c>
      <c r="B315" t="s">
        <v>290</v>
      </c>
      <c r="C315" t="s">
        <v>446</v>
      </c>
      <c r="D315" s="10">
        <f>D314-D314*inputs!$E$38</f>
        <v>0</v>
      </c>
      <c r="E315" t="str">
        <f t="shared" ca="1" si="5"/>
        <v>=D314-D314*inputs!$E$38</v>
      </c>
      <c r="F315"/>
      <c r="G315"/>
      <c r="H315"/>
      <c r="I315"/>
      <c r="J315"/>
      <c r="K315"/>
      <c r="L315"/>
      <c r="M315"/>
      <c r="N315"/>
      <c r="O315"/>
      <c r="P315"/>
      <c r="Q315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  <c r="AJ315"/>
      <c r="AK315"/>
      <c r="AL315"/>
      <c r="AM315"/>
      <c r="AN315"/>
      <c r="AO315"/>
      <c r="AP315"/>
      <c r="AQ315"/>
      <c r="AR315"/>
      <c r="AS315"/>
      <c r="AT315"/>
      <c r="AU315"/>
      <c r="AV315"/>
      <c r="AW315"/>
      <c r="AX315"/>
      <c r="AY315"/>
      <c r="AZ315"/>
      <c r="BA315"/>
      <c r="BB315"/>
      <c r="BC315"/>
      <c r="BD315"/>
      <c r="BE315"/>
      <c r="BF315"/>
      <c r="BG315"/>
      <c r="BH315"/>
      <c r="BI315"/>
      <c r="BJ315"/>
      <c r="BK315"/>
      <c r="BL315"/>
      <c r="BM315"/>
      <c r="BN315"/>
      <c r="BO315"/>
      <c r="BP315"/>
      <c r="BQ315"/>
      <c r="BR315"/>
      <c r="BS315"/>
      <c r="BT315"/>
      <c r="BU315"/>
      <c r="BV315"/>
      <c r="BW315"/>
      <c r="BX315"/>
      <c r="BY315"/>
      <c r="BZ315"/>
      <c r="CA315"/>
      <c r="CB315"/>
      <c r="CC315"/>
      <c r="CD315"/>
      <c r="CE315"/>
      <c r="CF315"/>
      <c r="CG315"/>
      <c r="CH315"/>
      <c r="CI315"/>
      <c r="CJ315"/>
      <c r="CK315"/>
      <c r="CL315"/>
      <c r="CM315"/>
      <c r="CN315"/>
      <c r="CO315"/>
      <c r="CP315"/>
      <c r="CQ315"/>
      <c r="CR315"/>
      <c r="CS315"/>
      <c r="CT315"/>
      <c r="CU315"/>
      <c r="CV315"/>
      <c r="CW315"/>
      <c r="CX315"/>
      <c r="CY315"/>
      <c r="CZ315"/>
      <c r="DA315"/>
      <c r="DB315"/>
      <c r="DC315"/>
      <c r="DD315"/>
      <c r="DE315"/>
      <c r="DF315"/>
    </row>
    <row r="316" spans="1:110" s="16" customFormat="1" x14ac:dyDescent="0.3">
      <c r="A316" t="s">
        <v>32</v>
      </c>
      <c r="B316" t="s">
        <v>290</v>
      </c>
      <c r="C316" t="s">
        <v>447</v>
      </c>
      <c r="D316" s="10">
        <f>$D$159-$D$159*inputs!$E$33</f>
        <v>0</v>
      </c>
      <c r="E316" t="str">
        <f t="shared" ca="1" si="5"/>
        <v>=$D$159-$D$159*inputs!$E$33</v>
      </c>
      <c r="F316" t="s">
        <v>818</v>
      </c>
      <c r="G316"/>
      <c r="H316"/>
      <c r="I316"/>
      <c r="J316"/>
      <c r="K316"/>
      <c r="L316"/>
      <c r="M316"/>
      <c r="N316"/>
      <c r="O316"/>
      <c r="P316"/>
      <c r="Q3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  <c r="AJ316"/>
      <c r="AK316"/>
      <c r="AL316"/>
      <c r="AM316"/>
      <c r="AN316"/>
      <c r="AO316"/>
      <c r="AP316"/>
      <c r="AQ316"/>
      <c r="AR316"/>
      <c r="AS316"/>
      <c r="AT316"/>
      <c r="AU316"/>
      <c r="AV316"/>
      <c r="AW316"/>
      <c r="AX316"/>
      <c r="AY316"/>
      <c r="AZ316"/>
      <c r="BA316"/>
      <c r="BB316"/>
      <c r="BC316"/>
      <c r="BD316"/>
      <c r="BE316"/>
      <c r="BF316"/>
      <c r="BG316"/>
      <c r="BH316"/>
      <c r="BI316"/>
      <c r="BJ316"/>
      <c r="BK316"/>
      <c r="BL316"/>
      <c r="BM316"/>
      <c r="BN316"/>
      <c r="BO316"/>
      <c r="BP316"/>
      <c r="BQ316"/>
      <c r="BR316"/>
      <c r="BS316"/>
      <c r="BT316"/>
      <c r="BU316"/>
      <c r="BV316"/>
      <c r="BW316"/>
      <c r="BX316"/>
      <c r="BY316"/>
      <c r="BZ316"/>
      <c r="CA316"/>
      <c r="CB316"/>
      <c r="CC316"/>
      <c r="CD316"/>
      <c r="CE316"/>
      <c r="CF316"/>
      <c r="CG316"/>
      <c r="CH316"/>
      <c r="CI316"/>
      <c r="CJ316"/>
      <c r="CK316"/>
      <c r="CL316"/>
      <c r="CM316"/>
      <c r="CN316"/>
      <c r="CO316"/>
      <c r="CP316"/>
      <c r="CQ316"/>
      <c r="CR316"/>
      <c r="CS316"/>
      <c r="CT316"/>
      <c r="CU316"/>
      <c r="CV316"/>
      <c r="CW316"/>
      <c r="CX316"/>
      <c r="CY316"/>
      <c r="CZ316"/>
      <c r="DA316"/>
      <c r="DB316"/>
      <c r="DC316"/>
      <c r="DD316"/>
      <c r="DE316"/>
      <c r="DF316"/>
    </row>
    <row r="317" spans="1:110" s="16" customFormat="1" x14ac:dyDescent="0.3">
      <c r="A317" t="s">
        <v>32</v>
      </c>
      <c r="B317" t="s">
        <v>290</v>
      </c>
      <c r="C317" t="s">
        <v>448</v>
      </c>
      <c r="D317" s="10">
        <f>D316-D316*inputs!$E$33</f>
        <v>0</v>
      </c>
      <c r="E317" t="str">
        <f t="shared" ca="1" si="5"/>
        <v>=D316-D316*inputs!$E$33</v>
      </c>
      <c r="F317"/>
      <c r="G317"/>
      <c r="H317"/>
      <c r="I317"/>
      <c r="J317"/>
      <c r="K317"/>
      <c r="L317"/>
      <c r="M317"/>
      <c r="N317"/>
      <c r="O317"/>
      <c r="P317"/>
      <c r="Q317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  <c r="AJ317"/>
      <c r="AK317"/>
      <c r="AL317"/>
      <c r="AM317"/>
      <c r="AN317"/>
      <c r="AO317"/>
      <c r="AP317"/>
      <c r="AQ317"/>
      <c r="AR317"/>
      <c r="AS317"/>
      <c r="AT317"/>
      <c r="AU317"/>
      <c r="AV317"/>
      <c r="AW317"/>
      <c r="AX317"/>
      <c r="AY317"/>
      <c r="AZ317"/>
      <c r="BA317"/>
      <c r="BB317"/>
      <c r="BC317"/>
      <c r="BD317"/>
      <c r="BE317"/>
      <c r="BF317"/>
      <c r="BG317"/>
      <c r="BH317"/>
      <c r="BI317"/>
      <c r="BJ317"/>
      <c r="BK317"/>
      <c r="BL317"/>
      <c r="BM317"/>
      <c r="BN317"/>
      <c r="BO317"/>
      <c r="BP317"/>
      <c r="BQ317"/>
      <c r="BR317"/>
      <c r="BS317"/>
      <c r="BT317"/>
      <c r="BU317"/>
      <c r="BV317"/>
      <c r="BW317"/>
      <c r="BX317"/>
      <c r="BY317"/>
      <c r="BZ317"/>
      <c r="CA317"/>
      <c r="CB317"/>
      <c r="CC317"/>
      <c r="CD317"/>
      <c r="CE317"/>
      <c r="CF317"/>
      <c r="CG317"/>
      <c r="CH317"/>
      <c r="CI317"/>
      <c r="CJ317"/>
      <c r="CK317"/>
      <c r="CL317"/>
      <c r="CM317"/>
      <c r="CN317"/>
      <c r="CO317"/>
      <c r="CP317"/>
      <c r="CQ317"/>
      <c r="CR317"/>
      <c r="CS317"/>
      <c r="CT317"/>
      <c r="CU317"/>
      <c r="CV317"/>
      <c r="CW317"/>
      <c r="CX317"/>
      <c r="CY317"/>
      <c r="CZ317"/>
      <c r="DA317"/>
      <c r="DB317"/>
      <c r="DC317"/>
      <c r="DD317"/>
      <c r="DE317"/>
      <c r="DF317"/>
    </row>
    <row r="318" spans="1:110" s="16" customFormat="1" x14ac:dyDescent="0.3">
      <c r="A318" t="s">
        <v>32</v>
      </c>
      <c r="B318" t="s">
        <v>290</v>
      </c>
      <c r="C318" t="s">
        <v>449</v>
      </c>
      <c r="D318" s="10">
        <f>D317-D317*inputs!$E$33</f>
        <v>0</v>
      </c>
      <c r="E318" t="str">
        <f t="shared" ca="1" si="5"/>
        <v>=D317-D317*inputs!$E$33</v>
      </c>
      <c r="F318"/>
      <c r="G318"/>
      <c r="H318"/>
      <c r="I318"/>
      <c r="J318"/>
      <c r="K318"/>
      <c r="L318"/>
      <c r="M318"/>
      <c r="N318"/>
      <c r="O318"/>
      <c r="P318"/>
      <c r="Q318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  <c r="AJ318"/>
      <c r="AK318"/>
      <c r="AL318"/>
      <c r="AM318"/>
      <c r="AN318"/>
      <c r="AO318"/>
      <c r="AP318"/>
      <c r="AQ318"/>
      <c r="AR318"/>
      <c r="AS318"/>
      <c r="AT318"/>
      <c r="AU318"/>
      <c r="AV318"/>
      <c r="AW318"/>
      <c r="AX318"/>
      <c r="AY318"/>
      <c r="AZ318"/>
      <c r="BA318"/>
      <c r="BB318"/>
      <c r="BC318"/>
      <c r="BD318"/>
      <c r="BE318"/>
      <c r="BF318"/>
      <c r="BG318"/>
      <c r="BH318"/>
      <c r="BI318"/>
      <c r="BJ318"/>
      <c r="BK318"/>
      <c r="BL318"/>
      <c r="BM318"/>
      <c r="BN318"/>
      <c r="BO318"/>
      <c r="BP318"/>
      <c r="BQ318"/>
      <c r="BR318"/>
      <c r="BS318"/>
      <c r="BT318"/>
      <c r="BU318"/>
      <c r="BV318"/>
      <c r="BW318"/>
      <c r="BX318"/>
      <c r="BY318"/>
      <c r="BZ318"/>
      <c r="CA318"/>
      <c r="CB318"/>
      <c r="CC318"/>
      <c r="CD318"/>
      <c r="CE318"/>
      <c r="CF318"/>
      <c r="CG318"/>
      <c r="CH318"/>
      <c r="CI318"/>
      <c r="CJ318"/>
      <c r="CK318"/>
      <c r="CL318"/>
      <c r="CM318"/>
      <c r="CN318"/>
      <c r="CO318"/>
      <c r="CP318"/>
      <c r="CQ318"/>
      <c r="CR318"/>
      <c r="CS318"/>
      <c r="CT318"/>
      <c r="CU318"/>
      <c r="CV318"/>
      <c r="CW318"/>
      <c r="CX318"/>
      <c r="CY318"/>
      <c r="CZ318"/>
      <c r="DA318"/>
      <c r="DB318"/>
      <c r="DC318"/>
      <c r="DD318"/>
      <c r="DE318"/>
      <c r="DF318"/>
    </row>
    <row r="319" spans="1:110" s="16" customFormat="1" x14ac:dyDescent="0.3">
      <c r="A319" t="s">
        <v>32</v>
      </c>
      <c r="B319" t="s">
        <v>290</v>
      </c>
      <c r="C319" t="s">
        <v>450</v>
      </c>
      <c r="D319" s="10">
        <f>D318-D318*inputs!$E$33</f>
        <v>0</v>
      </c>
      <c r="E319" t="str">
        <f t="shared" ca="1" si="5"/>
        <v>=D318-D318*inputs!$E$33</v>
      </c>
      <c r="F319"/>
      <c r="G319"/>
      <c r="H319"/>
      <c r="I319"/>
      <c r="J319"/>
      <c r="K319"/>
      <c r="L319"/>
      <c r="M319"/>
      <c r="N319"/>
      <c r="O319"/>
      <c r="P319"/>
      <c r="Q319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  <c r="AJ319"/>
      <c r="AK319"/>
      <c r="AL319"/>
      <c r="AM319"/>
      <c r="AN319"/>
      <c r="AO319"/>
      <c r="AP319"/>
      <c r="AQ319"/>
      <c r="AR319"/>
      <c r="AS319"/>
      <c r="AT319"/>
      <c r="AU319"/>
      <c r="AV319"/>
      <c r="AW319"/>
      <c r="AX319"/>
      <c r="AY319"/>
      <c r="AZ319"/>
      <c r="BA319"/>
      <c r="BB319"/>
      <c r="BC319"/>
      <c r="BD319"/>
      <c r="BE319"/>
      <c r="BF319"/>
      <c r="BG319"/>
      <c r="BH319"/>
      <c r="BI319"/>
      <c r="BJ319"/>
      <c r="BK319"/>
      <c r="BL319"/>
      <c r="BM319"/>
      <c r="BN319"/>
      <c r="BO319"/>
      <c r="BP319"/>
      <c r="BQ319"/>
      <c r="BR319"/>
      <c r="BS319"/>
      <c r="BT319"/>
      <c r="BU319"/>
      <c r="BV319"/>
      <c r="BW319"/>
      <c r="BX319"/>
      <c r="BY319"/>
      <c r="BZ319"/>
      <c r="CA319"/>
      <c r="CB319"/>
      <c r="CC319"/>
      <c r="CD319"/>
      <c r="CE319"/>
      <c r="CF319"/>
      <c r="CG319"/>
      <c r="CH319"/>
      <c r="CI319"/>
      <c r="CJ319"/>
      <c r="CK319"/>
      <c r="CL319"/>
      <c r="CM319"/>
      <c r="CN319"/>
      <c r="CO319"/>
      <c r="CP319"/>
      <c r="CQ319"/>
      <c r="CR319"/>
      <c r="CS319"/>
      <c r="CT319"/>
      <c r="CU319"/>
      <c r="CV319"/>
      <c r="CW319"/>
      <c r="CX319"/>
      <c r="CY319"/>
      <c r="CZ319"/>
      <c r="DA319"/>
      <c r="DB319"/>
      <c r="DC319"/>
      <c r="DD319"/>
      <c r="DE319"/>
      <c r="DF319"/>
    </row>
    <row r="320" spans="1:110" s="16" customFormat="1" x14ac:dyDescent="0.3">
      <c r="A320" t="s">
        <v>32</v>
      </c>
      <c r="B320" t="s">
        <v>290</v>
      </c>
      <c r="C320" t="s">
        <v>451</v>
      </c>
      <c r="D320" s="10">
        <f>D319-D319*inputs!$E$34</f>
        <v>0</v>
      </c>
      <c r="E320" t="str">
        <f t="shared" ca="1" si="5"/>
        <v>=D319-D319*inputs!$E$34</v>
      </c>
      <c r="F320"/>
      <c r="G320"/>
      <c r="H320"/>
      <c r="I320"/>
      <c r="J320"/>
      <c r="K320"/>
      <c r="L320"/>
      <c r="M320"/>
      <c r="N320"/>
      <c r="O320"/>
      <c r="P320"/>
      <c r="Q320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  <c r="AJ320"/>
      <c r="AK320"/>
      <c r="AL320"/>
      <c r="AM320"/>
      <c r="AN320"/>
      <c r="AO320"/>
      <c r="AP320"/>
      <c r="AQ320"/>
      <c r="AR320"/>
      <c r="AS320"/>
      <c r="AT320"/>
      <c r="AU320"/>
      <c r="AV320"/>
      <c r="AW320"/>
      <c r="AX320"/>
      <c r="AY320"/>
      <c r="AZ320"/>
      <c r="BA320"/>
      <c r="BB320"/>
      <c r="BC320"/>
      <c r="BD320"/>
      <c r="BE320"/>
      <c r="BF320"/>
      <c r="BG320"/>
      <c r="BH320"/>
      <c r="BI320"/>
      <c r="BJ320"/>
      <c r="BK320"/>
      <c r="BL320"/>
      <c r="BM320"/>
      <c r="BN320"/>
      <c r="BO320"/>
      <c r="BP320"/>
      <c r="BQ320"/>
      <c r="BR320"/>
      <c r="BS320"/>
      <c r="BT320"/>
      <c r="BU320"/>
      <c r="BV320"/>
      <c r="BW320"/>
      <c r="BX320"/>
      <c r="BY320"/>
      <c r="BZ320"/>
      <c r="CA320"/>
      <c r="CB320"/>
      <c r="CC320"/>
      <c r="CD320"/>
      <c r="CE320"/>
      <c r="CF320"/>
      <c r="CG320"/>
      <c r="CH320"/>
      <c r="CI320"/>
      <c r="CJ320"/>
      <c r="CK320"/>
      <c r="CL320"/>
      <c r="CM320"/>
      <c r="CN320"/>
      <c r="CO320"/>
      <c r="CP320"/>
      <c r="CQ320"/>
      <c r="CR320"/>
      <c r="CS320"/>
      <c r="CT320"/>
      <c r="CU320"/>
      <c r="CV320"/>
      <c r="CW320"/>
      <c r="CX320"/>
      <c r="CY320"/>
      <c r="CZ320"/>
      <c r="DA320"/>
      <c r="DB320"/>
      <c r="DC320"/>
      <c r="DD320"/>
      <c r="DE320"/>
      <c r="DF320"/>
    </row>
    <row r="321" spans="1:110" s="16" customFormat="1" x14ac:dyDescent="0.3">
      <c r="A321" t="s">
        <v>32</v>
      </c>
      <c r="B321" t="s">
        <v>290</v>
      </c>
      <c r="C321" t="s">
        <v>452</v>
      </c>
      <c r="D321" s="10">
        <f>D320-D320*inputs!$E$34</f>
        <v>0</v>
      </c>
      <c r="E321" t="str">
        <f t="shared" ca="1" si="5"/>
        <v>=D320-D320*inputs!$E$34</v>
      </c>
      <c r="F321"/>
      <c r="G321"/>
      <c r="H321"/>
      <c r="I321"/>
      <c r="J321"/>
      <c r="K321"/>
      <c r="L321"/>
      <c r="M321"/>
      <c r="N321"/>
      <c r="O321"/>
      <c r="P321"/>
      <c r="Q321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  <c r="AJ321"/>
      <c r="AK321"/>
      <c r="AL321"/>
      <c r="AM321"/>
      <c r="AN321"/>
      <c r="AO321"/>
      <c r="AP321"/>
      <c r="AQ321"/>
      <c r="AR321"/>
      <c r="AS321"/>
      <c r="AT321"/>
      <c r="AU321"/>
      <c r="AV321"/>
      <c r="AW321"/>
      <c r="AX321"/>
      <c r="AY321"/>
      <c r="AZ321"/>
      <c r="BA321"/>
      <c r="BB321"/>
      <c r="BC321"/>
      <c r="BD321"/>
      <c r="BE321"/>
      <c r="BF321"/>
      <c r="BG321"/>
      <c r="BH321"/>
      <c r="BI321"/>
      <c r="BJ321"/>
      <c r="BK321"/>
      <c r="BL321"/>
      <c r="BM321"/>
      <c r="BN321"/>
      <c r="BO321"/>
      <c r="BP321"/>
      <c r="BQ321"/>
      <c r="BR321"/>
      <c r="BS321"/>
      <c r="BT321"/>
      <c r="BU321"/>
      <c r="BV321"/>
      <c r="BW321"/>
      <c r="BX321"/>
      <c r="BY321"/>
      <c r="BZ321"/>
      <c r="CA321"/>
      <c r="CB321"/>
      <c r="CC321"/>
      <c r="CD321"/>
      <c r="CE321"/>
      <c r="CF321"/>
      <c r="CG321"/>
      <c r="CH321"/>
      <c r="CI321"/>
      <c r="CJ321"/>
      <c r="CK321"/>
      <c r="CL321"/>
      <c r="CM321"/>
      <c r="CN321"/>
      <c r="CO321"/>
      <c r="CP321"/>
      <c r="CQ321"/>
      <c r="CR321"/>
      <c r="CS321"/>
      <c r="CT321"/>
      <c r="CU321"/>
      <c r="CV321"/>
      <c r="CW321"/>
      <c r="CX321"/>
      <c r="CY321"/>
      <c r="CZ321"/>
      <c r="DA321"/>
      <c r="DB321"/>
      <c r="DC321"/>
      <c r="DD321"/>
      <c r="DE321"/>
      <c r="DF321"/>
    </row>
    <row r="322" spans="1:110" s="16" customFormat="1" x14ac:dyDescent="0.3">
      <c r="A322" t="s">
        <v>32</v>
      </c>
      <c r="B322" t="s">
        <v>290</v>
      </c>
      <c r="C322" t="s">
        <v>453</v>
      </c>
      <c r="D322" s="10">
        <f>D321-D321*inputs!$E$34</f>
        <v>0</v>
      </c>
      <c r="E322" t="str">
        <f t="shared" ca="1" si="5"/>
        <v>=D321-D321*inputs!$E$34</v>
      </c>
      <c r="F322"/>
      <c r="G322"/>
      <c r="H322"/>
      <c r="I322"/>
      <c r="J322"/>
      <c r="K322"/>
      <c r="L322"/>
      <c r="M322"/>
      <c r="N322"/>
      <c r="O322"/>
      <c r="P322"/>
      <c r="Q322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  <c r="AJ322"/>
      <c r="AK322"/>
      <c r="AL322"/>
      <c r="AM322"/>
      <c r="AN322"/>
      <c r="AO322"/>
      <c r="AP322"/>
      <c r="AQ322"/>
      <c r="AR322"/>
      <c r="AS322"/>
      <c r="AT322"/>
      <c r="AU322"/>
      <c r="AV322"/>
      <c r="AW322"/>
      <c r="AX322"/>
      <c r="AY322"/>
      <c r="AZ322"/>
      <c r="BA322"/>
      <c r="BB322"/>
      <c r="BC322"/>
      <c r="BD322"/>
      <c r="BE322"/>
      <c r="BF322"/>
      <c r="BG322"/>
      <c r="BH322"/>
      <c r="BI322"/>
      <c r="BJ322"/>
      <c r="BK322"/>
      <c r="BL322"/>
      <c r="BM322"/>
      <c r="BN322"/>
      <c r="BO322"/>
      <c r="BP322"/>
      <c r="BQ322"/>
      <c r="BR322"/>
      <c r="BS322"/>
      <c r="BT322"/>
      <c r="BU322"/>
      <c r="BV322"/>
      <c r="BW322"/>
      <c r="BX322"/>
      <c r="BY322"/>
      <c r="BZ322"/>
      <c r="CA322"/>
      <c r="CB322"/>
      <c r="CC322"/>
      <c r="CD322"/>
      <c r="CE322"/>
      <c r="CF322"/>
      <c r="CG322"/>
      <c r="CH322"/>
      <c r="CI322"/>
      <c r="CJ322"/>
      <c r="CK322"/>
      <c r="CL322"/>
      <c r="CM322"/>
      <c r="CN322"/>
      <c r="CO322"/>
      <c r="CP322"/>
      <c r="CQ322"/>
      <c r="CR322"/>
      <c r="CS322"/>
      <c r="CT322"/>
      <c r="CU322"/>
      <c r="CV322"/>
      <c r="CW322"/>
      <c r="CX322"/>
      <c r="CY322"/>
      <c r="CZ322"/>
      <c r="DA322"/>
      <c r="DB322"/>
      <c r="DC322"/>
      <c r="DD322"/>
      <c r="DE322"/>
      <c r="DF322"/>
    </row>
    <row r="323" spans="1:110" s="16" customFormat="1" x14ac:dyDescent="0.3">
      <c r="A323" t="s">
        <v>32</v>
      </c>
      <c r="B323" t="s">
        <v>290</v>
      </c>
      <c r="C323" t="s">
        <v>454</v>
      </c>
      <c r="D323" s="10">
        <f>D322-D322*inputs!$E$34</f>
        <v>0</v>
      </c>
      <c r="E323" t="str">
        <f t="shared" ca="1" si="5"/>
        <v>=D322-D322*inputs!$E$34</v>
      </c>
      <c r="F323"/>
      <c r="G323"/>
      <c r="H323"/>
      <c r="I323"/>
      <c r="J323"/>
      <c r="K323"/>
      <c r="L323"/>
      <c r="M323"/>
      <c r="N323"/>
      <c r="O323"/>
      <c r="P323"/>
      <c r="Q323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  <c r="AJ323"/>
      <c r="AK323"/>
      <c r="AL323"/>
      <c r="AM323"/>
      <c r="AN323"/>
      <c r="AO323"/>
      <c r="AP323"/>
      <c r="AQ323"/>
      <c r="AR323"/>
      <c r="AS323"/>
      <c r="AT323"/>
      <c r="AU323"/>
      <c r="AV323"/>
      <c r="AW323"/>
      <c r="AX323"/>
      <c r="AY323"/>
      <c r="AZ323"/>
      <c r="BA323"/>
      <c r="BB323"/>
      <c r="BC323"/>
      <c r="BD323"/>
      <c r="BE323"/>
      <c r="BF323"/>
      <c r="BG323"/>
      <c r="BH323"/>
      <c r="BI323"/>
      <c r="BJ323"/>
      <c r="BK323"/>
      <c r="BL323"/>
      <c r="BM323"/>
      <c r="BN323"/>
      <c r="BO323"/>
      <c r="BP323"/>
      <c r="BQ323"/>
      <c r="BR323"/>
      <c r="BS323"/>
      <c r="BT323"/>
      <c r="BU323"/>
      <c r="BV323"/>
      <c r="BW323"/>
      <c r="BX323"/>
      <c r="BY323"/>
      <c r="BZ323"/>
      <c r="CA323"/>
      <c r="CB323"/>
      <c r="CC323"/>
      <c r="CD323"/>
      <c r="CE323"/>
      <c r="CF323"/>
      <c r="CG323"/>
      <c r="CH323"/>
      <c r="CI323"/>
      <c r="CJ323"/>
      <c r="CK323"/>
      <c r="CL323"/>
      <c r="CM323"/>
      <c r="CN323"/>
      <c r="CO323"/>
      <c r="CP323"/>
      <c r="CQ323"/>
      <c r="CR323"/>
      <c r="CS323"/>
      <c r="CT323"/>
      <c r="CU323"/>
      <c r="CV323"/>
      <c r="CW323"/>
      <c r="CX323"/>
      <c r="CY323"/>
      <c r="CZ323"/>
      <c r="DA323"/>
      <c r="DB323"/>
      <c r="DC323"/>
      <c r="DD323"/>
      <c r="DE323"/>
      <c r="DF323"/>
    </row>
    <row r="324" spans="1:110" s="16" customFormat="1" x14ac:dyDescent="0.3">
      <c r="A324" t="s">
        <v>32</v>
      </c>
      <c r="B324" t="s">
        <v>290</v>
      </c>
      <c r="C324" t="s">
        <v>455</v>
      </c>
      <c r="D324" s="10">
        <f>D323-D323*inputs!$E$34</f>
        <v>0</v>
      </c>
      <c r="E324" t="str">
        <f t="shared" ca="1" si="5"/>
        <v>=D323-D323*inputs!$E$34</v>
      </c>
      <c r="F324"/>
      <c r="G324"/>
      <c r="H324"/>
      <c r="I324"/>
      <c r="J324"/>
      <c r="K324"/>
      <c r="L324"/>
      <c r="M324"/>
      <c r="N324"/>
      <c r="O324"/>
      <c r="P324"/>
      <c r="Q324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  <c r="AJ324"/>
      <c r="AK324"/>
      <c r="AL324"/>
      <c r="AM324"/>
      <c r="AN324"/>
      <c r="AO324"/>
      <c r="AP324"/>
      <c r="AQ324"/>
      <c r="AR324"/>
      <c r="AS324"/>
      <c r="AT324"/>
      <c r="AU324"/>
      <c r="AV324"/>
      <c r="AW324"/>
      <c r="AX324"/>
      <c r="AY324"/>
      <c r="AZ324"/>
      <c r="BA324"/>
      <c r="BB324"/>
      <c r="BC324"/>
      <c r="BD324"/>
      <c r="BE324"/>
      <c r="BF324"/>
      <c r="BG324"/>
      <c r="BH324"/>
      <c r="BI324"/>
      <c r="BJ324"/>
      <c r="BK324"/>
      <c r="BL324"/>
      <c r="BM324"/>
      <c r="BN324"/>
      <c r="BO324"/>
      <c r="BP324"/>
      <c r="BQ324"/>
      <c r="BR324"/>
      <c r="BS324"/>
      <c r="BT324"/>
      <c r="BU324"/>
      <c r="BV324"/>
      <c r="BW324"/>
      <c r="BX324"/>
      <c r="BY324"/>
      <c r="BZ324"/>
      <c r="CA324"/>
      <c r="CB324"/>
      <c r="CC324"/>
      <c r="CD324"/>
      <c r="CE324"/>
      <c r="CF324"/>
      <c r="CG324"/>
      <c r="CH324"/>
      <c r="CI324"/>
      <c r="CJ324"/>
      <c r="CK324"/>
      <c r="CL324"/>
      <c r="CM324"/>
      <c r="CN324"/>
      <c r="CO324"/>
      <c r="CP324"/>
      <c r="CQ324"/>
      <c r="CR324"/>
      <c r="CS324"/>
      <c r="CT324"/>
      <c r="CU324"/>
      <c r="CV324"/>
      <c r="CW324"/>
      <c r="CX324"/>
      <c r="CY324"/>
      <c r="CZ324"/>
      <c r="DA324"/>
      <c r="DB324"/>
      <c r="DC324"/>
      <c r="DD324"/>
      <c r="DE324"/>
      <c r="DF324"/>
    </row>
    <row r="325" spans="1:110" s="16" customFormat="1" x14ac:dyDescent="0.3">
      <c r="A325" t="s">
        <v>32</v>
      </c>
      <c r="B325" t="s">
        <v>290</v>
      </c>
      <c r="C325" t="s">
        <v>456</v>
      </c>
      <c r="D325" s="10">
        <f>D324-D324*inputs!$E$35</f>
        <v>0</v>
      </c>
      <c r="E325" t="str">
        <f t="shared" ca="1" si="5"/>
        <v>=D324-D324*inputs!$E$35</v>
      </c>
      <c r="F325"/>
      <c r="G325"/>
      <c r="H325"/>
      <c r="I325"/>
      <c r="J325"/>
      <c r="K325"/>
      <c r="L325"/>
      <c r="M325"/>
      <c r="N325"/>
      <c r="O325"/>
      <c r="P325"/>
      <c r="Q325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  <c r="AJ325"/>
      <c r="AK325"/>
      <c r="AL325"/>
      <c r="AM325"/>
      <c r="AN325"/>
      <c r="AO325"/>
      <c r="AP325"/>
      <c r="AQ325"/>
      <c r="AR325"/>
      <c r="AS325"/>
      <c r="AT325"/>
      <c r="AU325"/>
      <c r="AV325"/>
      <c r="AW325"/>
      <c r="AX325"/>
      <c r="AY325"/>
      <c r="AZ325"/>
      <c r="BA325"/>
      <c r="BB325"/>
      <c r="BC325"/>
      <c r="BD325"/>
      <c r="BE325"/>
      <c r="BF325"/>
      <c r="BG325"/>
      <c r="BH325"/>
      <c r="BI325"/>
      <c r="BJ325"/>
      <c r="BK325"/>
      <c r="BL325"/>
      <c r="BM325"/>
      <c r="BN325"/>
      <c r="BO325"/>
      <c r="BP325"/>
      <c r="BQ325"/>
      <c r="BR325"/>
      <c r="BS325"/>
      <c r="BT325"/>
      <c r="BU325"/>
      <c r="BV325"/>
      <c r="BW325"/>
      <c r="BX325"/>
      <c r="BY325"/>
      <c r="BZ325"/>
      <c r="CA325"/>
      <c r="CB325"/>
      <c r="CC325"/>
      <c r="CD325"/>
      <c r="CE325"/>
      <c r="CF325"/>
      <c r="CG325"/>
      <c r="CH325"/>
      <c r="CI325"/>
      <c r="CJ325"/>
      <c r="CK325"/>
      <c r="CL325"/>
      <c r="CM325"/>
      <c r="CN325"/>
      <c r="CO325"/>
      <c r="CP325"/>
      <c r="CQ325"/>
      <c r="CR325"/>
      <c r="CS325"/>
      <c r="CT325"/>
      <c r="CU325"/>
      <c r="CV325"/>
      <c r="CW325"/>
      <c r="CX325"/>
      <c r="CY325"/>
      <c r="CZ325"/>
      <c r="DA325"/>
      <c r="DB325"/>
      <c r="DC325"/>
      <c r="DD325"/>
      <c r="DE325"/>
      <c r="DF325"/>
    </row>
    <row r="326" spans="1:110" s="16" customFormat="1" x14ac:dyDescent="0.3">
      <c r="A326" t="s">
        <v>32</v>
      </c>
      <c r="B326" t="s">
        <v>290</v>
      </c>
      <c r="C326" t="s">
        <v>457</v>
      </c>
      <c r="D326" s="10">
        <f>D325-D325*inputs!$E$35</f>
        <v>0</v>
      </c>
      <c r="E326" t="str">
        <f t="shared" ca="1" si="5"/>
        <v>=D325-D325*inputs!$E$35</v>
      </c>
      <c r="F326"/>
      <c r="G326"/>
      <c r="H326"/>
      <c r="I326"/>
      <c r="J326"/>
      <c r="K326"/>
      <c r="L326"/>
      <c r="M326"/>
      <c r="N326"/>
      <c r="O326"/>
      <c r="P326"/>
      <c r="Q32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  <c r="AJ326"/>
      <c r="AK326"/>
      <c r="AL326"/>
      <c r="AM326"/>
      <c r="AN326"/>
      <c r="AO326"/>
      <c r="AP326"/>
      <c r="AQ326"/>
      <c r="AR326"/>
      <c r="AS326"/>
      <c r="AT326"/>
      <c r="AU326"/>
      <c r="AV326"/>
      <c r="AW326"/>
      <c r="AX326"/>
      <c r="AY326"/>
      <c r="AZ326"/>
      <c r="BA326"/>
      <c r="BB326"/>
      <c r="BC326"/>
      <c r="BD326"/>
      <c r="BE326"/>
      <c r="BF326"/>
      <c r="BG326"/>
      <c r="BH326"/>
      <c r="BI326"/>
      <c r="BJ326"/>
      <c r="BK326"/>
      <c r="BL326"/>
      <c r="BM326"/>
      <c r="BN326"/>
      <c r="BO326"/>
      <c r="BP326"/>
      <c r="BQ326"/>
      <c r="BR326"/>
      <c r="BS326"/>
      <c r="BT326"/>
      <c r="BU326"/>
      <c r="BV326"/>
      <c r="BW326"/>
      <c r="BX326"/>
      <c r="BY326"/>
      <c r="BZ326"/>
      <c r="CA326"/>
      <c r="CB326"/>
      <c r="CC326"/>
      <c r="CD326"/>
      <c r="CE326"/>
      <c r="CF326"/>
      <c r="CG326"/>
      <c r="CH326"/>
      <c r="CI326"/>
      <c r="CJ326"/>
      <c r="CK326"/>
      <c r="CL326"/>
      <c r="CM326"/>
      <c r="CN326"/>
      <c r="CO326"/>
      <c r="CP326"/>
      <c r="CQ326"/>
      <c r="CR326"/>
      <c r="CS326"/>
      <c r="CT326"/>
      <c r="CU326"/>
      <c r="CV326"/>
      <c r="CW326"/>
      <c r="CX326"/>
      <c r="CY326"/>
      <c r="CZ326"/>
      <c r="DA326"/>
      <c r="DB326"/>
      <c r="DC326"/>
      <c r="DD326"/>
      <c r="DE326"/>
      <c r="DF326"/>
    </row>
    <row r="327" spans="1:110" s="16" customFormat="1" x14ac:dyDescent="0.3">
      <c r="A327" t="s">
        <v>32</v>
      </c>
      <c r="B327" t="s">
        <v>290</v>
      </c>
      <c r="C327" t="s">
        <v>458</v>
      </c>
      <c r="D327" s="10">
        <f>D326-D326*inputs!$E$35</f>
        <v>0</v>
      </c>
      <c r="E327" t="str">
        <f t="shared" ca="1" si="5"/>
        <v>=D326-D326*inputs!$E$35</v>
      </c>
      <c r="F327"/>
      <c r="G327"/>
      <c r="H327"/>
      <c r="I327"/>
      <c r="J327"/>
      <c r="K327"/>
      <c r="L327"/>
      <c r="M327"/>
      <c r="N327"/>
      <c r="O327"/>
      <c r="P327"/>
      <c r="Q327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  <c r="AJ327"/>
      <c r="AK327"/>
      <c r="AL327"/>
      <c r="AM327"/>
      <c r="AN327"/>
      <c r="AO327"/>
      <c r="AP327"/>
      <c r="AQ327"/>
      <c r="AR327"/>
      <c r="AS327"/>
      <c r="AT327"/>
      <c r="AU327"/>
      <c r="AV327"/>
      <c r="AW327"/>
      <c r="AX327"/>
      <c r="AY327"/>
      <c r="AZ327"/>
      <c r="BA327"/>
      <c r="BB327"/>
      <c r="BC327"/>
      <c r="BD327"/>
      <c r="BE327"/>
      <c r="BF327"/>
      <c r="BG327"/>
      <c r="BH327"/>
      <c r="BI327"/>
      <c r="BJ327"/>
      <c r="BK327"/>
      <c r="BL327"/>
      <c r="BM327"/>
      <c r="BN327"/>
      <c r="BO327"/>
      <c r="BP327"/>
      <c r="BQ327"/>
      <c r="BR327"/>
      <c r="BS327"/>
      <c r="BT327"/>
      <c r="BU327"/>
      <c r="BV327"/>
      <c r="BW327"/>
      <c r="BX327"/>
      <c r="BY327"/>
      <c r="BZ327"/>
      <c r="CA327"/>
      <c r="CB327"/>
      <c r="CC327"/>
      <c r="CD327"/>
      <c r="CE327"/>
      <c r="CF327"/>
      <c r="CG327"/>
      <c r="CH327"/>
      <c r="CI327"/>
      <c r="CJ327"/>
      <c r="CK327"/>
      <c r="CL327"/>
      <c r="CM327"/>
      <c r="CN327"/>
      <c r="CO327"/>
      <c r="CP327"/>
      <c r="CQ327"/>
      <c r="CR327"/>
      <c r="CS327"/>
      <c r="CT327"/>
      <c r="CU327"/>
      <c r="CV327"/>
      <c r="CW327"/>
      <c r="CX327"/>
      <c r="CY327"/>
      <c r="CZ327"/>
      <c r="DA327"/>
      <c r="DB327"/>
      <c r="DC327"/>
      <c r="DD327"/>
      <c r="DE327"/>
      <c r="DF327"/>
    </row>
    <row r="328" spans="1:110" s="16" customFormat="1" x14ac:dyDescent="0.3">
      <c r="A328" t="s">
        <v>32</v>
      </c>
      <c r="B328" t="s">
        <v>290</v>
      </c>
      <c r="C328" t="s">
        <v>459</v>
      </c>
      <c r="D328" s="10">
        <f>D327-D327*inputs!$E$35</f>
        <v>0</v>
      </c>
      <c r="E328" t="str">
        <f t="shared" ca="1" si="5"/>
        <v>=D327-D327*inputs!$E$35</v>
      </c>
      <c r="F328"/>
      <c r="G328"/>
      <c r="H328"/>
      <c r="I328"/>
      <c r="J328"/>
      <c r="K328"/>
      <c r="L328"/>
      <c r="M328"/>
      <c r="N328"/>
      <c r="O328"/>
      <c r="P328"/>
      <c r="Q328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  <c r="AJ328"/>
      <c r="AK328"/>
      <c r="AL328"/>
      <c r="AM328"/>
      <c r="AN328"/>
      <c r="AO328"/>
      <c r="AP328"/>
      <c r="AQ328"/>
      <c r="AR328"/>
      <c r="AS328"/>
      <c r="AT328"/>
      <c r="AU328"/>
      <c r="AV328"/>
      <c r="AW328"/>
      <c r="AX328"/>
      <c r="AY328"/>
      <c r="AZ328"/>
      <c r="BA328"/>
      <c r="BB328"/>
      <c r="BC328"/>
      <c r="BD328"/>
      <c r="BE328"/>
      <c r="BF328"/>
      <c r="BG328"/>
      <c r="BH328"/>
      <c r="BI328"/>
      <c r="BJ328"/>
      <c r="BK328"/>
      <c r="BL328"/>
      <c r="BM328"/>
      <c r="BN328"/>
      <c r="BO328"/>
      <c r="BP328"/>
      <c r="BQ328"/>
      <c r="BR328"/>
      <c r="BS328"/>
      <c r="BT328"/>
      <c r="BU328"/>
      <c r="BV328"/>
      <c r="BW328"/>
      <c r="BX328"/>
      <c r="BY328"/>
      <c r="BZ328"/>
      <c r="CA328"/>
      <c r="CB328"/>
      <c r="CC328"/>
      <c r="CD328"/>
      <c r="CE328"/>
      <c r="CF328"/>
      <c r="CG328"/>
      <c r="CH328"/>
      <c r="CI328"/>
      <c r="CJ328"/>
      <c r="CK328"/>
      <c r="CL328"/>
      <c r="CM328"/>
      <c r="CN328"/>
      <c r="CO328"/>
      <c r="CP328"/>
      <c r="CQ328"/>
      <c r="CR328"/>
      <c r="CS328"/>
      <c r="CT328"/>
      <c r="CU328"/>
      <c r="CV328"/>
      <c r="CW328"/>
      <c r="CX328"/>
      <c r="CY328"/>
      <c r="CZ328"/>
      <c r="DA328"/>
      <c r="DB328"/>
      <c r="DC328"/>
      <c r="DD328"/>
      <c r="DE328"/>
      <c r="DF328"/>
    </row>
    <row r="329" spans="1:110" s="16" customFormat="1" x14ac:dyDescent="0.3">
      <c r="A329" t="s">
        <v>32</v>
      </c>
      <c r="B329" t="s">
        <v>290</v>
      </c>
      <c r="C329" t="s">
        <v>460</v>
      </c>
      <c r="D329" s="10">
        <f>D328-D328*inputs!$E$35</f>
        <v>0</v>
      </c>
      <c r="E329" t="str">
        <f t="shared" ca="1" si="5"/>
        <v>=D328-D328*inputs!$E$35</v>
      </c>
      <c r="F329"/>
      <c r="G329"/>
      <c r="H329"/>
      <c r="I329"/>
      <c r="J329"/>
      <c r="K329"/>
      <c r="L329"/>
      <c r="M329"/>
      <c r="N329"/>
      <c r="O329"/>
      <c r="P329"/>
      <c r="Q329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  <c r="AJ329"/>
      <c r="AK329"/>
      <c r="AL329"/>
      <c r="AM329"/>
      <c r="AN329"/>
      <c r="AO329"/>
      <c r="AP329"/>
      <c r="AQ329"/>
      <c r="AR329"/>
      <c r="AS329"/>
      <c r="AT329"/>
      <c r="AU329"/>
      <c r="AV329"/>
      <c r="AW329"/>
      <c r="AX329"/>
      <c r="AY329"/>
      <c r="AZ329"/>
      <c r="BA329"/>
      <c r="BB329"/>
      <c r="BC329"/>
      <c r="BD329"/>
      <c r="BE329"/>
      <c r="BF329"/>
      <c r="BG329"/>
      <c r="BH329"/>
      <c r="BI329"/>
      <c r="BJ329"/>
      <c r="BK329"/>
      <c r="BL329"/>
      <c r="BM329"/>
      <c r="BN329"/>
      <c r="BO329"/>
      <c r="BP329"/>
      <c r="BQ329"/>
      <c r="BR329"/>
      <c r="BS329"/>
      <c r="BT329"/>
      <c r="BU329"/>
      <c r="BV329"/>
      <c r="BW329"/>
      <c r="BX329"/>
      <c r="BY329"/>
      <c r="BZ329"/>
      <c r="CA329"/>
      <c r="CB329"/>
      <c r="CC329"/>
      <c r="CD329"/>
      <c r="CE329"/>
      <c r="CF329"/>
      <c r="CG329"/>
      <c r="CH329"/>
      <c r="CI329"/>
      <c r="CJ329"/>
      <c r="CK329"/>
      <c r="CL329"/>
      <c r="CM329"/>
      <c r="CN329"/>
      <c r="CO329"/>
      <c r="CP329"/>
      <c r="CQ329"/>
      <c r="CR329"/>
      <c r="CS329"/>
      <c r="CT329"/>
      <c r="CU329"/>
      <c r="CV329"/>
      <c r="CW329"/>
      <c r="CX329"/>
      <c r="CY329"/>
      <c r="CZ329"/>
      <c r="DA329"/>
      <c r="DB329"/>
      <c r="DC329"/>
      <c r="DD329"/>
      <c r="DE329"/>
      <c r="DF329"/>
    </row>
    <row r="330" spans="1:110" s="16" customFormat="1" x14ac:dyDescent="0.3">
      <c r="A330" t="s">
        <v>32</v>
      </c>
      <c r="B330" t="s">
        <v>290</v>
      </c>
      <c r="C330" t="s">
        <v>461</v>
      </c>
      <c r="D330" s="10">
        <f>D329-D329*inputs!$E$35</f>
        <v>0</v>
      </c>
      <c r="E330" t="str">
        <f t="shared" ca="1" si="5"/>
        <v>=D329-D329*inputs!$E$35</v>
      </c>
      <c r="F330"/>
      <c r="G330"/>
      <c r="H330"/>
      <c r="I330"/>
      <c r="J330"/>
      <c r="K330"/>
      <c r="L330"/>
      <c r="M330"/>
      <c r="N330"/>
      <c r="O330"/>
      <c r="P330"/>
      <c r="Q330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  <c r="AJ330"/>
      <c r="AK330"/>
      <c r="AL330"/>
      <c r="AM330"/>
      <c r="AN330"/>
      <c r="AO330"/>
      <c r="AP330"/>
      <c r="AQ330"/>
      <c r="AR330"/>
      <c r="AS330"/>
      <c r="AT330"/>
      <c r="AU330"/>
      <c r="AV330"/>
      <c r="AW330"/>
      <c r="AX330"/>
      <c r="AY330"/>
      <c r="AZ330"/>
      <c r="BA330"/>
      <c r="BB330"/>
      <c r="BC330"/>
      <c r="BD330"/>
      <c r="BE330"/>
      <c r="BF330"/>
      <c r="BG330"/>
      <c r="BH330"/>
      <c r="BI330"/>
      <c r="BJ330"/>
      <c r="BK330"/>
      <c r="BL330"/>
      <c r="BM330"/>
      <c r="BN330"/>
      <c r="BO330"/>
      <c r="BP330"/>
      <c r="BQ330"/>
      <c r="BR330"/>
      <c r="BS330"/>
      <c r="BT330"/>
      <c r="BU330"/>
      <c r="BV330"/>
      <c r="BW330"/>
      <c r="BX330"/>
      <c r="BY330"/>
      <c r="BZ330"/>
      <c r="CA330"/>
      <c r="CB330"/>
      <c r="CC330"/>
      <c r="CD330"/>
      <c r="CE330"/>
      <c r="CF330"/>
      <c r="CG330"/>
      <c r="CH330"/>
      <c r="CI330"/>
      <c r="CJ330"/>
      <c r="CK330"/>
      <c r="CL330"/>
      <c r="CM330"/>
      <c r="CN330"/>
      <c r="CO330"/>
      <c r="CP330"/>
      <c r="CQ330"/>
      <c r="CR330"/>
      <c r="CS330"/>
      <c r="CT330"/>
      <c r="CU330"/>
      <c r="CV330"/>
      <c r="CW330"/>
      <c r="CX330"/>
      <c r="CY330"/>
      <c r="CZ330"/>
      <c r="DA330"/>
      <c r="DB330"/>
      <c r="DC330"/>
      <c r="DD330"/>
      <c r="DE330"/>
      <c r="DF330"/>
    </row>
    <row r="331" spans="1:110" s="16" customFormat="1" x14ac:dyDescent="0.3">
      <c r="A331" t="s">
        <v>32</v>
      </c>
      <c r="B331" t="s">
        <v>290</v>
      </c>
      <c r="C331" t="s">
        <v>462</v>
      </c>
      <c r="D331" s="10">
        <f>D330-D330*inputs!$E$35</f>
        <v>0</v>
      </c>
      <c r="E331" t="str">
        <f t="shared" ca="1" si="5"/>
        <v>=D330-D330*inputs!$E$35</v>
      </c>
      <c r="F331"/>
      <c r="G331"/>
      <c r="H331"/>
      <c r="I331"/>
      <c r="J331"/>
      <c r="K331"/>
      <c r="L331"/>
      <c r="M331"/>
      <c r="N331"/>
      <c r="O331"/>
      <c r="P331"/>
      <c r="Q331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  <c r="AJ331"/>
      <c r="AK331"/>
      <c r="AL331"/>
      <c r="AM331"/>
      <c r="AN331"/>
      <c r="AO331"/>
      <c r="AP331"/>
      <c r="AQ331"/>
      <c r="AR331"/>
      <c r="AS331"/>
      <c r="AT331"/>
      <c r="AU331"/>
      <c r="AV331"/>
      <c r="AW331"/>
      <c r="AX331"/>
      <c r="AY331"/>
      <c r="AZ331"/>
      <c r="BA331"/>
      <c r="BB331"/>
      <c r="BC331"/>
      <c r="BD331"/>
      <c r="BE331"/>
      <c r="BF331"/>
      <c r="BG331"/>
      <c r="BH331"/>
      <c r="BI331"/>
      <c r="BJ331"/>
      <c r="BK331"/>
      <c r="BL331"/>
      <c r="BM331"/>
      <c r="BN331"/>
      <c r="BO331"/>
      <c r="BP331"/>
      <c r="BQ331"/>
      <c r="BR331"/>
      <c r="BS331"/>
      <c r="BT331"/>
      <c r="BU331"/>
      <c r="BV331"/>
      <c r="BW331"/>
      <c r="BX331"/>
      <c r="BY331"/>
      <c r="BZ331"/>
      <c r="CA331"/>
      <c r="CB331"/>
      <c r="CC331"/>
      <c r="CD331"/>
      <c r="CE331"/>
      <c r="CF331"/>
      <c r="CG331"/>
      <c r="CH331"/>
      <c r="CI331"/>
      <c r="CJ331"/>
      <c r="CK331"/>
      <c r="CL331"/>
      <c r="CM331"/>
      <c r="CN331"/>
      <c r="CO331"/>
      <c r="CP331"/>
      <c r="CQ331"/>
      <c r="CR331"/>
      <c r="CS331"/>
      <c r="CT331"/>
      <c r="CU331"/>
      <c r="CV331"/>
      <c r="CW331"/>
      <c r="CX331"/>
      <c r="CY331"/>
      <c r="CZ331"/>
      <c r="DA331"/>
      <c r="DB331"/>
      <c r="DC331"/>
      <c r="DD331"/>
      <c r="DE331"/>
      <c r="DF331"/>
    </row>
    <row r="332" spans="1:110" s="16" customFormat="1" x14ac:dyDescent="0.3">
      <c r="A332" t="s">
        <v>32</v>
      </c>
      <c r="B332" t="s">
        <v>290</v>
      </c>
      <c r="C332" t="s">
        <v>463</v>
      </c>
      <c r="D332" s="10">
        <f>D331-D331*inputs!$E$35</f>
        <v>0</v>
      </c>
      <c r="E332" t="str">
        <f t="shared" ca="1" si="5"/>
        <v>=D331-D331*inputs!$E$35</v>
      </c>
      <c r="F332"/>
      <c r="G332"/>
      <c r="H332"/>
      <c r="I332"/>
      <c r="J332"/>
      <c r="K332"/>
      <c r="L332"/>
      <c r="M332"/>
      <c r="N332"/>
      <c r="O332"/>
      <c r="P332"/>
      <c r="Q332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  <c r="AJ332"/>
      <c r="AK332"/>
      <c r="AL332"/>
      <c r="AM332"/>
      <c r="AN332"/>
      <c r="AO332"/>
      <c r="AP332"/>
      <c r="AQ332"/>
      <c r="AR332"/>
      <c r="AS332"/>
      <c r="AT332"/>
      <c r="AU332"/>
      <c r="AV332"/>
      <c r="AW332"/>
      <c r="AX332"/>
      <c r="AY332"/>
      <c r="AZ332"/>
      <c r="BA332"/>
      <c r="BB332"/>
      <c r="BC332"/>
      <c r="BD332"/>
      <c r="BE332"/>
      <c r="BF332"/>
      <c r="BG332"/>
      <c r="BH332"/>
      <c r="BI332"/>
      <c r="BJ332"/>
      <c r="BK332"/>
      <c r="BL332"/>
      <c r="BM332"/>
      <c r="BN332"/>
      <c r="BO332"/>
      <c r="BP332"/>
      <c r="BQ332"/>
      <c r="BR332"/>
      <c r="BS332"/>
      <c r="BT332"/>
      <c r="BU332"/>
      <c r="BV332"/>
      <c r="BW332"/>
      <c r="BX332"/>
      <c r="BY332"/>
      <c r="BZ332"/>
      <c r="CA332"/>
      <c r="CB332"/>
      <c r="CC332"/>
      <c r="CD332"/>
      <c r="CE332"/>
      <c r="CF332"/>
      <c r="CG332"/>
      <c r="CH332"/>
      <c r="CI332"/>
      <c r="CJ332"/>
      <c r="CK332"/>
      <c r="CL332"/>
      <c r="CM332"/>
      <c r="CN332"/>
      <c r="CO332"/>
      <c r="CP332"/>
      <c r="CQ332"/>
      <c r="CR332"/>
      <c r="CS332"/>
      <c r="CT332"/>
      <c r="CU332"/>
      <c r="CV332"/>
      <c r="CW332"/>
      <c r="CX332"/>
      <c r="CY332"/>
      <c r="CZ332"/>
      <c r="DA332"/>
      <c r="DB332"/>
      <c r="DC332"/>
      <c r="DD332"/>
      <c r="DE332"/>
      <c r="DF332"/>
    </row>
    <row r="333" spans="1:110" s="16" customFormat="1" x14ac:dyDescent="0.3">
      <c r="A333" t="s">
        <v>32</v>
      </c>
      <c r="B333" t="s">
        <v>290</v>
      </c>
      <c r="C333" t="s">
        <v>464</v>
      </c>
      <c r="D333" s="10">
        <f>D332-D332*inputs!$E$35</f>
        <v>0</v>
      </c>
      <c r="E333" t="str">
        <f t="shared" ca="1" si="5"/>
        <v>=D332-D332*inputs!$E$35</v>
      </c>
      <c r="F333"/>
      <c r="G333"/>
      <c r="H333"/>
      <c r="I333"/>
      <c r="J333"/>
      <c r="K333"/>
      <c r="L333"/>
      <c r="M333"/>
      <c r="N333"/>
      <c r="O333"/>
      <c r="P333"/>
      <c r="Q333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  <c r="AJ333"/>
      <c r="AK333"/>
      <c r="AL333"/>
      <c r="AM333"/>
      <c r="AN333"/>
      <c r="AO333"/>
      <c r="AP333"/>
      <c r="AQ333"/>
      <c r="AR333"/>
      <c r="AS333"/>
      <c r="AT333"/>
      <c r="AU333"/>
      <c r="AV333"/>
      <c r="AW333"/>
      <c r="AX333"/>
      <c r="AY333"/>
      <c r="AZ333"/>
      <c r="BA333"/>
      <c r="BB333"/>
      <c r="BC333"/>
      <c r="BD333"/>
      <c r="BE333"/>
      <c r="BF333"/>
      <c r="BG333"/>
      <c r="BH333"/>
      <c r="BI333"/>
      <c r="BJ333"/>
      <c r="BK333"/>
      <c r="BL333"/>
      <c r="BM333"/>
      <c r="BN333"/>
      <c r="BO333"/>
      <c r="BP333"/>
      <c r="BQ333"/>
      <c r="BR333"/>
      <c r="BS333"/>
      <c r="BT333"/>
      <c r="BU333"/>
      <c r="BV333"/>
      <c r="BW333"/>
      <c r="BX333"/>
      <c r="BY333"/>
      <c r="BZ333"/>
      <c r="CA333"/>
      <c r="CB333"/>
      <c r="CC333"/>
      <c r="CD333"/>
      <c r="CE333"/>
      <c r="CF333"/>
      <c r="CG333"/>
      <c r="CH333"/>
      <c r="CI333"/>
      <c r="CJ333"/>
      <c r="CK333"/>
      <c r="CL333"/>
      <c r="CM333"/>
      <c r="CN333"/>
      <c r="CO333"/>
      <c r="CP333"/>
      <c r="CQ333"/>
      <c r="CR333"/>
      <c r="CS333"/>
      <c r="CT333"/>
      <c r="CU333"/>
      <c r="CV333"/>
      <c r="CW333"/>
      <c r="CX333"/>
      <c r="CY333"/>
      <c r="CZ333"/>
      <c r="DA333"/>
      <c r="DB333"/>
      <c r="DC333"/>
      <c r="DD333"/>
      <c r="DE333"/>
      <c r="DF333"/>
    </row>
    <row r="334" spans="1:110" s="16" customFormat="1" x14ac:dyDescent="0.3">
      <c r="A334" t="s">
        <v>32</v>
      </c>
      <c r="B334" t="s">
        <v>290</v>
      </c>
      <c r="C334" t="s">
        <v>465</v>
      </c>
      <c r="D334" s="10">
        <f>D333-D333*inputs!$E$35</f>
        <v>0</v>
      </c>
      <c r="E334" t="str">
        <f t="shared" ca="1" si="5"/>
        <v>=D333-D333*inputs!$E$35</v>
      </c>
      <c r="F334"/>
      <c r="G334"/>
      <c r="H334"/>
      <c r="I334"/>
      <c r="J334"/>
      <c r="K334"/>
      <c r="L334"/>
      <c r="M334"/>
      <c r="N334"/>
      <c r="O334"/>
      <c r="P334"/>
      <c r="Q334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  <c r="AJ334"/>
      <c r="AK334"/>
      <c r="AL334"/>
      <c r="AM334"/>
      <c r="AN334"/>
      <c r="AO334"/>
      <c r="AP334"/>
      <c r="AQ334"/>
      <c r="AR334"/>
      <c r="AS334"/>
      <c r="AT334"/>
      <c r="AU334"/>
      <c r="AV334"/>
      <c r="AW334"/>
      <c r="AX334"/>
      <c r="AY334"/>
      <c r="AZ334"/>
      <c r="BA334"/>
      <c r="BB334"/>
      <c r="BC334"/>
      <c r="BD334"/>
      <c r="BE334"/>
      <c r="BF334"/>
      <c r="BG334"/>
      <c r="BH334"/>
      <c r="BI334"/>
      <c r="BJ334"/>
      <c r="BK334"/>
      <c r="BL334"/>
      <c r="BM334"/>
      <c r="BN334"/>
      <c r="BO334"/>
      <c r="BP334"/>
      <c r="BQ334"/>
      <c r="BR334"/>
      <c r="BS334"/>
      <c r="BT334"/>
      <c r="BU334"/>
      <c r="BV334"/>
      <c r="BW334"/>
      <c r="BX334"/>
      <c r="BY334"/>
      <c r="BZ334"/>
      <c r="CA334"/>
      <c r="CB334"/>
      <c r="CC334"/>
      <c r="CD334"/>
      <c r="CE334"/>
      <c r="CF334"/>
      <c r="CG334"/>
      <c r="CH334"/>
      <c r="CI334"/>
      <c r="CJ334"/>
      <c r="CK334"/>
      <c r="CL334"/>
      <c r="CM334"/>
      <c r="CN334"/>
      <c r="CO334"/>
      <c r="CP334"/>
      <c r="CQ334"/>
      <c r="CR334"/>
      <c r="CS334"/>
      <c r="CT334"/>
      <c r="CU334"/>
      <c r="CV334"/>
      <c r="CW334"/>
      <c r="CX334"/>
      <c r="CY334"/>
      <c r="CZ334"/>
      <c r="DA334"/>
      <c r="DB334"/>
      <c r="DC334"/>
      <c r="DD334"/>
      <c r="DE334"/>
      <c r="DF334"/>
    </row>
    <row r="335" spans="1:110" s="16" customFormat="1" x14ac:dyDescent="0.3">
      <c r="A335" t="s">
        <v>32</v>
      </c>
      <c r="B335" t="s">
        <v>290</v>
      </c>
      <c r="C335" t="s">
        <v>466</v>
      </c>
      <c r="D335" s="10">
        <f>D334-D334*inputs!$E$36</f>
        <v>0</v>
      </c>
      <c r="E335" t="str">
        <f t="shared" ca="1" si="5"/>
        <v>=D334-D334*inputs!$E$36</v>
      </c>
      <c r="F335"/>
      <c r="G335"/>
      <c r="H335"/>
      <c r="I335"/>
      <c r="J335"/>
      <c r="K335"/>
      <c r="L335"/>
      <c r="M335"/>
      <c r="N335"/>
      <c r="O335"/>
      <c r="P335"/>
      <c r="Q335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  <c r="AJ335"/>
      <c r="AK335"/>
      <c r="AL335"/>
      <c r="AM335"/>
      <c r="AN335"/>
      <c r="AO335"/>
      <c r="AP335"/>
      <c r="AQ335"/>
      <c r="AR335"/>
      <c r="AS335"/>
      <c r="AT335"/>
      <c r="AU335"/>
      <c r="AV335"/>
      <c r="AW335"/>
      <c r="AX335"/>
      <c r="AY335"/>
      <c r="AZ335"/>
      <c r="BA335"/>
      <c r="BB335"/>
      <c r="BC335"/>
      <c r="BD335"/>
      <c r="BE335"/>
      <c r="BF335"/>
      <c r="BG335"/>
      <c r="BH335"/>
      <c r="BI335"/>
      <c r="BJ335"/>
      <c r="BK335"/>
      <c r="BL335"/>
      <c r="BM335"/>
      <c r="BN335"/>
      <c r="BO335"/>
      <c r="BP335"/>
      <c r="BQ335"/>
      <c r="BR335"/>
      <c r="BS335"/>
      <c r="BT335"/>
      <c r="BU335"/>
      <c r="BV335"/>
      <c r="BW335"/>
      <c r="BX335"/>
      <c r="BY335"/>
      <c r="BZ335"/>
      <c r="CA335"/>
      <c r="CB335"/>
      <c r="CC335"/>
      <c r="CD335"/>
      <c r="CE335"/>
      <c r="CF335"/>
      <c r="CG335"/>
      <c r="CH335"/>
      <c r="CI335"/>
      <c r="CJ335"/>
      <c r="CK335"/>
      <c r="CL335"/>
      <c r="CM335"/>
      <c r="CN335"/>
      <c r="CO335"/>
      <c r="CP335"/>
      <c r="CQ335"/>
      <c r="CR335"/>
      <c r="CS335"/>
      <c r="CT335"/>
      <c r="CU335"/>
      <c r="CV335"/>
      <c r="CW335"/>
      <c r="CX335"/>
      <c r="CY335"/>
      <c r="CZ335"/>
      <c r="DA335"/>
      <c r="DB335"/>
      <c r="DC335"/>
      <c r="DD335"/>
      <c r="DE335"/>
      <c r="DF335"/>
    </row>
    <row r="336" spans="1:110" s="16" customFormat="1" x14ac:dyDescent="0.3">
      <c r="A336" t="s">
        <v>32</v>
      </c>
      <c r="B336" t="s">
        <v>290</v>
      </c>
      <c r="C336" t="s">
        <v>467</v>
      </c>
      <c r="D336" s="10">
        <f>D335-D335*inputs!$E$36</f>
        <v>0</v>
      </c>
      <c r="E336" t="str">
        <f t="shared" ca="1" si="5"/>
        <v>=D335-D335*inputs!$E$36</v>
      </c>
      <c r="F336"/>
      <c r="G336"/>
      <c r="H336"/>
      <c r="I336"/>
      <c r="J336"/>
      <c r="K336"/>
      <c r="L336"/>
      <c r="M336"/>
      <c r="N336"/>
      <c r="O336"/>
      <c r="P336"/>
      <c r="Q33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  <c r="AJ336"/>
      <c r="AK336"/>
      <c r="AL336"/>
      <c r="AM336"/>
      <c r="AN336"/>
      <c r="AO336"/>
      <c r="AP336"/>
      <c r="AQ336"/>
      <c r="AR336"/>
      <c r="AS336"/>
      <c r="AT336"/>
      <c r="AU336"/>
      <c r="AV336"/>
      <c r="AW336"/>
      <c r="AX336"/>
      <c r="AY336"/>
      <c r="AZ336"/>
      <c r="BA336"/>
      <c r="BB336"/>
      <c r="BC336"/>
      <c r="BD336"/>
      <c r="BE336"/>
      <c r="BF336"/>
      <c r="BG336"/>
      <c r="BH336"/>
      <c r="BI336"/>
      <c r="BJ336"/>
      <c r="BK336"/>
      <c r="BL336"/>
      <c r="BM336"/>
      <c r="BN336"/>
      <c r="BO336"/>
      <c r="BP336"/>
      <c r="BQ336"/>
      <c r="BR336"/>
      <c r="BS336"/>
      <c r="BT336"/>
      <c r="BU336"/>
      <c r="BV336"/>
      <c r="BW336"/>
      <c r="BX336"/>
      <c r="BY336"/>
      <c r="BZ336"/>
      <c r="CA336"/>
      <c r="CB336"/>
      <c r="CC336"/>
      <c r="CD336"/>
      <c r="CE336"/>
      <c r="CF336"/>
      <c r="CG336"/>
      <c r="CH336"/>
      <c r="CI336"/>
      <c r="CJ336"/>
      <c r="CK336"/>
      <c r="CL336"/>
      <c r="CM336"/>
      <c r="CN336"/>
      <c r="CO336"/>
      <c r="CP336"/>
      <c r="CQ336"/>
      <c r="CR336"/>
      <c r="CS336"/>
      <c r="CT336"/>
      <c r="CU336"/>
      <c r="CV336"/>
      <c r="CW336"/>
      <c r="CX336"/>
      <c r="CY336"/>
      <c r="CZ336"/>
      <c r="DA336"/>
      <c r="DB336"/>
      <c r="DC336"/>
      <c r="DD336"/>
      <c r="DE336"/>
      <c r="DF336"/>
    </row>
    <row r="337" spans="1:110" s="16" customFormat="1" x14ac:dyDescent="0.3">
      <c r="A337" t="s">
        <v>32</v>
      </c>
      <c r="B337" t="s">
        <v>290</v>
      </c>
      <c r="C337" t="s">
        <v>468</v>
      </c>
      <c r="D337" s="10">
        <f>D336-D336*inputs!$E$36</f>
        <v>0</v>
      </c>
      <c r="E337" t="str">
        <f t="shared" ca="1" si="5"/>
        <v>=D336-D336*inputs!$E$36</v>
      </c>
      <c r="F337"/>
      <c r="G337"/>
      <c r="H337"/>
      <c r="I337"/>
      <c r="J337"/>
      <c r="K337"/>
      <c r="L337"/>
      <c r="M337"/>
      <c r="N337"/>
      <c r="O337"/>
      <c r="P337"/>
      <c r="Q337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  <c r="AJ337"/>
      <c r="AK337"/>
      <c r="AL337"/>
      <c r="AM337"/>
      <c r="AN337"/>
      <c r="AO337"/>
      <c r="AP337"/>
      <c r="AQ337"/>
      <c r="AR337"/>
      <c r="AS337"/>
      <c r="AT337"/>
      <c r="AU337"/>
      <c r="AV337"/>
      <c r="AW337"/>
      <c r="AX337"/>
      <c r="AY337"/>
      <c r="AZ337"/>
      <c r="BA337"/>
      <c r="BB337"/>
      <c r="BC337"/>
      <c r="BD337"/>
      <c r="BE337"/>
      <c r="BF337"/>
      <c r="BG337"/>
      <c r="BH337"/>
      <c r="BI337"/>
      <c r="BJ337"/>
      <c r="BK337"/>
      <c r="BL337"/>
      <c r="BM337"/>
      <c r="BN337"/>
      <c r="BO337"/>
      <c r="BP337"/>
      <c r="BQ337"/>
      <c r="BR337"/>
      <c r="BS337"/>
      <c r="BT337"/>
      <c r="BU337"/>
      <c r="BV337"/>
      <c r="BW337"/>
      <c r="BX337"/>
      <c r="BY337"/>
      <c r="BZ337"/>
      <c r="CA337"/>
      <c r="CB337"/>
      <c r="CC337"/>
      <c r="CD337"/>
      <c r="CE337"/>
      <c r="CF337"/>
      <c r="CG337"/>
      <c r="CH337"/>
      <c r="CI337"/>
      <c r="CJ337"/>
      <c r="CK337"/>
      <c r="CL337"/>
      <c r="CM337"/>
      <c r="CN337"/>
      <c r="CO337"/>
      <c r="CP337"/>
      <c r="CQ337"/>
      <c r="CR337"/>
      <c r="CS337"/>
      <c r="CT337"/>
      <c r="CU337"/>
      <c r="CV337"/>
      <c r="CW337"/>
      <c r="CX337"/>
      <c r="CY337"/>
      <c r="CZ337"/>
      <c r="DA337"/>
      <c r="DB337"/>
      <c r="DC337"/>
      <c r="DD337"/>
      <c r="DE337"/>
      <c r="DF337"/>
    </row>
    <row r="338" spans="1:110" s="16" customFormat="1" x14ac:dyDescent="0.3">
      <c r="A338" t="s">
        <v>32</v>
      </c>
      <c r="B338" t="s">
        <v>290</v>
      </c>
      <c r="C338" t="s">
        <v>469</v>
      </c>
      <c r="D338" s="10">
        <f>D337-D337*inputs!$E$36</f>
        <v>0</v>
      </c>
      <c r="E338" t="str">
        <f t="shared" ca="1" si="5"/>
        <v>=D337-D337*inputs!$E$36</v>
      </c>
      <c r="F338"/>
      <c r="G338"/>
      <c r="H338"/>
      <c r="I338"/>
      <c r="J338"/>
      <c r="K338"/>
      <c r="L338"/>
      <c r="M338"/>
      <c r="N338"/>
      <c r="O338"/>
      <c r="P338"/>
      <c r="Q338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  <c r="AJ338"/>
      <c r="AK338"/>
      <c r="AL338"/>
      <c r="AM338"/>
      <c r="AN338"/>
      <c r="AO338"/>
      <c r="AP338"/>
      <c r="AQ338"/>
      <c r="AR338"/>
      <c r="AS338"/>
      <c r="AT338"/>
      <c r="AU338"/>
      <c r="AV338"/>
      <c r="AW338"/>
      <c r="AX338"/>
      <c r="AY338"/>
      <c r="AZ338"/>
      <c r="BA338"/>
      <c r="BB338"/>
      <c r="BC338"/>
      <c r="BD338"/>
      <c r="BE338"/>
      <c r="BF338"/>
      <c r="BG338"/>
      <c r="BH338"/>
      <c r="BI338"/>
      <c r="BJ338"/>
      <c r="BK338"/>
      <c r="BL338"/>
      <c r="BM338"/>
      <c r="BN338"/>
      <c r="BO338"/>
      <c r="BP338"/>
      <c r="BQ338"/>
      <c r="BR338"/>
      <c r="BS338"/>
      <c r="BT338"/>
      <c r="BU338"/>
      <c r="BV338"/>
      <c r="BW338"/>
      <c r="BX338"/>
      <c r="BY338"/>
      <c r="BZ338"/>
      <c r="CA338"/>
      <c r="CB338"/>
      <c r="CC338"/>
      <c r="CD338"/>
      <c r="CE338"/>
      <c r="CF338"/>
      <c r="CG338"/>
      <c r="CH338"/>
      <c r="CI338"/>
      <c r="CJ338"/>
      <c r="CK338"/>
      <c r="CL338"/>
      <c r="CM338"/>
      <c r="CN338"/>
      <c r="CO338"/>
      <c r="CP338"/>
      <c r="CQ338"/>
      <c r="CR338"/>
      <c r="CS338"/>
      <c r="CT338"/>
      <c r="CU338"/>
      <c r="CV338"/>
      <c r="CW338"/>
      <c r="CX338"/>
      <c r="CY338"/>
      <c r="CZ338"/>
      <c r="DA338"/>
      <c r="DB338"/>
      <c r="DC338"/>
      <c r="DD338"/>
      <c r="DE338"/>
      <c r="DF338"/>
    </row>
    <row r="339" spans="1:110" s="16" customFormat="1" x14ac:dyDescent="0.3">
      <c r="A339" t="s">
        <v>32</v>
      </c>
      <c r="B339" t="s">
        <v>290</v>
      </c>
      <c r="C339" t="s">
        <v>470</v>
      </c>
      <c r="D339" s="10">
        <f>D338-D338*inputs!$E$36</f>
        <v>0</v>
      </c>
      <c r="E339" t="str">
        <f t="shared" ca="1" si="5"/>
        <v>=D338-D338*inputs!$E$36</v>
      </c>
      <c r="F339"/>
      <c r="G339"/>
      <c r="H339"/>
      <c r="I339"/>
      <c r="J339"/>
      <c r="K339"/>
      <c r="L339"/>
      <c r="M339"/>
      <c r="N339"/>
      <c r="O339"/>
      <c r="P339"/>
      <c r="Q339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  <c r="AJ339"/>
      <c r="AK339"/>
      <c r="AL339"/>
      <c r="AM339"/>
      <c r="AN339"/>
      <c r="AO339"/>
      <c r="AP339"/>
      <c r="AQ339"/>
      <c r="AR339"/>
      <c r="AS339"/>
      <c r="AT339"/>
      <c r="AU339"/>
      <c r="AV339"/>
      <c r="AW339"/>
      <c r="AX339"/>
      <c r="AY339"/>
      <c r="AZ339"/>
      <c r="BA339"/>
      <c r="BB339"/>
      <c r="BC339"/>
      <c r="BD339"/>
      <c r="BE339"/>
      <c r="BF339"/>
      <c r="BG339"/>
      <c r="BH339"/>
      <c r="BI339"/>
      <c r="BJ339"/>
      <c r="BK339"/>
      <c r="BL339"/>
      <c r="BM339"/>
      <c r="BN339"/>
      <c r="BO339"/>
      <c r="BP339"/>
      <c r="BQ339"/>
      <c r="BR339"/>
      <c r="BS339"/>
      <c r="BT339"/>
      <c r="BU339"/>
      <c r="BV339"/>
      <c r="BW339"/>
      <c r="BX339"/>
      <c r="BY339"/>
      <c r="BZ339"/>
      <c r="CA339"/>
      <c r="CB339"/>
      <c r="CC339"/>
      <c r="CD339"/>
      <c r="CE339"/>
      <c r="CF339"/>
      <c r="CG339"/>
      <c r="CH339"/>
      <c r="CI339"/>
      <c r="CJ339"/>
      <c r="CK339"/>
      <c r="CL339"/>
      <c r="CM339"/>
      <c r="CN339"/>
      <c r="CO339"/>
      <c r="CP339"/>
      <c r="CQ339"/>
      <c r="CR339"/>
      <c r="CS339"/>
      <c r="CT339"/>
      <c r="CU339"/>
      <c r="CV339"/>
      <c r="CW339"/>
      <c r="CX339"/>
      <c r="CY339"/>
      <c r="CZ339"/>
      <c r="DA339"/>
      <c r="DB339"/>
      <c r="DC339"/>
      <c r="DD339"/>
      <c r="DE339"/>
      <c r="DF339"/>
    </row>
    <row r="340" spans="1:110" s="16" customFormat="1" x14ac:dyDescent="0.3">
      <c r="A340" t="s">
        <v>32</v>
      </c>
      <c r="B340" t="s">
        <v>290</v>
      </c>
      <c r="C340" t="s">
        <v>471</v>
      </c>
      <c r="D340" s="10">
        <f>D339-D339*inputs!$E$37</f>
        <v>0</v>
      </c>
      <c r="E340" t="str">
        <f t="shared" ca="1" si="5"/>
        <v>=D339-D339*inputs!$E$37</v>
      </c>
      <c r="F340"/>
      <c r="G340"/>
      <c r="H340"/>
      <c r="I340"/>
      <c r="J340"/>
      <c r="K340"/>
      <c r="L340"/>
      <c r="M340"/>
      <c r="N340"/>
      <c r="O340"/>
      <c r="P340"/>
      <c r="Q340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  <c r="AJ340"/>
      <c r="AK340"/>
      <c r="AL340"/>
      <c r="AM340"/>
      <c r="AN340"/>
      <c r="AO340"/>
      <c r="AP340"/>
      <c r="AQ340"/>
      <c r="AR340"/>
      <c r="AS340"/>
      <c r="AT340"/>
      <c r="AU340"/>
      <c r="AV340"/>
      <c r="AW340"/>
      <c r="AX340"/>
      <c r="AY340"/>
      <c r="AZ340"/>
      <c r="BA340"/>
      <c r="BB340"/>
      <c r="BC340"/>
      <c r="BD340"/>
      <c r="BE340"/>
      <c r="BF340"/>
      <c r="BG340"/>
      <c r="BH340"/>
      <c r="BI340"/>
      <c r="BJ340"/>
      <c r="BK340"/>
      <c r="BL340"/>
      <c r="BM340"/>
      <c r="BN340"/>
      <c r="BO340"/>
      <c r="BP340"/>
      <c r="BQ340"/>
      <c r="BR340"/>
      <c r="BS340"/>
      <c r="BT340"/>
      <c r="BU340"/>
      <c r="BV340"/>
      <c r="BW340"/>
      <c r="BX340"/>
      <c r="BY340"/>
      <c r="BZ340"/>
      <c r="CA340"/>
      <c r="CB340"/>
      <c r="CC340"/>
      <c r="CD340"/>
      <c r="CE340"/>
      <c r="CF340"/>
      <c r="CG340"/>
      <c r="CH340"/>
      <c r="CI340"/>
      <c r="CJ340"/>
      <c r="CK340"/>
      <c r="CL340"/>
      <c r="CM340"/>
      <c r="CN340"/>
      <c r="CO340"/>
      <c r="CP340"/>
      <c r="CQ340"/>
      <c r="CR340"/>
      <c r="CS340"/>
      <c r="CT340"/>
      <c r="CU340"/>
      <c r="CV340"/>
      <c r="CW340"/>
      <c r="CX340"/>
      <c r="CY340"/>
      <c r="CZ340"/>
      <c r="DA340"/>
      <c r="DB340"/>
      <c r="DC340"/>
      <c r="DD340"/>
      <c r="DE340"/>
      <c r="DF340"/>
    </row>
    <row r="341" spans="1:110" s="16" customFormat="1" x14ac:dyDescent="0.3">
      <c r="A341" t="s">
        <v>32</v>
      </c>
      <c r="B341" t="s">
        <v>290</v>
      </c>
      <c r="C341" t="s">
        <v>472</v>
      </c>
      <c r="D341" s="10">
        <f>D340-D340*inputs!$E$37</f>
        <v>0</v>
      </c>
      <c r="E341" t="str">
        <f t="shared" ca="1" si="5"/>
        <v>=D340-D340*inputs!$E$37</v>
      </c>
      <c r="F341"/>
      <c r="G341"/>
      <c r="H341"/>
      <c r="I341"/>
      <c r="J341"/>
      <c r="K341"/>
      <c r="L341"/>
      <c r="M341"/>
      <c r="N341"/>
      <c r="O341"/>
      <c r="P341"/>
      <c r="Q341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  <c r="AJ341"/>
      <c r="AK341"/>
      <c r="AL341"/>
      <c r="AM341"/>
      <c r="AN341"/>
      <c r="AO341"/>
      <c r="AP341"/>
      <c r="AQ341"/>
      <c r="AR341"/>
      <c r="AS341"/>
      <c r="AT341"/>
      <c r="AU341"/>
      <c r="AV341"/>
      <c r="AW341"/>
      <c r="AX341"/>
      <c r="AY341"/>
      <c r="AZ341"/>
      <c r="BA341"/>
      <c r="BB341"/>
      <c r="BC341"/>
      <c r="BD341"/>
      <c r="BE341"/>
      <c r="BF341"/>
      <c r="BG341"/>
      <c r="BH341"/>
      <c r="BI341"/>
      <c r="BJ341"/>
      <c r="BK341"/>
      <c r="BL341"/>
      <c r="BM341"/>
      <c r="BN341"/>
      <c r="BO341"/>
      <c r="BP341"/>
      <c r="BQ341"/>
      <c r="BR341"/>
      <c r="BS341"/>
      <c r="BT341"/>
      <c r="BU341"/>
      <c r="BV341"/>
      <c r="BW341"/>
      <c r="BX341"/>
      <c r="BY341"/>
      <c r="BZ341"/>
      <c r="CA341"/>
      <c r="CB341"/>
      <c r="CC341"/>
      <c r="CD341"/>
      <c r="CE341"/>
      <c r="CF341"/>
      <c r="CG341"/>
      <c r="CH341"/>
      <c r="CI341"/>
      <c r="CJ341"/>
      <c r="CK341"/>
      <c r="CL341"/>
      <c r="CM341"/>
      <c r="CN341"/>
      <c r="CO341"/>
      <c r="CP341"/>
      <c r="CQ341"/>
      <c r="CR341"/>
      <c r="CS341"/>
      <c r="CT341"/>
      <c r="CU341"/>
      <c r="CV341"/>
      <c r="CW341"/>
      <c r="CX341"/>
      <c r="CY341"/>
      <c r="CZ341"/>
      <c r="DA341"/>
      <c r="DB341"/>
      <c r="DC341"/>
      <c r="DD341"/>
      <c r="DE341"/>
      <c r="DF341"/>
    </row>
    <row r="342" spans="1:110" s="16" customFormat="1" x14ac:dyDescent="0.3">
      <c r="A342" t="s">
        <v>32</v>
      </c>
      <c r="B342" t="s">
        <v>290</v>
      </c>
      <c r="C342" t="s">
        <v>473</v>
      </c>
      <c r="D342" s="10">
        <f>D341-D341*inputs!$E$37</f>
        <v>0</v>
      </c>
      <c r="E342" t="str">
        <f t="shared" ca="1" si="5"/>
        <v>=D341-D341*inputs!$E$37</v>
      </c>
      <c r="F342"/>
      <c r="G342"/>
      <c r="H342"/>
      <c r="I342"/>
      <c r="J342"/>
      <c r="K342"/>
      <c r="L342"/>
      <c r="M342"/>
      <c r="N342"/>
      <c r="O342"/>
      <c r="P342"/>
      <c r="Q342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  <c r="AJ342"/>
      <c r="AK342"/>
      <c r="AL342"/>
      <c r="AM342"/>
      <c r="AN342"/>
      <c r="AO342"/>
      <c r="AP342"/>
      <c r="AQ342"/>
      <c r="AR342"/>
      <c r="AS342"/>
      <c r="AT342"/>
      <c r="AU342"/>
      <c r="AV342"/>
      <c r="AW342"/>
      <c r="AX342"/>
      <c r="AY342"/>
      <c r="AZ342"/>
      <c r="BA342"/>
      <c r="BB342"/>
      <c r="BC342"/>
      <c r="BD342"/>
      <c r="BE342"/>
      <c r="BF342"/>
      <c r="BG342"/>
      <c r="BH342"/>
      <c r="BI342"/>
      <c r="BJ342"/>
      <c r="BK342"/>
      <c r="BL342"/>
      <c r="BM342"/>
      <c r="BN342"/>
      <c r="BO342"/>
      <c r="BP342"/>
      <c r="BQ342"/>
      <c r="BR342"/>
      <c r="BS342"/>
      <c r="BT342"/>
      <c r="BU342"/>
      <c r="BV342"/>
      <c r="BW342"/>
      <c r="BX342"/>
      <c r="BY342"/>
      <c r="BZ342"/>
      <c r="CA342"/>
      <c r="CB342"/>
      <c r="CC342"/>
      <c r="CD342"/>
      <c r="CE342"/>
      <c r="CF342"/>
      <c r="CG342"/>
      <c r="CH342"/>
      <c r="CI342"/>
      <c r="CJ342"/>
      <c r="CK342"/>
      <c r="CL342"/>
      <c r="CM342"/>
      <c r="CN342"/>
      <c r="CO342"/>
      <c r="CP342"/>
      <c r="CQ342"/>
      <c r="CR342"/>
      <c r="CS342"/>
      <c r="CT342"/>
      <c r="CU342"/>
      <c r="CV342"/>
      <c r="CW342"/>
      <c r="CX342"/>
      <c r="CY342"/>
      <c r="CZ342"/>
      <c r="DA342"/>
      <c r="DB342"/>
      <c r="DC342"/>
      <c r="DD342"/>
      <c r="DE342"/>
      <c r="DF342"/>
    </row>
    <row r="343" spans="1:110" s="16" customFormat="1" x14ac:dyDescent="0.3">
      <c r="A343" t="s">
        <v>32</v>
      </c>
      <c r="B343" t="s">
        <v>290</v>
      </c>
      <c r="C343" t="s">
        <v>474</v>
      </c>
      <c r="D343" s="10">
        <f>D342-D342*inputs!$E$37</f>
        <v>0</v>
      </c>
      <c r="E343" t="str">
        <f t="shared" ca="1" si="5"/>
        <v>=D342-D342*inputs!$E$37</v>
      </c>
      <c r="F343"/>
      <c r="G343"/>
      <c r="H343"/>
      <c r="I343"/>
      <c r="J343"/>
      <c r="K343"/>
      <c r="L343"/>
      <c r="M343"/>
      <c r="N343"/>
      <c r="O343"/>
      <c r="P343"/>
      <c r="Q343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  <c r="AJ343"/>
      <c r="AK343"/>
      <c r="AL343"/>
      <c r="AM343"/>
      <c r="AN343"/>
      <c r="AO343"/>
      <c r="AP343"/>
      <c r="AQ343"/>
      <c r="AR343"/>
      <c r="AS343"/>
      <c r="AT343"/>
      <c r="AU343"/>
      <c r="AV343"/>
      <c r="AW343"/>
      <c r="AX343"/>
      <c r="AY343"/>
      <c r="AZ343"/>
      <c r="BA343"/>
      <c r="BB343"/>
      <c r="BC343"/>
      <c r="BD343"/>
      <c r="BE343"/>
      <c r="BF343"/>
      <c r="BG343"/>
      <c r="BH343"/>
      <c r="BI343"/>
      <c r="BJ343"/>
      <c r="BK343"/>
      <c r="BL343"/>
      <c r="BM343"/>
      <c r="BN343"/>
      <c r="BO343"/>
      <c r="BP343"/>
      <c r="BQ343"/>
      <c r="BR343"/>
      <c r="BS343"/>
      <c r="BT343"/>
      <c r="BU343"/>
      <c r="BV343"/>
      <c r="BW343"/>
      <c r="BX343"/>
      <c r="BY343"/>
      <c r="BZ343"/>
      <c r="CA343"/>
      <c r="CB343"/>
      <c r="CC343"/>
      <c r="CD343"/>
      <c r="CE343"/>
      <c r="CF343"/>
      <c r="CG343"/>
      <c r="CH343"/>
      <c r="CI343"/>
      <c r="CJ343"/>
      <c r="CK343"/>
      <c r="CL343"/>
      <c r="CM343"/>
      <c r="CN343"/>
      <c r="CO343"/>
      <c r="CP343"/>
      <c r="CQ343"/>
      <c r="CR343"/>
      <c r="CS343"/>
      <c r="CT343"/>
      <c r="CU343"/>
      <c r="CV343"/>
      <c r="CW343"/>
      <c r="CX343"/>
      <c r="CY343"/>
      <c r="CZ343"/>
      <c r="DA343"/>
      <c r="DB343"/>
      <c r="DC343"/>
      <c r="DD343"/>
      <c r="DE343"/>
      <c r="DF343"/>
    </row>
    <row r="344" spans="1:110" s="16" customFormat="1" x14ac:dyDescent="0.3">
      <c r="A344" t="s">
        <v>32</v>
      </c>
      <c r="B344" t="s">
        <v>290</v>
      </c>
      <c r="C344" t="s">
        <v>475</v>
      </c>
      <c r="D344" s="10">
        <f>D343-D343*inputs!$E$37</f>
        <v>0</v>
      </c>
      <c r="E344" t="str">
        <f t="shared" ref="E344:E407" ca="1" si="6">_xlfn.FORMULATEXT(D344)</f>
        <v>=D343-D343*inputs!$E$37</v>
      </c>
      <c r="F344"/>
      <c r="G344"/>
      <c r="H344"/>
      <c r="I344"/>
      <c r="J344"/>
      <c r="K344"/>
      <c r="L344"/>
      <c r="M344"/>
      <c r="N344"/>
      <c r="O344"/>
      <c r="P344"/>
      <c r="Q344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  <c r="AJ344"/>
      <c r="AK344"/>
      <c r="AL344"/>
      <c r="AM344"/>
      <c r="AN344"/>
      <c r="AO344"/>
      <c r="AP344"/>
      <c r="AQ344"/>
      <c r="AR344"/>
      <c r="AS344"/>
      <c r="AT344"/>
      <c r="AU344"/>
      <c r="AV344"/>
      <c r="AW344"/>
      <c r="AX344"/>
      <c r="AY344"/>
      <c r="AZ344"/>
      <c r="BA344"/>
      <c r="BB344"/>
      <c r="BC344"/>
      <c r="BD344"/>
      <c r="BE344"/>
      <c r="BF344"/>
      <c r="BG344"/>
      <c r="BH344"/>
      <c r="BI344"/>
      <c r="BJ344"/>
      <c r="BK344"/>
      <c r="BL344"/>
      <c r="BM344"/>
      <c r="BN344"/>
      <c r="BO344"/>
      <c r="BP344"/>
      <c r="BQ344"/>
      <c r="BR344"/>
      <c r="BS344"/>
      <c r="BT344"/>
      <c r="BU344"/>
      <c r="BV344"/>
      <c r="BW344"/>
      <c r="BX344"/>
      <c r="BY344"/>
      <c r="BZ344"/>
      <c r="CA344"/>
      <c r="CB344"/>
      <c r="CC344"/>
      <c r="CD344"/>
      <c r="CE344"/>
      <c r="CF344"/>
      <c r="CG344"/>
      <c r="CH344"/>
      <c r="CI344"/>
      <c r="CJ344"/>
      <c r="CK344"/>
      <c r="CL344"/>
      <c r="CM344"/>
      <c r="CN344"/>
      <c r="CO344"/>
      <c r="CP344"/>
      <c r="CQ344"/>
      <c r="CR344"/>
      <c r="CS344"/>
      <c r="CT344"/>
      <c r="CU344"/>
      <c r="CV344"/>
      <c r="CW344"/>
      <c r="CX344"/>
      <c r="CY344"/>
      <c r="CZ344"/>
      <c r="DA344"/>
      <c r="DB344"/>
      <c r="DC344"/>
      <c r="DD344"/>
      <c r="DE344"/>
      <c r="DF344"/>
    </row>
    <row r="345" spans="1:110" s="16" customFormat="1" x14ac:dyDescent="0.3">
      <c r="A345" t="s">
        <v>32</v>
      </c>
      <c r="B345" t="s">
        <v>290</v>
      </c>
      <c r="C345" t="s">
        <v>476</v>
      </c>
      <c r="D345" s="10">
        <f>D344-D344*inputs!$E$38</f>
        <v>0</v>
      </c>
      <c r="E345" t="str">
        <f t="shared" ca="1" si="6"/>
        <v>=D344-D344*inputs!$E$38</v>
      </c>
      <c r="F345"/>
      <c r="G345"/>
      <c r="H345"/>
      <c r="I345"/>
      <c r="J345"/>
      <c r="K345"/>
      <c r="L345"/>
      <c r="M345"/>
      <c r="N345"/>
      <c r="O345"/>
      <c r="P345"/>
      <c r="Q345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  <c r="AJ345"/>
      <c r="AK345"/>
      <c r="AL345"/>
      <c r="AM345"/>
      <c r="AN345"/>
      <c r="AO345"/>
      <c r="AP345"/>
      <c r="AQ345"/>
      <c r="AR345"/>
      <c r="AS345"/>
      <c r="AT345"/>
      <c r="AU345"/>
      <c r="AV345"/>
      <c r="AW345"/>
      <c r="AX345"/>
      <c r="AY345"/>
      <c r="AZ345"/>
      <c r="BA345"/>
      <c r="BB345"/>
      <c r="BC345"/>
      <c r="BD345"/>
      <c r="BE345"/>
      <c r="BF345"/>
      <c r="BG345"/>
      <c r="BH345"/>
      <c r="BI345"/>
      <c r="BJ345"/>
      <c r="BK345"/>
      <c r="BL345"/>
      <c r="BM345"/>
      <c r="BN345"/>
      <c r="BO345"/>
      <c r="BP345"/>
      <c r="BQ345"/>
      <c r="BR345"/>
      <c r="BS345"/>
      <c r="BT345"/>
      <c r="BU345"/>
      <c r="BV345"/>
      <c r="BW345"/>
      <c r="BX345"/>
      <c r="BY345"/>
      <c r="BZ345"/>
      <c r="CA345"/>
      <c r="CB345"/>
      <c r="CC345"/>
      <c r="CD345"/>
      <c r="CE345"/>
      <c r="CF345"/>
      <c r="CG345"/>
      <c r="CH345"/>
      <c r="CI345"/>
      <c r="CJ345"/>
      <c r="CK345"/>
      <c r="CL345"/>
      <c r="CM345"/>
      <c r="CN345"/>
      <c r="CO345"/>
      <c r="CP345"/>
      <c r="CQ345"/>
      <c r="CR345"/>
      <c r="CS345"/>
      <c r="CT345"/>
      <c r="CU345"/>
      <c r="CV345"/>
      <c r="CW345"/>
      <c r="CX345"/>
      <c r="CY345"/>
      <c r="CZ345"/>
      <c r="DA345"/>
      <c r="DB345"/>
      <c r="DC345"/>
      <c r="DD345"/>
      <c r="DE345"/>
      <c r="DF345"/>
    </row>
    <row r="346" spans="1:110" s="16" customFormat="1" x14ac:dyDescent="0.3">
      <c r="A346" t="s">
        <v>32</v>
      </c>
      <c r="B346" t="s">
        <v>290</v>
      </c>
      <c r="C346" t="s">
        <v>477</v>
      </c>
      <c r="D346" s="10">
        <f>D345-D345*inputs!$E$38</f>
        <v>0</v>
      </c>
      <c r="E346" t="str">
        <f t="shared" ca="1" si="6"/>
        <v>=D345-D345*inputs!$E$38</v>
      </c>
      <c r="F346"/>
      <c r="G346"/>
      <c r="H346"/>
      <c r="I346"/>
      <c r="J346"/>
      <c r="K346"/>
      <c r="L346"/>
      <c r="M346"/>
      <c r="N346"/>
      <c r="O346"/>
      <c r="P346"/>
      <c r="Q34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  <c r="AJ346"/>
      <c r="AK346"/>
      <c r="AL346"/>
      <c r="AM346"/>
      <c r="AN346"/>
      <c r="AO346"/>
      <c r="AP346"/>
      <c r="AQ346"/>
      <c r="AR346"/>
      <c r="AS346"/>
      <c r="AT346"/>
      <c r="AU346"/>
      <c r="AV346"/>
      <c r="AW346"/>
      <c r="AX346"/>
      <c r="AY346"/>
      <c r="AZ346"/>
      <c r="BA346"/>
      <c r="BB346"/>
      <c r="BC346"/>
      <c r="BD346"/>
      <c r="BE346"/>
      <c r="BF346"/>
      <c r="BG346"/>
      <c r="BH346"/>
      <c r="BI346"/>
      <c r="BJ346"/>
      <c r="BK346"/>
      <c r="BL346"/>
      <c r="BM346"/>
      <c r="BN346"/>
      <c r="BO346"/>
      <c r="BP346"/>
      <c r="BQ346"/>
      <c r="BR346"/>
      <c r="BS346"/>
      <c r="BT346"/>
      <c r="BU346"/>
      <c r="BV346"/>
      <c r="BW346"/>
      <c r="BX346"/>
      <c r="BY346"/>
      <c r="BZ346"/>
      <c r="CA346"/>
      <c r="CB346"/>
      <c r="CC346"/>
      <c r="CD346"/>
      <c r="CE346"/>
      <c r="CF346"/>
      <c r="CG346"/>
      <c r="CH346"/>
      <c r="CI346"/>
      <c r="CJ346"/>
      <c r="CK346"/>
      <c r="CL346"/>
      <c r="CM346"/>
      <c r="CN346"/>
      <c r="CO346"/>
      <c r="CP346"/>
      <c r="CQ346"/>
      <c r="CR346"/>
      <c r="CS346"/>
      <c r="CT346"/>
      <c r="CU346"/>
      <c r="CV346"/>
      <c r="CW346"/>
      <c r="CX346"/>
      <c r="CY346"/>
      <c r="CZ346"/>
      <c r="DA346"/>
      <c r="DB346"/>
      <c r="DC346"/>
      <c r="DD346"/>
      <c r="DE346"/>
      <c r="DF346"/>
    </row>
    <row r="347" spans="1:110" s="16" customFormat="1" x14ac:dyDescent="0.3">
      <c r="A347" t="s">
        <v>32</v>
      </c>
      <c r="B347" t="s">
        <v>290</v>
      </c>
      <c r="C347" t="s">
        <v>478</v>
      </c>
      <c r="D347" s="10">
        <f>D346-D346*inputs!$E$38</f>
        <v>0</v>
      </c>
      <c r="E347" t="str">
        <f t="shared" ca="1" si="6"/>
        <v>=D346-D346*inputs!$E$38</v>
      </c>
      <c r="F347"/>
      <c r="G347"/>
      <c r="H347"/>
      <c r="I347"/>
      <c r="J347"/>
      <c r="K347"/>
      <c r="L347"/>
      <c r="M347"/>
      <c r="N347"/>
      <c r="O347"/>
      <c r="P347"/>
      <c r="Q347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  <c r="AJ347"/>
      <c r="AK347"/>
      <c r="AL347"/>
      <c r="AM347"/>
      <c r="AN347"/>
      <c r="AO347"/>
      <c r="AP347"/>
      <c r="AQ347"/>
      <c r="AR347"/>
      <c r="AS347"/>
      <c r="AT347"/>
      <c r="AU347"/>
      <c r="AV347"/>
      <c r="AW347"/>
      <c r="AX347"/>
      <c r="AY347"/>
      <c r="AZ347"/>
      <c r="BA347"/>
      <c r="BB347"/>
      <c r="BC347"/>
      <c r="BD347"/>
      <c r="BE347"/>
      <c r="BF347"/>
      <c r="BG347"/>
      <c r="BH347"/>
      <c r="BI347"/>
      <c r="BJ347"/>
      <c r="BK347"/>
      <c r="BL347"/>
      <c r="BM347"/>
      <c r="BN347"/>
      <c r="BO347"/>
      <c r="BP347"/>
      <c r="BQ347"/>
      <c r="BR347"/>
      <c r="BS347"/>
      <c r="BT347"/>
      <c r="BU347"/>
      <c r="BV347"/>
      <c r="BW347"/>
      <c r="BX347"/>
      <c r="BY347"/>
      <c r="BZ347"/>
      <c r="CA347"/>
      <c r="CB347"/>
      <c r="CC347"/>
      <c r="CD347"/>
      <c r="CE347"/>
      <c r="CF347"/>
      <c r="CG347"/>
      <c r="CH347"/>
      <c r="CI347"/>
      <c r="CJ347"/>
      <c r="CK347"/>
      <c r="CL347"/>
      <c r="CM347"/>
      <c r="CN347"/>
      <c r="CO347"/>
      <c r="CP347"/>
      <c r="CQ347"/>
      <c r="CR347"/>
      <c r="CS347"/>
      <c r="CT347"/>
      <c r="CU347"/>
      <c r="CV347"/>
      <c r="CW347"/>
      <c r="CX347"/>
      <c r="CY347"/>
      <c r="CZ347"/>
      <c r="DA347"/>
      <c r="DB347"/>
      <c r="DC347"/>
      <c r="DD347"/>
      <c r="DE347"/>
      <c r="DF347"/>
    </row>
    <row r="348" spans="1:110" s="16" customFormat="1" x14ac:dyDescent="0.3">
      <c r="A348" t="s">
        <v>32</v>
      </c>
      <c r="B348" t="s">
        <v>290</v>
      </c>
      <c r="C348" t="s">
        <v>479</v>
      </c>
      <c r="D348" s="10">
        <f>D347-D347*inputs!$E$38</f>
        <v>0</v>
      </c>
      <c r="E348" t="str">
        <f t="shared" ca="1" si="6"/>
        <v>=D347-D347*inputs!$E$38</v>
      </c>
      <c r="F348"/>
      <c r="G348"/>
      <c r="H348"/>
      <c r="I348"/>
      <c r="J348"/>
      <c r="K348"/>
      <c r="L348"/>
      <c r="M348"/>
      <c r="N348"/>
      <c r="O348"/>
      <c r="P348"/>
      <c r="Q348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  <c r="AJ348"/>
      <c r="AK348"/>
      <c r="AL348"/>
      <c r="AM348"/>
      <c r="AN348"/>
      <c r="AO348"/>
      <c r="AP348"/>
      <c r="AQ348"/>
      <c r="AR348"/>
      <c r="AS348"/>
      <c r="AT348"/>
      <c r="AU348"/>
      <c r="AV348"/>
      <c r="AW348"/>
      <c r="AX348"/>
      <c r="AY348"/>
      <c r="AZ348"/>
      <c r="BA348"/>
      <c r="BB348"/>
      <c r="BC348"/>
      <c r="BD348"/>
      <c r="BE348"/>
      <c r="BF348"/>
      <c r="BG348"/>
      <c r="BH348"/>
      <c r="BI348"/>
      <c r="BJ348"/>
      <c r="BK348"/>
      <c r="BL348"/>
      <c r="BM348"/>
      <c r="BN348"/>
      <c r="BO348"/>
      <c r="BP348"/>
      <c r="BQ348"/>
      <c r="BR348"/>
      <c r="BS348"/>
      <c r="BT348"/>
      <c r="BU348"/>
      <c r="BV348"/>
      <c r="BW348"/>
      <c r="BX348"/>
      <c r="BY348"/>
      <c r="BZ348"/>
      <c r="CA348"/>
      <c r="CB348"/>
      <c r="CC348"/>
      <c r="CD348"/>
      <c r="CE348"/>
      <c r="CF348"/>
      <c r="CG348"/>
      <c r="CH348"/>
      <c r="CI348"/>
      <c r="CJ348"/>
      <c r="CK348"/>
      <c r="CL348"/>
      <c r="CM348"/>
      <c r="CN348"/>
      <c r="CO348"/>
      <c r="CP348"/>
      <c r="CQ348"/>
      <c r="CR348"/>
      <c r="CS348"/>
      <c r="CT348"/>
      <c r="CU348"/>
      <c r="CV348"/>
      <c r="CW348"/>
      <c r="CX348"/>
      <c r="CY348"/>
      <c r="CZ348"/>
      <c r="DA348"/>
      <c r="DB348"/>
      <c r="DC348"/>
      <c r="DD348"/>
      <c r="DE348"/>
      <c r="DF348"/>
    </row>
    <row r="349" spans="1:110" s="16" customFormat="1" x14ac:dyDescent="0.3">
      <c r="A349" t="s">
        <v>32</v>
      </c>
      <c r="B349" t="s">
        <v>290</v>
      </c>
      <c r="C349" t="s">
        <v>480</v>
      </c>
      <c r="D349" s="10">
        <f>D348-D348*inputs!$E$38</f>
        <v>0</v>
      </c>
      <c r="E349" t="str">
        <f t="shared" ca="1" si="6"/>
        <v>=D348-D348*inputs!$E$38</v>
      </c>
      <c r="F349"/>
      <c r="G349"/>
      <c r="H349"/>
      <c r="I349"/>
      <c r="J349"/>
      <c r="K349"/>
      <c r="L349"/>
      <c r="M349"/>
      <c r="N349"/>
      <c r="O349"/>
      <c r="P349"/>
      <c r="Q349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  <c r="AJ349"/>
      <c r="AK349"/>
      <c r="AL349"/>
      <c r="AM349"/>
      <c r="AN349"/>
      <c r="AO349"/>
      <c r="AP349"/>
      <c r="AQ349"/>
      <c r="AR349"/>
      <c r="AS349"/>
      <c r="AT349"/>
      <c r="AU349"/>
      <c r="AV349"/>
      <c r="AW349"/>
      <c r="AX349"/>
      <c r="AY349"/>
      <c r="AZ349"/>
      <c r="BA349"/>
      <c r="BB349"/>
      <c r="BC349"/>
      <c r="BD349"/>
      <c r="BE349"/>
      <c r="BF349"/>
      <c r="BG349"/>
      <c r="BH349"/>
      <c r="BI349"/>
      <c r="BJ349"/>
      <c r="BK349"/>
      <c r="BL349"/>
      <c r="BM349"/>
      <c r="BN349"/>
      <c r="BO349"/>
      <c r="BP349"/>
      <c r="BQ349"/>
      <c r="BR349"/>
      <c r="BS349"/>
      <c r="BT349"/>
      <c r="BU349"/>
      <c r="BV349"/>
      <c r="BW349"/>
      <c r="BX349"/>
      <c r="BY349"/>
      <c r="BZ349"/>
      <c r="CA349"/>
      <c r="CB349"/>
      <c r="CC349"/>
      <c r="CD349"/>
      <c r="CE349"/>
      <c r="CF349"/>
      <c r="CG349"/>
      <c r="CH349"/>
      <c r="CI349"/>
      <c r="CJ349"/>
      <c r="CK349"/>
      <c r="CL349"/>
      <c r="CM349"/>
      <c r="CN349"/>
      <c r="CO349"/>
      <c r="CP349"/>
      <c r="CQ349"/>
      <c r="CR349"/>
      <c r="CS349"/>
      <c r="CT349"/>
      <c r="CU349"/>
      <c r="CV349"/>
      <c r="CW349"/>
      <c r="CX349"/>
      <c r="CY349"/>
      <c r="CZ349"/>
      <c r="DA349"/>
      <c r="DB349"/>
      <c r="DC349"/>
      <c r="DD349"/>
      <c r="DE349"/>
      <c r="DF349"/>
    </row>
    <row r="350" spans="1:110" s="16" customFormat="1" x14ac:dyDescent="0.3">
      <c r="A350" t="s">
        <v>32</v>
      </c>
      <c r="B350" t="s">
        <v>290</v>
      </c>
      <c r="C350" t="s">
        <v>481</v>
      </c>
      <c r="D350" s="10">
        <f>D349-D349*inputs!$E$38</f>
        <v>0</v>
      </c>
      <c r="E350" t="str">
        <f t="shared" ca="1" si="6"/>
        <v>=D349-D349*inputs!$E$38</v>
      </c>
      <c r="F350"/>
      <c r="G350"/>
      <c r="H350"/>
      <c r="I350"/>
      <c r="J350"/>
      <c r="K350"/>
      <c r="L350"/>
      <c r="M350"/>
      <c r="N350"/>
      <c r="O350"/>
      <c r="P350"/>
      <c r="Q350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  <c r="AJ350"/>
      <c r="AK350"/>
      <c r="AL350"/>
      <c r="AM350"/>
      <c r="AN350"/>
      <c r="AO350"/>
      <c r="AP350"/>
      <c r="AQ350"/>
      <c r="AR350"/>
      <c r="AS350"/>
      <c r="AT350"/>
      <c r="AU350"/>
      <c r="AV350"/>
      <c r="AW350"/>
      <c r="AX350"/>
      <c r="AY350"/>
      <c r="AZ350"/>
      <c r="BA350"/>
      <c r="BB350"/>
      <c r="BC350"/>
      <c r="BD350"/>
      <c r="BE350"/>
      <c r="BF350"/>
      <c r="BG350"/>
      <c r="BH350"/>
      <c r="BI350"/>
      <c r="BJ350"/>
      <c r="BK350"/>
      <c r="BL350"/>
      <c r="BM350"/>
      <c r="BN350"/>
      <c r="BO350"/>
      <c r="BP350"/>
      <c r="BQ350"/>
      <c r="BR350"/>
      <c r="BS350"/>
      <c r="BT350"/>
      <c r="BU350"/>
      <c r="BV350"/>
      <c r="BW350"/>
      <c r="BX350"/>
      <c r="BY350"/>
      <c r="BZ350"/>
      <c r="CA350"/>
      <c r="CB350"/>
      <c r="CC350"/>
      <c r="CD350"/>
      <c r="CE350"/>
      <c r="CF350"/>
      <c r="CG350"/>
      <c r="CH350"/>
      <c r="CI350"/>
      <c r="CJ350"/>
      <c r="CK350"/>
      <c r="CL350"/>
      <c r="CM350"/>
      <c r="CN350"/>
      <c r="CO350"/>
      <c r="CP350"/>
      <c r="CQ350"/>
      <c r="CR350"/>
      <c r="CS350"/>
      <c r="CT350"/>
      <c r="CU350"/>
      <c r="CV350"/>
      <c r="CW350"/>
      <c r="CX350"/>
      <c r="CY350"/>
      <c r="CZ350"/>
      <c r="DA350"/>
      <c r="DB350"/>
      <c r="DC350"/>
      <c r="DD350"/>
      <c r="DE350"/>
      <c r="DF350"/>
    </row>
    <row r="351" spans="1:110" s="16" customFormat="1" x14ac:dyDescent="0.3">
      <c r="A351" t="s">
        <v>32</v>
      </c>
      <c r="B351" t="s">
        <v>290</v>
      </c>
      <c r="C351" t="s">
        <v>482</v>
      </c>
      <c r="D351" s="10">
        <f>D350-D350*inputs!$E$38</f>
        <v>0</v>
      </c>
      <c r="E351" t="str">
        <f t="shared" ca="1" si="6"/>
        <v>=D350-D350*inputs!$E$38</v>
      </c>
      <c r="F351"/>
      <c r="G351"/>
      <c r="H351"/>
      <c r="I351"/>
      <c r="J351"/>
      <c r="K351"/>
      <c r="L351"/>
      <c r="M351"/>
      <c r="N351"/>
      <c r="O351"/>
      <c r="P351"/>
      <c r="Q351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  <c r="AJ351"/>
      <c r="AK351"/>
      <c r="AL351"/>
      <c r="AM351"/>
      <c r="AN351"/>
      <c r="AO351"/>
      <c r="AP351"/>
      <c r="AQ351"/>
      <c r="AR351"/>
      <c r="AS351"/>
      <c r="AT351"/>
      <c r="AU351"/>
      <c r="AV351"/>
      <c r="AW351"/>
      <c r="AX351"/>
      <c r="AY351"/>
      <c r="AZ351"/>
      <c r="BA351"/>
      <c r="BB351"/>
      <c r="BC351"/>
      <c r="BD351"/>
      <c r="BE351"/>
      <c r="BF351"/>
      <c r="BG351"/>
      <c r="BH351"/>
      <c r="BI351"/>
      <c r="BJ351"/>
      <c r="BK351"/>
      <c r="BL351"/>
      <c r="BM351"/>
      <c r="BN351"/>
      <c r="BO351"/>
      <c r="BP351"/>
      <c r="BQ351"/>
      <c r="BR351"/>
      <c r="BS351"/>
      <c r="BT351"/>
      <c r="BU351"/>
      <c r="BV351"/>
      <c r="BW351"/>
      <c r="BX351"/>
      <c r="BY351"/>
      <c r="BZ351"/>
      <c r="CA351"/>
      <c r="CB351"/>
      <c r="CC351"/>
      <c r="CD351"/>
      <c r="CE351"/>
      <c r="CF351"/>
      <c r="CG351"/>
      <c r="CH351"/>
      <c r="CI351"/>
      <c r="CJ351"/>
      <c r="CK351"/>
      <c r="CL351"/>
      <c r="CM351"/>
      <c r="CN351"/>
      <c r="CO351"/>
      <c r="CP351"/>
      <c r="CQ351"/>
      <c r="CR351"/>
      <c r="CS351"/>
      <c r="CT351"/>
      <c r="CU351"/>
      <c r="CV351"/>
      <c r="CW351"/>
      <c r="CX351"/>
      <c r="CY351"/>
      <c r="CZ351"/>
      <c r="DA351"/>
      <c r="DB351"/>
      <c r="DC351"/>
      <c r="DD351"/>
      <c r="DE351"/>
      <c r="DF351"/>
    </row>
    <row r="352" spans="1:110" s="16" customFormat="1" x14ac:dyDescent="0.3">
      <c r="A352" t="s">
        <v>32</v>
      </c>
      <c r="B352" t="s">
        <v>290</v>
      </c>
      <c r="C352" t="s">
        <v>483</v>
      </c>
      <c r="D352" s="10">
        <f>D351-D351*inputs!$E$38</f>
        <v>0</v>
      </c>
      <c r="E352" t="str">
        <f t="shared" ca="1" si="6"/>
        <v>=D351-D351*inputs!$E$38</v>
      </c>
      <c r="F352"/>
      <c r="G352"/>
      <c r="H352"/>
      <c r="I352"/>
      <c r="J352"/>
      <c r="K352"/>
      <c r="L352"/>
      <c r="M352"/>
      <c r="N352"/>
      <c r="O352"/>
      <c r="P352"/>
      <c r="Q352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  <c r="AJ352"/>
      <c r="AK352"/>
      <c r="AL352"/>
      <c r="AM352"/>
      <c r="AN352"/>
      <c r="AO352"/>
      <c r="AP352"/>
      <c r="AQ352"/>
      <c r="AR352"/>
      <c r="AS352"/>
      <c r="AT352"/>
      <c r="AU352"/>
      <c r="AV352"/>
      <c r="AW352"/>
      <c r="AX352"/>
      <c r="AY352"/>
      <c r="AZ352"/>
      <c r="BA352"/>
      <c r="BB352"/>
      <c r="BC352"/>
      <c r="BD352"/>
      <c r="BE352"/>
      <c r="BF352"/>
      <c r="BG352"/>
      <c r="BH352"/>
      <c r="BI352"/>
      <c r="BJ352"/>
      <c r="BK352"/>
      <c r="BL352"/>
      <c r="BM352"/>
      <c r="BN352"/>
      <c r="BO352"/>
      <c r="BP352"/>
      <c r="BQ352"/>
      <c r="BR352"/>
      <c r="BS352"/>
      <c r="BT352"/>
      <c r="BU352"/>
      <c r="BV352"/>
      <c r="BW352"/>
      <c r="BX352"/>
      <c r="BY352"/>
      <c r="BZ352"/>
      <c r="CA352"/>
      <c r="CB352"/>
      <c r="CC352"/>
      <c r="CD352"/>
      <c r="CE352"/>
      <c r="CF352"/>
      <c r="CG352"/>
      <c r="CH352"/>
      <c r="CI352"/>
      <c r="CJ352"/>
      <c r="CK352"/>
      <c r="CL352"/>
      <c r="CM352"/>
      <c r="CN352"/>
      <c r="CO352"/>
      <c r="CP352"/>
      <c r="CQ352"/>
      <c r="CR352"/>
      <c r="CS352"/>
      <c r="CT352"/>
      <c r="CU352"/>
      <c r="CV352"/>
      <c r="CW352"/>
      <c r="CX352"/>
      <c r="CY352"/>
      <c r="CZ352"/>
      <c r="DA352"/>
      <c r="DB352"/>
      <c r="DC352"/>
      <c r="DD352"/>
      <c r="DE352"/>
      <c r="DF352"/>
    </row>
    <row r="353" spans="1:110" s="16" customFormat="1" x14ac:dyDescent="0.3">
      <c r="A353" t="s">
        <v>32</v>
      </c>
      <c r="B353" t="s">
        <v>290</v>
      </c>
      <c r="C353" t="s">
        <v>484</v>
      </c>
      <c r="D353" s="10">
        <f>D352-D352*inputs!$E$38</f>
        <v>0</v>
      </c>
      <c r="E353" t="str">
        <f t="shared" ca="1" si="6"/>
        <v>=D352-D352*inputs!$E$38</v>
      </c>
      <c r="F353"/>
      <c r="G353"/>
      <c r="H353"/>
      <c r="I353"/>
      <c r="J353"/>
      <c r="K353"/>
      <c r="L353"/>
      <c r="M353"/>
      <c r="N353"/>
      <c r="O353"/>
      <c r="P353"/>
      <c r="Q353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  <c r="AJ353"/>
      <c r="AK353"/>
      <c r="AL353"/>
      <c r="AM353"/>
      <c r="AN353"/>
      <c r="AO353"/>
      <c r="AP353"/>
      <c r="AQ353"/>
      <c r="AR353"/>
      <c r="AS353"/>
      <c r="AT353"/>
      <c r="AU353"/>
      <c r="AV353"/>
      <c r="AW353"/>
      <c r="AX353"/>
      <c r="AY353"/>
      <c r="AZ353"/>
      <c r="BA353"/>
      <c r="BB353"/>
      <c r="BC353"/>
      <c r="BD353"/>
      <c r="BE353"/>
      <c r="BF353"/>
      <c r="BG353"/>
      <c r="BH353"/>
      <c r="BI353"/>
      <c r="BJ353"/>
      <c r="BK353"/>
      <c r="BL353"/>
      <c r="BM353"/>
      <c r="BN353"/>
      <c r="BO353"/>
      <c r="BP353"/>
      <c r="BQ353"/>
      <c r="BR353"/>
      <c r="BS353"/>
      <c r="BT353"/>
      <c r="BU353"/>
      <c r="BV353"/>
      <c r="BW353"/>
      <c r="BX353"/>
      <c r="BY353"/>
      <c r="BZ353"/>
      <c r="CA353"/>
      <c r="CB353"/>
      <c r="CC353"/>
      <c r="CD353"/>
      <c r="CE353"/>
      <c r="CF353"/>
      <c r="CG353"/>
      <c r="CH353"/>
      <c r="CI353"/>
      <c r="CJ353"/>
      <c r="CK353"/>
      <c r="CL353"/>
      <c r="CM353"/>
      <c r="CN353"/>
      <c r="CO353"/>
      <c r="CP353"/>
      <c r="CQ353"/>
      <c r="CR353"/>
      <c r="CS353"/>
      <c r="CT353"/>
      <c r="CU353"/>
      <c r="CV353"/>
      <c r="CW353"/>
      <c r="CX353"/>
      <c r="CY353"/>
      <c r="CZ353"/>
      <c r="DA353"/>
      <c r="DB353"/>
      <c r="DC353"/>
      <c r="DD353"/>
      <c r="DE353"/>
      <c r="DF353"/>
    </row>
    <row r="354" spans="1:110" s="16" customFormat="1" x14ac:dyDescent="0.3">
      <c r="A354" t="s">
        <v>32</v>
      </c>
      <c r="B354" t="s">
        <v>290</v>
      </c>
      <c r="C354" t="s">
        <v>485</v>
      </c>
      <c r="D354" s="10">
        <f>D353-D353*inputs!$E$38</f>
        <v>0</v>
      </c>
      <c r="E354" t="str">
        <f t="shared" ca="1" si="6"/>
        <v>=D353-D353*inputs!$E$38</v>
      </c>
      <c r="F354"/>
      <c r="G354"/>
      <c r="H354"/>
      <c r="I354"/>
      <c r="J354"/>
      <c r="K354"/>
      <c r="L354"/>
      <c r="M354"/>
      <c r="N354"/>
      <c r="O354"/>
      <c r="P354"/>
      <c r="Q354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  <c r="AJ354"/>
      <c r="AK354"/>
      <c r="AL354"/>
      <c r="AM354"/>
      <c r="AN354"/>
      <c r="AO354"/>
      <c r="AP354"/>
      <c r="AQ354"/>
      <c r="AR354"/>
      <c r="AS354"/>
      <c r="AT354"/>
      <c r="AU354"/>
      <c r="AV354"/>
      <c r="AW354"/>
      <c r="AX354"/>
      <c r="AY354"/>
      <c r="AZ354"/>
      <c r="BA354"/>
      <c r="BB354"/>
      <c r="BC354"/>
      <c r="BD354"/>
      <c r="BE354"/>
      <c r="BF354"/>
      <c r="BG354"/>
      <c r="BH354"/>
      <c r="BI354"/>
      <c r="BJ354"/>
      <c r="BK354"/>
      <c r="BL354"/>
      <c r="BM354"/>
      <c r="BN354"/>
      <c r="BO354"/>
      <c r="BP354"/>
      <c r="BQ354"/>
      <c r="BR354"/>
      <c r="BS354"/>
      <c r="BT354"/>
      <c r="BU354"/>
      <c r="BV354"/>
      <c r="BW354"/>
      <c r="BX354"/>
      <c r="BY354"/>
      <c r="BZ354"/>
      <c r="CA354"/>
      <c r="CB354"/>
      <c r="CC354"/>
      <c r="CD354"/>
      <c r="CE354"/>
      <c r="CF354"/>
      <c r="CG354"/>
      <c r="CH354"/>
      <c r="CI354"/>
      <c r="CJ354"/>
      <c r="CK354"/>
      <c r="CL354"/>
      <c r="CM354"/>
      <c r="CN354"/>
      <c r="CO354"/>
      <c r="CP354"/>
      <c r="CQ354"/>
      <c r="CR354"/>
      <c r="CS354"/>
      <c r="CT354"/>
      <c r="CU354"/>
      <c r="CV354"/>
      <c r="CW354"/>
      <c r="CX354"/>
      <c r="CY354"/>
      <c r="CZ354"/>
      <c r="DA354"/>
      <c r="DB354"/>
      <c r="DC354"/>
      <c r="DD354"/>
      <c r="DE354"/>
      <c r="DF354"/>
    </row>
    <row r="355" spans="1:110" s="14" customFormat="1" x14ac:dyDescent="0.3">
      <c r="A355" t="s">
        <v>32</v>
      </c>
      <c r="B355" t="s">
        <v>190</v>
      </c>
      <c r="C355" t="s">
        <v>494</v>
      </c>
      <c r="D355" s="10">
        <f>$D$150*inputs!E72</f>
        <v>145223.46617070577</v>
      </c>
      <c r="E355" t="str">
        <f ca="1">_xlfn.FORMULATEXT(D355)</f>
        <v>=$D$150*inputs!E72</v>
      </c>
      <c r="F355" t="s">
        <v>819</v>
      </c>
      <c r="G355"/>
      <c r="H355"/>
      <c r="I355"/>
      <c r="J355"/>
      <c r="K355"/>
      <c r="L355"/>
      <c r="M355"/>
      <c r="N355"/>
      <c r="O355"/>
      <c r="P355"/>
      <c r="Q355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  <c r="AJ355"/>
      <c r="AK355"/>
      <c r="AL355"/>
      <c r="AM355"/>
      <c r="AN355"/>
      <c r="AO355"/>
      <c r="AP355"/>
      <c r="AQ355"/>
      <c r="AR355"/>
      <c r="AS355"/>
      <c r="AT355"/>
      <c r="AU355"/>
      <c r="AV355"/>
      <c r="AW355"/>
      <c r="AX355"/>
      <c r="AY355"/>
      <c r="AZ355"/>
      <c r="BA355"/>
      <c r="BB355"/>
      <c r="BC355"/>
      <c r="BD355"/>
      <c r="BE355"/>
      <c r="BF355"/>
      <c r="BG355"/>
      <c r="BH355"/>
      <c r="BI355"/>
      <c r="BJ355"/>
      <c r="BK355"/>
      <c r="BL355"/>
      <c r="BM355"/>
      <c r="BN355"/>
      <c r="BO355"/>
      <c r="BP355"/>
      <c r="BQ355"/>
      <c r="BR355"/>
      <c r="BS355"/>
      <c r="BT355"/>
      <c r="BU355"/>
      <c r="BV355"/>
      <c r="BW355"/>
      <c r="BX355"/>
      <c r="BY355"/>
      <c r="BZ355"/>
      <c r="CA355"/>
      <c r="CB355"/>
      <c r="CC355"/>
      <c r="CD355"/>
      <c r="CE355"/>
      <c r="CF355"/>
      <c r="CG355"/>
      <c r="CH355"/>
      <c r="CI355"/>
      <c r="CJ355"/>
      <c r="CK355"/>
      <c r="CL355"/>
      <c r="CM355"/>
      <c r="CN355"/>
      <c r="CO355"/>
      <c r="CP355"/>
      <c r="CQ355"/>
      <c r="CR355"/>
      <c r="CS355"/>
      <c r="CT355"/>
      <c r="CU355"/>
      <c r="CV355"/>
      <c r="CW355"/>
      <c r="CX355"/>
      <c r="CY355"/>
      <c r="CZ355"/>
      <c r="DA355"/>
      <c r="DB355"/>
      <c r="DC355"/>
      <c r="DD355"/>
      <c r="DE355"/>
      <c r="DF355"/>
    </row>
    <row r="356" spans="1:110" s="16" customFormat="1" x14ac:dyDescent="0.3">
      <c r="A356" t="s">
        <v>32</v>
      </c>
      <c r="B356" t="s">
        <v>190</v>
      </c>
      <c r="C356" t="s">
        <v>496</v>
      </c>
      <c r="D356" s="10">
        <f>(D202*inputs!$E$75)/(inputs!$E$31)^inputs!E100</f>
        <v>1792.1981841532984</v>
      </c>
      <c r="E356" t="str">
        <f t="shared" ca="1" si="6"/>
        <v>=(D202*inputs!$E$75)/(inputs!$E$31)^inputs!E100</v>
      </c>
      <c r="F356" t="s">
        <v>820</v>
      </c>
      <c r="G356"/>
      <c r="H356"/>
      <c r="I356"/>
      <c r="J356"/>
      <c r="K356"/>
      <c r="L356"/>
      <c r="M356"/>
      <c r="N356"/>
      <c r="O356"/>
      <c r="P356"/>
      <c r="Q35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  <c r="AJ356"/>
      <c r="AK356"/>
      <c r="AL356"/>
      <c r="AM356"/>
      <c r="AN356"/>
      <c r="AO356"/>
      <c r="AP356"/>
      <c r="AQ356"/>
      <c r="AR356"/>
      <c r="AS356"/>
      <c r="AT356"/>
      <c r="AU356"/>
      <c r="AV356"/>
      <c r="AW356"/>
      <c r="AX356"/>
      <c r="AY356"/>
      <c r="AZ356"/>
      <c r="BA356"/>
      <c r="BB356"/>
      <c r="BC356"/>
      <c r="BD356"/>
      <c r="BE356"/>
      <c r="BF356"/>
      <c r="BG356"/>
      <c r="BH356"/>
      <c r="BI356"/>
      <c r="BJ356"/>
      <c r="BK356"/>
      <c r="BL356"/>
      <c r="BM356"/>
      <c r="BN356"/>
      <c r="BO356"/>
      <c r="BP356"/>
      <c r="BQ356"/>
      <c r="BR356"/>
      <c r="BS356"/>
      <c r="BT356"/>
      <c r="BU356"/>
      <c r="BV356"/>
      <c r="BW356"/>
      <c r="BX356"/>
      <c r="BY356"/>
      <c r="BZ356"/>
      <c r="CA356"/>
      <c r="CB356"/>
      <c r="CC356"/>
      <c r="CD356"/>
      <c r="CE356"/>
      <c r="CF356"/>
      <c r="CG356"/>
      <c r="CH356"/>
      <c r="CI356"/>
      <c r="CJ356"/>
      <c r="CK356"/>
      <c r="CL356"/>
      <c r="CM356"/>
      <c r="CN356"/>
      <c r="CO356"/>
      <c r="CP356"/>
      <c r="CQ356"/>
      <c r="CR356"/>
      <c r="CS356"/>
      <c r="CT356"/>
      <c r="CU356"/>
      <c r="CV356"/>
      <c r="CW356"/>
      <c r="CX356"/>
      <c r="CY356"/>
      <c r="CZ356"/>
      <c r="DA356"/>
      <c r="DB356"/>
      <c r="DC356"/>
      <c r="DD356"/>
      <c r="DE356"/>
      <c r="DF356"/>
    </row>
    <row r="357" spans="1:110" s="16" customFormat="1" x14ac:dyDescent="0.3">
      <c r="A357" t="s">
        <v>32</v>
      </c>
      <c r="B357" t="s">
        <v>190</v>
      </c>
      <c r="C357" t="s">
        <v>497</v>
      </c>
      <c r="D357" s="10">
        <f>(D203*inputs!$E$75)/(inputs!$E$31)^inputs!E101</f>
        <v>1739.4762375709249</v>
      </c>
      <c r="E357" t="str">
        <f t="shared" ca="1" si="6"/>
        <v>=(D203*inputs!$E$75)/(inputs!$E$31)^inputs!E101</v>
      </c>
      <c r="F357"/>
      <c r="G357"/>
      <c r="H357"/>
      <c r="I357"/>
      <c r="J357"/>
      <c r="K357"/>
      <c r="L357"/>
      <c r="M357"/>
      <c r="N357"/>
      <c r="O357"/>
      <c r="P357"/>
      <c r="Q357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  <c r="AJ357"/>
      <c r="AK357"/>
      <c r="AL357"/>
      <c r="AM357"/>
      <c r="AN357"/>
      <c r="AO357"/>
      <c r="AP357"/>
      <c r="AQ357"/>
      <c r="AR357"/>
      <c r="AS357"/>
      <c r="AT357"/>
      <c r="AU357"/>
      <c r="AV357"/>
      <c r="AW357"/>
      <c r="AX357"/>
      <c r="AY357"/>
      <c r="AZ357"/>
      <c r="BA357"/>
      <c r="BB357"/>
      <c r="BC357"/>
      <c r="BD357"/>
      <c r="BE357"/>
      <c r="BF357"/>
      <c r="BG357"/>
      <c r="BH357"/>
      <c r="BI357"/>
      <c r="BJ357"/>
      <c r="BK357"/>
      <c r="BL357"/>
      <c r="BM357"/>
      <c r="BN357"/>
      <c r="BO357"/>
      <c r="BP357"/>
      <c r="BQ357"/>
      <c r="BR357"/>
      <c r="BS357"/>
      <c r="BT357"/>
      <c r="BU357"/>
      <c r="BV357"/>
      <c r="BW357"/>
      <c r="BX357"/>
      <c r="BY357"/>
      <c r="BZ357"/>
      <c r="CA357"/>
      <c r="CB357"/>
      <c r="CC357"/>
      <c r="CD357"/>
      <c r="CE357"/>
      <c r="CF357"/>
      <c r="CG357"/>
      <c r="CH357"/>
      <c r="CI357"/>
      <c r="CJ357"/>
      <c r="CK357"/>
      <c r="CL357"/>
      <c r="CM357"/>
      <c r="CN357"/>
      <c r="CO357"/>
      <c r="CP357"/>
      <c r="CQ357"/>
      <c r="CR357"/>
      <c r="CS357"/>
      <c r="CT357"/>
      <c r="CU357"/>
      <c r="CV357"/>
      <c r="CW357"/>
      <c r="CX357"/>
      <c r="CY357"/>
      <c r="CZ357"/>
      <c r="DA357"/>
      <c r="DB357"/>
      <c r="DC357"/>
      <c r="DD357"/>
      <c r="DE357"/>
      <c r="DF357"/>
    </row>
    <row r="358" spans="1:110" s="16" customFormat="1" x14ac:dyDescent="0.3">
      <c r="A358" t="s">
        <v>32</v>
      </c>
      <c r="B358" t="s">
        <v>190</v>
      </c>
      <c r="C358" t="s">
        <v>498</v>
      </c>
      <c r="D358" s="10">
        <f>(D204*inputs!$E$75)/(inputs!$E$31)^inputs!E102</f>
        <v>1688.3052375724794</v>
      </c>
      <c r="E358" t="str">
        <f t="shared" ca="1" si="6"/>
        <v>=(D204*inputs!$E$75)/(inputs!$E$31)^inputs!E102</v>
      </c>
      <c r="F358"/>
      <c r="G358"/>
      <c r="H358"/>
      <c r="I358"/>
      <c r="J358"/>
      <c r="K358"/>
      <c r="L358"/>
      <c r="M358"/>
      <c r="N358"/>
      <c r="O358"/>
      <c r="P358"/>
      <c r="Q358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  <c r="AJ358"/>
      <c r="AK358"/>
      <c r="AL358"/>
      <c r="AM358"/>
      <c r="AN358"/>
      <c r="AO358"/>
      <c r="AP358"/>
      <c r="AQ358"/>
      <c r="AR358"/>
      <c r="AS358"/>
      <c r="AT358"/>
      <c r="AU358"/>
      <c r="AV358"/>
      <c r="AW358"/>
      <c r="AX358"/>
      <c r="AY358"/>
      <c r="AZ358"/>
      <c r="BA358"/>
      <c r="BB358"/>
      <c r="BC358"/>
      <c r="BD358"/>
      <c r="BE358"/>
      <c r="BF358"/>
      <c r="BG358"/>
      <c r="BH358"/>
      <c r="BI358"/>
      <c r="BJ358"/>
      <c r="BK358"/>
      <c r="BL358"/>
      <c r="BM358"/>
      <c r="BN358"/>
      <c r="BO358"/>
      <c r="BP358"/>
      <c r="BQ358"/>
      <c r="BR358"/>
      <c r="BS358"/>
      <c r="BT358"/>
      <c r="BU358"/>
      <c r="BV358"/>
      <c r="BW358"/>
      <c r="BX358"/>
      <c r="BY358"/>
      <c r="BZ358"/>
      <c r="CA358"/>
      <c r="CB358"/>
      <c r="CC358"/>
      <c r="CD358"/>
      <c r="CE358"/>
      <c r="CF358"/>
      <c r="CG358"/>
      <c r="CH358"/>
      <c r="CI358"/>
      <c r="CJ358"/>
      <c r="CK358"/>
      <c r="CL358"/>
      <c r="CM358"/>
      <c r="CN358"/>
      <c r="CO358"/>
      <c r="CP358"/>
      <c r="CQ358"/>
      <c r="CR358"/>
      <c r="CS358"/>
      <c r="CT358"/>
      <c r="CU358"/>
      <c r="CV358"/>
      <c r="CW358"/>
      <c r="CX358"/>
      <c r="CY358"/>
      <c r="CZ358"/>
      <c r="DA358"/>
      <c r="DB358"/>
      <c r="DC358"/>
      <c r="DD358"/>
      <c r="DE358"/>
      <c r="DF358"/>
    </row>
    <row r="359" spans="1:110" s="16" customFormat="1" x14ac:dyDescent="0.3">
      <c r="A359" t="s">
        <v>32</v>
      </c>
      <c r="B359" t="s">
        <v>190</v>
      </c>
      <c r="C359" t="s">
        <v>499</v>
      </c>
      <c r="D359" s="10">
        <f>(D205*inputs!$E$75)/(inputs!$E$31)^inputs!E103</f>
        <v>1638.6395592244735</v>
      </c>
      <c r="E359" t="str">
        <f t="shared" ca="1" si="6"/>
        <v>=(D205*inputs!$E$75)/(inputs!$E$31)^inputs!E103</v>
      </c>
      <c r="F359"/>
      <c r="G359"/>
      <c r="H359"/>
      <c r="I359"/>
      <c r="J359"/>
      <c r="K359"/>
      <c r="L359"/>
      <c r="M359"/>
      <c r="N359"/>
      <c r="O359"/>
      <c r="P359"/>
      <c r="Q359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  <c r="AJ359"/>
      <c r="AK359"/>
      <c r="AL359"/>
      <c r="AM359"/>
      <c r="AN359"/>
      <c r="AO359"/>
      <c r="AP359"/>
      <c r="AQ359"/>
      <c r="AR359"/>
      <c r="AS359"/>
      <c r="AT359"/>
      <c r="AU359"/>
      <c r="AV359"/>
      <c r="AW359"/>
      <c r="AX359"/>
      <c r="AY359"/>
      <c r="AZ359"/>
      <c r="BA359"/>
      <c r="BB359"/>
      <c r="BC359"/>
      <c r="BD359"/>
      <c r="BE359"/>
      <c r="BF359"/>
      <c r="BG359"/>
      <c r="BH359"/>
      <c r="BI359"/>
      <c r="BJ359"/>
      <c r="BK359"/>
      <c r="BL359"/>
      <c r="BM359"/>
      <c r="BN359"/>
      <c r="BO359"/>
      <c r="BP359"/>
      <c r="BQ359"/>
      <c r="BR359"/>
      <c r="BS359"/>
      <c r="BT359"/>
      <c r="BU359"/>
      <c r="BV359"/>
      <c r="BW359"/>
      <c r="BX359"/>
      <c r="BY359"/>
      <c r="BZ359"/>
      <c r="CA359"/>
      <c r="CB359"/>
      <c r="CC359"/>
      <c r="CD359"/>
      <c r="CE359"/>
      <c r="CF359"/>
      <c r="CG359"/>
      <c r="CH359"/>
      <c r="CI359"/>
      <c r="CJ359"/>
      <c r="CK359"/>
      <c r="CL359"/>
      <c r="CM359"/>
      <c r="CN359"/>
      <c r="CO359"/>
      <c r="CP359"/>
      <c r="CQ359"/>
      <c r="CR359"/>
      <c r="CS359"/>
      <c r="CT359"/>
      <c r="CU359"/>
      <c r="CV359"/>
      <c r="CW359"/>
      <c r="CX359"/>
      <c r="CY359"/>
      <c r="CZ359"/>
      <c r="DA359"/>
      <c r="DB359"/>
      <c r="DC359"/>
      <c r="DD359"/>
      <c r="DE359"/>
      <c r="DF359"/>
    </row>
    <row r="360" spans="1:110" s="16" customFormat="1" x14ac:dyDescent="0.3">
      <c r="A360" t="s">
        <v>32</v>
      </c>
      <c r="B360" t="s">
        <v>190</v>
      </c>
      <c r="C360" t="s">
        <v>500</v>
      </c>
      <c r="D360" s="10">
        <f>(D206*inputs!$E$75)/(inputs!$E$31)^inputs!E104</f>
        <v>1590.4349197637925</v>
      </c>
      <c r="E360" t="str">
        <f t="shared" ca="1" si="6"/>
        <v>=(D206*inputs!$E$75)/(inputs!$E$31)^inputs!E104</v>
      </c>
      <c r="F360"/>
      <c r="G360"/>
      <c r="H360"/>
      <c r="I360"/>
      <c r="J360"/>
      <c r="K360"/>
      <c r="L360"/>
      <c r="M360"/>
      <c r="N360"/>
      <c r="O360"/>
      <c r="P360"/>
      <c r="Q360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  <c r="AJ360"/>
      <c r="AK360"/>
      <c r="AL360"/>
      <c r="AM360"/>
      <c r="AN360"/>
      <c r="AO360"/>
      <c r="AP360"/>
      <c r="AQ360"/>
      <c r="AR360"/>
      <c r="AS360"/>
      <c r="AT360"/>
      <c r="AU360"/>
      <c r="AV360"/>
      <c r="AW360"/>
      <c r="AX360"/>
      <c r="AY360"/>
      <c r="AZ360"/>
      <c r="BA360"/>
      <c r="BB360"/>
      <c r="BC360"/>
      <c r="BD360"/>
      <c r="BE360"/>
      <c r="BF360"/>
      <c r="BG360"/>
      <c r="BH360"/>
      <c r="BI360"/>
      <c r="BJ360"/>
      <c r="BK360"/>
      <c r="BL360"/>
      <c r="BM360"/>
      <c r="BN360"/>
      <c r="BO360"/>
      <c r="BP360"/>
      <c r="BQ360"/>
      <c r="BR360"/>
      <c r="BS360"/>
      <c r="BT360"/>
      <c r="BU360"/>
      <c r="BV360"/>
      <c r="BW360"/>
      <c r="BX360"/>
      <c r="BY360"/>
      <c r="BZ360"/>
      <c r="CA360"/>
      <c r="CB360"/>
      <c r="CC360"/>
      <c r="CD360"/>
      <c r="CE360"/>
      <c r="CF360"/>
      <c r="CG360"/>
      <c r="CH360"/>
      <c r="CI360"/>
      <c r="CJ360"/>
      <c r="CK360"/>
      <c r="CL360"/>
      <c r="CM360"/>
      <c r="CN360"/>
      <c r="CO360"/>
      <c r="CP360"/>
      <c r="CQ360"/>
      <c r="CR360"/>
      <c r="CS360"/>
      <c r="CT360"/>
      <c r="CU360"/>
      <c r="CV360"/>
      <c r="CW360"/>
      <c r="CX360"/>
      <c r="CY360"/>
      <c r="CZ360"/>
      <c r="DA360"/>
      <c r="DB360"/>
      <c r="DC360"/>
      <c r="DD360"/>
      <c r="DE360"/>
      <c r="DF360"/>
    </row>
    <row r="361" spans="1:110" s="16" customFormat="1" x14ac:dyDescent="0.3">
      <c r="A361" t="s">
        <v>32</v>
      </c>
      <c r="B361" t="s">
        <v>190</v>
      </c>
      <c r="C361" t="s">
        <v>501</v>
      </c>
      <c r="D361" s="10">
        <f>(D207*inputs!$E$75)/(inputs!$E$31)^inputs!E105</f>
        <v>1543.6483391144307</v>
      </c>
      <c r="E361" t="str">
        <f t="shared" ca="1" si="6"/>
        <v>=(D207*inputs!$E$75)/(inputs!$E$31)^inputs!E105</v>
      </c>
      <c r="F361"/>
      <c r="G361"/>
      <c r="H361"/>
      <c r="I361"/>
      <c r="J361"/>
      <c r="K361"/>
      <c r="L361"/>
      <c r="M361"/>
      <c r="N361"/>
      <c r="O361"/>
      <c r="P361"/>
      <c r="Q361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  <c r="AJ361"/>
      <c r="AK361"/>
      <c r="AL361"/>
      <c r="AM361"/>
      <c r="AN361"/>
      <c r="AO361"/>
      <c r="AP361"/>
      <c r="AQ361"/>
      <c r="AR361"/>
      <c r="AS361"/>
      <c r="AT361"/>
      <c r="AU361"/>
      <c r="AV361"/>
      <c r="AW361"/>
      <c r="AX361"/>
      <c r="AY361"/>
      <c r="AZ361"/>
      <c r="BA361"/>
      <c r="BB361"/>
      <c r="BC361"/>
      <c r="BD361"/>
      <c r="BE361"/>
      <c r="BF361"/>
      <c r="BG361"/>
      <c r="BH361"/>
      <c r="BI361"/>
      <c r="BJ361"/>
      <c r="BK361"/>
      <c r="BL361"/>
      <c r="BM361"/>
      <c r="BN361"/>
      <c r="BO361"/>
      <c r="BP361"/>
      <c r="BQ361"/>
      <c r="BR361"/>
      <c r="BS361"/>
      <c r="BT361"/>
      <c r="BU361"/>
      <c r="BV361"/>
      <c r="BW361"/>
      <c r="BX361"/>
      <c r="BY361"/>
      <c r="BZ361"/>
      <c r="CA361"/>
      <c r="CB361"/>
      <c r="CC361"/>
      <c r="CD361"/>
      <c r="CE361"/>
      <c r="CF361"/>
      <c r="CG361"/>
      <c r="CH361"/>
      <c r="CI361"/>
      <c r="CJ361"/>
      <c r="CK361"/>
      <c r="CL361"/>
      <c r="CM361"/>
      <c r="CN361"/>
      <c r="CO361"/>
      <c r="CP361"/>
      <c r="CQ361"/>
      <c r="CR361"/>
      <c r="CS361"/>
      <c r="CT361"/>
      <c r="CU361"/>
      <c r="CV361"/>
      <c r="CW361"/>
      <c r="CX361"/>
      <c r="CY361"/>
      <c r="CZ361"/>
      <c r="DA361"/>
      <c r="DB361"/>
      <c r="DC361"/>
      <c r="DD361"/>
      <c r="DE361"/>
      <c r="DF361"/>
    </row>
    <row r="362" spans="1:110" s="16" customFormat="1" x14ac:dyDescent="0.3">
      <c r="A362" t="s">
        <v>32</v>
      </c>
      <c r="B362" t="s">
        <v>190</v>
      </c>
      <c r="C362" t="s">
        <v>502</v>
      </c>
      <c r="D362" s="10">
        <f>(D208*inputs!$E$75)/(inputs!$E$31)^inputs!E106</f>
        <v>1498.2381015657245</v>
      </c>
      <c r="E362" t="str">
        <f t="shared" ca="1" si="6"/>
        <v>=(D208*inputs!$E$75)/(inputs!$E$31)^inputs!E106</v>
      </c>
      <c r="F362"/>
      <c r="G362"/>
      <c r="H362"/>
      <c r="I362"/>
      <c r="J362"/>
      <c r="K362"/>
      <c r="L362"/>
      <c r="M362"/>
      <c r="N362"/>
      <c r="O362"/>
      <c r="P362"/>
      <c r="Q362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  <c r="AJ362"/>
      <c r="AK362"/>
      <c r="AL362"/>
      <c r="AM362"/>
      <c r="AN362"/>
      <c r="AO362"/>
      <c r="AP362"/>
      <c r="AQ362"/>
      <c r="AR362"/>
      <c r="AS362"/>
      <c r="AT362"/>
      <c r="AU362"/>
      <c r="AV362"/>
      <c r="AW362"/>
      <c r="AX362"/>
      <c r="AY362"/>
      <c r="AZ362"/>
      <c r="BA362"/>
      <c r="BB362"/>
      <c r="BC362"/>
      <c r="BD362"/>
      <c r="BE362"/>
      <c r="BF362"/>
      <c r="BG362"/>
      <c r="BH362"/>
      <c r="BI362"/>
      <c r="BJ362"/>
      <c r="BK362"/>
      <c r="BL362"/>
      <c r="BM362"/>
      <c r="BN362"/>
      <c r="BO362"/>
      <c r="BP362"/>
      <c r="BQ362"/>
      <c r="BR362"/>
      <c r="BS362"/>
      <c r="BT362"/>
      <c r="BU362"/>
      <c r="BV362"/>
      <c r="BW362"/>
      <c r="BX362"/>
      <c r="BY362"/>
      <c r="BZ362"/>
      <c r="CA362"/>
      <c r="CB362"/>
      <c r="CC362"/>
      <c r="CD362"/>
      <c r="CE362"/>
      <c r="CF362"/>
      <c r="CG362"/>
      <c r="CH362"/>
      <c r="CI362"/>
      <c r="CJ362"/>
      <c r="CK362"/>
      <c r="CL362"/>
      <c r="CM362"/>
      <c r="CN362"/>
      <c r="CO362"/>
      <c r="CP362"/>
      <c r="CQ362"/>
      <c r="CR362"/>
      <c r="CS362"/>
      <c r="CT362"/>
      <c r="CU362"/>
      <c r="CV362"/>
      <c r="CW362"/>
      <c r="CX362"/>
      <c r="CY362"/>
      <c r="CZ362"/>
      <c r="DA362"/>
      <c r="DB362"/>
      <c r="DC362"/>
      <c r="DD362"/>
      <c r="DE362"/>
      <c r="DF362"/>
    </row>
    <row r="363" spans="1:110" s="16" customFormat="1" x14ac:dyDescent="0.3">
      <c r="A363" t="s">
        <v>32</v>
      </c>
      <c r="B363" t="s">
        <v>190</v>
      </c>
      <c r="C363" t="s">
        <v>503</v>
      </c>
      <c r="D363" s="10">
        <f>(D209*inputs!$E$75)/(inputs!$E$31)^inputs!E107</f>
        <v>1454.1637185779175</v>
      </c>
      <c r="E363" t="str">
        <f t="shared" ca="1" si="6"/>
        <v>=(D209*inputs!$E$75)/(inputs!$E$31)^inputs!E107</v>
      </c>
      <c r="F363"/>
      <c r="G363"/>
      <c r="H363"/>
      <c r="I363"/>
      <c r="J363"/>
      <c r="K363"/>
      <c r="L363"/>
      <c r="M363"/>
      <c r="N363"/>
      <c r="O363"/>
      <c r="P363"/>
      <c r="Q363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  <c r="AJ363"/>
      <c r="AK363"/>
      <c r="AL363"/>
      <c r="AM363"/>
      <c r="AN363"/>
      <c r="AO363"/>
      <c r="AP363"/>
      <c r="AQ363"/>
      <c r="AR363"/>
      <c r="AS363"/>
      <c r="AT363"/>
      <c r="AU363"/>
      <c r="AV363"/>
      <c r="AW363"/>
      <c r="AX363"/>
      <c r="AY363"/>
      <c r="AZ363"/>
      <c r="BA363"/>
      <c r="BB363"/>
      <c r="BC363"/>
      <c r="BD363"/>
      <c r="BE363"/>
      <c r="BF363"/>
      <c r="BG363"/>
      <c r="BH363"/>
      <c r="BI363"/>
      <c r="BJ363"/>
      <c r="BK363"/>
      <c r="BL363"/>
      <c r="BM363"/>
      <c r="BN363"/>
      <c r="BO363"/>
      <c r="BP363"/>
      <c r="BQ363"/>
      <c r="BR363"/>
      <c r="BS363"/>
      <c r="BT363"/>
      <c r="BU363"/>
      <c r="BV363"/>
      <c r="BW363"/>
      <c r="BX363"/>
      <c r="BY363"/>
      <c r="BZ363"/>
      <c r="CA363"/>
      <c r="CB363"/>
      <c r="CC363"/>
      <c r="CD363"/>
      <c r="CE363"/>
      <c r="CF363"/>
      <c r="CG363"/>
      <c r="CH363"/>
      <c r="CI363"/>
      <c r="CJ363"/>
      <c r="CK363"/>
      <c r="CL363"/>
      <c r="CM363"/>
      <c r="CN363"/>
      <c r="CO363"/>
      <c r="CP363"/>
      <c r="CQ363"/>
      <c r="CR363"/>
      <c r="CS363"/>
      <c r="CT363"/>
      <c r="CU363"/>
      <c r="CV363"/>
      <c r="CW363"/>
      <c r="CX363"/>
      <c r="CY363"/>
      <c r="CZ363"/>
      <c r="DA363"/>
      <c r="DB363"/>
      <c r="DC363"/>
      <c r="DD363"/>
      <c r="DE363"/>
      <c r="DF363"/>
    </row>
    <row r="364" spans="1:110" s="16" customFormat="1" x14ac:dyDescent="0.3">
      <c r="A364" t="s">
        <v>32</v>
      </c>
      <c r="B364" t="s">
        <v>190</v>
      </c>
      <c r="C364" t="s">
        <v>504</v>
      </c>
      <c r="D364" s="10">
        <f>(D210*inputs!$E$75)/(inputs!$E$31)^inputs!E108</f>
        <v>1411.3858926818875</v>
      </c>
      <c r="E364" t="str">
        <f t="shared" ca="1" si="6"/>
        <v>=(D210*inputs!$E$75)/(inputs!$E$31)^inputs!E108</v>
      </c>
      <c r="F364"/>
      <c r="G364"/>
      <c r="H364"/>
      <c r="I364"/>
      <c r="J364"/>
      <c r="K364"/>
      <c r="L364"/>
      <c r="M364"/>
      <c r="N364"/>
      <c r="O364"/>
      <c r="P364"/>
      <c r="Q364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  <c r="AJ364"/>
      <c r="AK364"/>
      <c r="AL364"/>
      <c r="AM364"/>
      <c r="AN364"/>
      <c r="AO364"/>
      <c r="AP364"/>
      <c r="AQ364"/>
      <c r="AR364"/>
      <c r="AS364"/>
      <c r="AT364"/>
      <c r="AU364"/>
      <c r="AV364"/>
      <c r="AW364"/>
      <c r="AX364"/>
      <c r="AY364"/>
      <c r="AZ364"/>
      <c r="BA364"/>
      <c r="BB364"/>
      <c r="BC364"/>
      <c r="BD364"/>
      <c r="BE364"/>
      <c r="BF364"/>
      <c r="BG364"/>
      <c r="BH364"/>
      <c r="BI364"/>
      <c r="BJ364"/>
      <c r="BK364"/>
      <c r="BL364"/>
      <c r="BM364"/>
      <c r="BN364"/>
      <c r="BO364"/>
      <c r="BP364"/>
      <c r="BQ364"/>
      <c r="BR364"/>
      <c r="BS364"/>
      <c r="BT364"/>
      <c r="BU364"/>
      <c r="BV364"/>
      <c r="BW364"/>
      <c r="BX364"/>
      <c r="BY364"/>
      <c r="BZ364"/>
      <c r="CA364"/>
      <c r="CB364"/>
      <c r="CC364"/>
      <c r="CD364"/>
      <c r="CE364"/>
      <c r="CF364"/>
      <c r="CG364"/>
      <c r="CH364"/>
      <c r="CI364"/>
      <c r="CJ364"/>
      <c r="CK364"/>
      <c r="CL364"/>
      <c r="CM364"/>
      <c r="CN364"/>
      <c r="CO364"/>
      <c r="CP364"/>
      <c r="CQ364"/>
      <c r="CR364"/>
      <c r="CS364"/>
      <c r="CT364"/>
      <c r="CU364"/>
      <c r="CV364"/>
      <c r="CW364"/>
      <c r="CX364"/>
      <c r="CY364"/>
      <c r="CZ364"/>
      <c r="DA364"/>
      <c r="DB364"/>
      <c r="DC364"/>
      <c r="DD364"/>
      <c r="DE364"/>
      <c r="DF364"/>
    </row>
    <row r="365" spans="1:110" s="16" customFormat="1" x14ac:dyDescent="0.3">
      <c r="A365" t="s">
        <v>32</v>
      </c>
      <c r="B365" t="s">
        <v>190</v>
      </c>
      <c r="C365" t="s">
        <v>505</v>
      </c>
      <c r="D365" s="10">
        <f>(D211*inputs!$E$75)/(inputs!$E$31)^inputs!E109</f>
        <v>1369.866482440857</v>
      </c>
      <c r="E365" t="str">
        <f t="shared" ca="1" si="6"/>
        <v>=(D211*inputs!$E$75)/(inputs!$E$31)^inputs!E109</v>
      </c>
      <c r="F365"/>
      <c r="G365"/>
      <c r="H365"/>
      <c r="I365"/>
      <c r="J365"/>
      <c r="K365"/>
      <c r="L365"/>
      <c r="M365"/>
      <c r="N365"/>
      <c r="O365"/>
      <c r="P365"/>
      <c r="Q365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  <c r="AJ365"/>
      <c r="AK365"/>
      <c r="AL365"/>
      <c r="AM365"/>
      <c r="AN365"/>
      <c r="AO365"/>
      <c r="AP365"/>
      <c r="AQ365"/>
      <c r="AR365"/>
      <c r="AS365"/>
      <c r="AT365"/>
      <c r="AU365"/>
      <c r="AV365"/>
      <c r="AW365"/>
      <c r="AX365"/>
      <c r="AY365"/>
      <c r="AZ365"/>
      <c r="BA365"/>
      <c r="BB365"/>
      <c r="BC365"/>
      <c r="BD365"/>
      <c r="BE365"/>
      <c r="BF365"/>
      <c r="BG365"/>
      <c r="BH365"/>
      <c r="BI365"/>
      <c r="BJ365"/>
      <c r="BK365"/>
      <c r="BL365"/>
      <c r="BM365"/>
      <c r="BN365"/>
      <c r="BO365"/>
      <c r="BP365"/>
      <c r="BQ365"/>
      <c r="BR365"/>
      <c r="BS365"/>
      <c r="BT365"/>
      <c r="BU365"/>
      <c r="BV365"/>
      <c r="BW365"/>
      <c r="BX365"/>
      <c r="BY365"/>
      <c r="BZ365"/>
      <c r="CA365"/>
      <c r="CB365"/>
      <c r="CC365"/>
      <c r="CD365"/>
      <c r="CE365"/>
      <c r="CF365"/>
      <c r="CG365"/>
      <c r="CH365"/>
      <c r="CI365"/>
      <c r="CJ365"/>
      <c r="CK365"/>
      <c r="CL365"/>
      <c r="CM365"/>
      <c r="CN365"/>
      <c r="CO365"/>
      <c r="CP365"/>
      <c r="CQ365"/>
      <c r="CR365"/>
      <c r="CS365"/>
      <c r="CT365"/>
      <c r="CU365"/>
      <c r="CV365"/>
      <c r="CW365"/>
      <c r="CX365"/>
      <c r="CY365"/>
      <c r="CZ365"/>
      <c r="DA365"/>
      <c r="DB365"/>
      <c r="DC365"/>
      <c r="DD365"/>
      <c r="DE365"/>
      <c r="DF365"/>
    </row>
    <row r="366" spans="1:110" s="16" customFormat="1" x14ac:dyDescent="0.3">
      <c r="A366" t="s">
        <v>32</v>
      </c>
      <c r="B366" t="s">
        <v>190</v>
      </c>
      <c r="C366" t="s">
        <v>506</v>
      </c>
      <c r="D366" s="10">
        <f>(D212*inputs!$E$75)/(inputs!$E$31)^inputs!E110</f>
        <v>1329.5684684428395</v>
      </c>
      <c r="E366" t="str">
        <f t="shared" ca="1" si="6"/>
        <v>=(D212*inputs!$E$75)/(inputs!$E$31)^inputs!E110</v>
      </c>
      <c r="F366"/>
      <c r="G366"/>
      <c r="H366"/>
      <c r="I366"/>
      <c r="J366"/>
      <c r="K366"/>
      <c r="L366"/>
      <c r="M366"/>
      <c r="N366"/>
      <c r="O366"/>
      <c r="P366"/>
      <c r="Q36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  <c r="AJ366"/>
      <c r="AK366"/>
      <c r="AL366"/>
      <c r="AM366"/>
      <c r="AN366"/>
      <c r="AO366"/>
      <c r="AP366"/>
      <c r="AQ366"/>
      <c r="AR366"/>
      <c r="AS366"/>
      <c r="AT366"/>
      <c r="AU366"/>
      <c r="AV366"/>
      <c r="AW366"/>
      <c r="AX366"/>
      <c r="AY366"/>
      <c r="AZ366"/>
      <c r="BA366"/>
      <c r="BB366"/>
      <c r="BC366"/>
      <c r="BD366"/>
      <c r="BE366"/>
      <c r="BF366"/>
      <c r="BG366"/>
      <c r="BH366"/>
      <c r="BI366"/>
      <c r="BJ366"/>
      <c r="BK366"/>
      <c r="BL366"/>
      <c r="BM366"/>
      <c r="BN366"/>
      <c r="BO366"/>
      <c r="BP366"/>
      <c r="BQ366"/>
      <c r="BR366"/>
      <c r="BS366"/>
      <c r="BT366"/>
      <c r="BU366"/>
      <c r="BV366"/>
      <c r="BW366"/>
      <c r="BX366"/>
      <c r="BY366"/>
      <c r="BZ366"/>
      <c r="CA366"/>
      <c r="CB366"/>
      <c r="CC366"/>
      <c r="CD366"/>
      <c r="CE366"/>
      <c r="CF366"/>
      <c r="CG366"/>
      <c r="CH366"/>
      <c r="CI366"/>
      <c r="CJ366"/>
      <c r="CK366"/>
      <c r="CL366"/>
      <c r="CM366"/>
      <c r="CN366"/>
      <c r="CO366"/>
      <c r="CP366"/>
      <c r="CQ366"/>
      <c r="CR366"/>
      <c r="CS366"/>
      <c r="CT366"/>
      <c r="CU366"/>
      <c r="CV366"/>
      <c r="CW366"/>
      <c r="CX366"/>
      <c r="CY366"/>
      <c r="CZ366"/>
      <c r="DA366"/>
      <c r="DB366"/>
      <c r="DC366"/>
      <c r="DD366"/>
      <c r="DE366"/>
      <c r="DF366"/>
    </row>
    <row r="367" spans="1:110" s="16" customFormat="1" x14ac:dyDescent="0.3">
      <c r="A367" t="s">
        <v>32</v>
      </c>
      <c r="B367" t="s">
        <v>190</v>
      </c>
      <c r="C367" t="s">
        <v>507</v>
      </c>
      <c r="D367" s="10">
        <f>(D213*inputs!$E$75)/(inputs!$E$31)^inputs!E111</f>
        <v>1290.4559202935022</v>
      </c>
      <c r="E367" t="str">
        <f t="shared" ca="1" si="6"/>
        <v>=(D213*inputs!$E$75)/(inputs!$E$31)^inputs!E111</v>
      </c>
      <c r="F367"/>
      <c r="G367"/>
      <c r="H367"/>
      <c r="I367"/>
      <c r="J367"/>
      <c r="K367"/>
      <c r="L367"/>
      <c r="M367"/>
      <c r="N367"/>
      <c r="O367"/>
      <c r="P367"/>
      <c r="Q367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  <c r="AJ367"/>
      <c r="AK367"/>
      <c r="AL367"/>
      <c r="AM367"/>
      <c r="AN367"/>
      <c r="AO367"/>
      <c r="AP367"/>
      <c r="AQ367"/>
      <c r="AR367"/>
      <c r="AS367"/>
      <c r="AT367"/>
      <c r="AU367"/>
      <c r="AV367"/>
      <c r="AW367"/>
      <c r="AX367"/>
      <c r="AY367"/>
      <c r="AZ367"/>
      <c r="BA367"/>
      <c r="BB367"/>
      <c r="BC367"/>
      <c r="BD367"/>
      <c r="BE367"/>
      <c r="BF367"/>
      <c r="BG367"/>
      <c r="BH367"/>
      <c r="BI367"/>
      <c r="BJ367"/>
      <c r="BK367"/>
      <c r="BL367"/>
      <c r="BM367"/>
      <c r="BN367"/>
      <c r="BO367"/>
      <c r="BP367"/>
      <c r="BQ367"/>
      <c r="BR367"/>
      <c r="BS367"/>
      <c r="BT367"/>
      <c r="BU367"/>
      <c r="BV367"/>
      <c r="BW367"/>
      <c r="BX367"/>
      <c r="BY367"/>
      <c r="BZ367"/>
      <c r="CA367"/>
      <c r="CB367"/>
      <c r="CC367"/>
      <c r="CD367"/>
      <c r="CE367"/>
      <c r="CF367"/>
      <c r="CG367"/>
      <c r="CH367"/>
      <c r="CI367"/>
      <c r="CJ367"/>
      <c r="CK367"/>
      <c r="CL367"/>
      <c r="CM367"/>
      <c r="CN367"/>
      <c r="CO367"/>
      <c r="CP367"/>
      <c r="CQ367"/>
      <c r="CR367"/>
      <c r="CS367"/>
      <c r="CT367"/>
      <c r="CU367"/>
      <c r="CV367"/>
      <c r="CW367"/>
      <c r="CX367"/>
      <c r="CY367"/>
      <c r="CZ367"/>
      <c r="DA367"/>
      <c r="DB367"/>
      <c r="DC367"/>
      <c r="DD367"/>
      <c r="DE367"/>
      <c r="DF367"/>
    </row>
    <row r="368" spans="1:110" s="16" customFormat="1" x14ac:dyDescent="0.3">
      <c r="A368" t="s">
        <v>32</v>
      </c>
      <c r="B368" t="s">
        <v>190</v>
      </c>
      <c r="C368" t="s">
        <v>508</v>
      </c>
      <c r="D368" s="10">
        <f>(D214*inputs!$E$75)/(inputs!$E$31)^inputs!E112</f>
        <v>1252.4939645800137</v>
      </c>
      <c r="E368" t="str">
        <f t="shared" ca="1" si="6"/>
        <v>=(D214*inputs!$E$75)/(inputs!$E$31)^inputs!E112</v>
      </c>
      <c r="F368"/>
      <c r="G368"/>
      <c r="H368"/>
      <c r="I368"/>
      <c r="J368"/>
      <c r="K368"/>
      <c r="L368"/>
      <c r="M368"/>
      <c r="N368"/>
      <c r="O368"/>
      <c r="P368"/>
      <c r="Q368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  <c r="AJ368"/>
      <c r="AK368"/>
      <c r="AL368"/>
      <c r="AM368"/>
      <c r="AN368"/>
      <c r="AO368"/>
      <c r="AP368"/>
      <c r="AQ368"/>
      <c r="AR368"/>
      <c r="AS368"/>
      <c r="AT368"/>
      <c r="AU368"/>
      <c r="AV368"/>
      <c r="AW368"/>
      <c r="AX368"/>
      <c r="AY368"/>
      <c r="AZ368"/>
      <c r="BA368"/>
      <c r="BB368"/>
      <c r="BC368"/>
      <c r="BD368"/>
      <c r="BE368"/>
      <c r="BF368"/>
      <c r="BG368"/>
      <c r="BH368"/>
      <c r="BI368"/>
      <c r="BJ368"/>
      <c r="BK368"/>
      <c r="BL368"/>
      <c r="BM368"/>
      <c r="BN368"/>
      <c r="BO368"/>
      <c r="BP368"/>
      <c r="BQ368"/>
      <c r="BR368"/>
      <c r="BS368"/>
      <c r="BT368"/>
      <c r="BU368"/>
      <c r="BV368"/>
      <c r="BW368"/>
      <c r="BX368"/>
      <c r="BY368"/>
      <c r="BZ368"/>
      <c r="CA368"/>
      <c r="CB368"/>
      <c r="CC368"/>
      <c r="CD368"/>
      <c r="CE368"/>
      <c r="CF368"/>
      <c r="CG368"/>
      <c r="CH368"/>
      <c r="CI368"/>
      <c r="CJ368"/>
      <c r="CK368"/>
      <c r="CL368"/>
      <c r="CM368"/>
      <c r="CN368"/>
      <c r="CO368"/>
      <c r="CP368"/>
      <c r="CQ368"/>
      <c r="CR368"/>
      <c r="CS368"/>
      <c r="CT368"/>
      <c r="CU368"/>
      <c r="CV368"/>
      <c r="CW368"/>
      <c r="CX368"/>
      <c r="CY368"/>
      <c r="CZ368"/>
      <c r="DA368"/>
      <c r="DB368"/>
      <c r="DC368"/>
      <c r="DD368"/>
      <c r="DE368"/>
      <c r="DF368"/>
    </row>
    <row r="369" spans="1:110" s="16" customFormat="1" x14ac:dyDescent="0.3">
      <c r="A369" t="s">
        <v>32</v>
      </c>
      <c r="B369" t="s">
        <v>190</v>
      </c>
      <c r="C369" t="s">
        <v>509</v>
      </c>
      <c r="D369" s="10">
        <f>(D215*inputs!$E$75)/(inputs!$E$31)^inputs!E113</f>
        <v>1215.6487537773198</v>
      </c>
      <c r="E369" t="str">
        <f t="shared" ca="1" si="6"/>
        <v>=(D215*inputs!$E$75)/(inputs!$E$31)^inputs!E113</v>
      </c>
      <c r="F369"/>
      <c r="G369"/>
      <c r="H369"/>
      <c r="I369"/>
      <c r="J369"/>
      <c r="K369"/>
      <c r="L369"/>
      <c r="M369"/>
      <c r="N369"/>
      <c r="O369"/>
      <c r="P369"/>
      <c r="Q369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  <c r="AJ369"/>
      <c r="AK369"/>
      <c r="AL369"/>
      <c r="AM369"/>
      <c r="AN369"/>
      <c r="AO369"/>
      <c r="AP369"/>
      <c r="AQ369"/>
      <c r="AR369"/>
      <c r="AS369"/>
      <c r="AT369"/>
      <c r="AU369"/>
      <c r="AV369"/>
      <c r="AW369"/>
      <c r="AX369"/>
      <c r="AY369"/>
      <c r="AZ369"/>
      <c r="BA369"/>
      <c r="BB369"/>
      <c r="BC369"/>
      <c r="BD369"/>
      <c r="BE369"/>
      <c r="BF369"/>
      <c r="BG369"/>
      <c r="BH369"/>
      <c r="BI369"/>
      <c r="BJ369"/>
      <c r="BK369"/>
      <c r="BL369"/>
      <c r="BM369"/>
      <c r="BN369"/>
      <c r="BO369"/>
      <c r="BP369"/>
      <c r="BQ369"/>
      <c r="BR369"/>
      <c r="BS369"/>
      <c r="BT369"/>
      <c r="BU369"/>
      <c r="BV369"/>
      <c r="BW369"/>
      <c r="BX369"/>
      <c r="BY369"/>
      <c r="BZ369"/>
      <c r="CA369"/>
      <c r="CB369"/>
      <c r="CC369"/>
      <c r="CD369"/>
      <c r="CE369"/>
      <c r="CF369"/>
      <c r="CG369"/>
      <c r="CH369"/>
      <c r="CI369"/>
      <c r="CJ369"/>
      <c r="CK369"/>
      <c r="CL369"/>
      <c r="CM369"/>
      <c r="CN369"/>
      <c r="CO369"/>
      <c r="CP369"/>
      <c r="CQ369"/>
      <c r="CR369"/>
      <c r="CS369"/>
      <c r="CT369"/>
      <c r="CU369"/>
      <c r="CV369"/>
      <c r="CW369"/>
      <c r="CX369"/>
      <c r="CY369"/>
      <c r="CZ369"/>
      <c r="DA369"/>
      <c r="DB369"/>
      <c r="DC369"/>
      <c r="DD369"/>
      <c r="DE369"/>
      <c r="DF369"/>
    </row>
    <row r="370" spans="1:110" s="16" customFormat="1" x14ac:dyDescent="0.3">
      <c r="A370" t="s">
        <v>32</v>
      </c>
      <c r="B370" t="s">
        <v>190</v>
      </c>
      <c r="C370" t="s">
        <v>510</v>
      </c>
      <c r="D370" s="10">
        <f>(D216*inputs!$E$75)/(inputs!$E$31)^inputs!E114</f>
        <v>1179.8874360691134</v>
      </c>
      <c r="E370" t="str">
        <f t="shared" ca="1" si="6"/>
        <v>=(D216*inputs!$E$75)/(inputs!$E$31)^inputs!E114</v>
      </c>
      <c r="F370"/>
      <c r="G370"/>
      <c r="H370"/>
      <c r="I370"/>
      <c r="J370"/>
      <c r="K370"/>
      <c r="L370"/>
      <c r="M370"/>
      <c r="N370"/>
      <c r="O370"/>
      <c r="P370"/>
      <c r="Q370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  <c r="AJ370"/>
      <c r="AK370"/>
      <c r="AL370"/>
      <c r="AM370"/>
      <c r="AN370"/>
      <c r="AO370"/>
      <c r="AP370"/>
      <c r="AQ370"/>
      <c r="AR370"/>
      <c r="AS370"/>
      <c r="AT370"/>
      <c r="AU370"/>
      <c r="AV370"/>
      <c r="AW370"/>
      <c r="AX370"/>
      <c r="AY370"/>
      <c r="AZ370"/>
      <c r="BA370"/>
      <c r="BB370"/>
      <c r="BC370"/>
      <c r="BD370"/>
      <c r="BE370"/>
      <c r="BF370"/>
      <c r="BG370"/>
      <c r="BH370"/>
      <c r="BI370"/>
      <c r="BJ370"/>
      <c r="BK370"/>
      <c r="BL370"/>
      <c r="BM370"/>
      <c r="BN370"/>
      <c r="BO370"/>
      <c r="BP370"/>
      <c r="BQ370"/>
      <c r="BR370"/>
      <c r="BS370"/>
      <c r="BT370"/>
      <c r="BU370"/>
      <c r="BV370"/>
      <c r="BW370"/>
      <c r="BX370"/>
      <c r="BY370"/>
      <c r="BZ370"/>
      <c r="CA370"/>
      <c r="CB370"/>
      <c r="CC370"/>
      <c r="CD370"/>
      <c r="CE370"/>
      <c r="CF370"/>
      <c r="CG370"/>
      <c r="CH370"/>
      <c r="CI370"/>
      <c r="CJ370"/>
      <c r="CK370"/>
      <c r="CL370"/>
      <c r="CM370"/>
      <c r="CN370"/>
      <c r="CO370"/>
      <c r="CP370"/>
      <c r="CQ370"/>
      <c r="CR370"/>
      <c r="CS370"/>
      <c r="CT370"/>
      <c r="CU370"/>
      <c r="CV370"/>
      <c r="CW370"/>
      <c r="CX370"/>
      <c r="CY370"/>
      <c r="CZ370"/>
      <c r="DA370"/>
      <c r="DB370"/>
      <c r="DC370"/>
      <c r="DD370"/>
      <c r="DE370"/>
      <c r="DF370"/>
    </row>
    <row r="371" spans="1:110" s="16" customFormat="1" x14ac:dyDescent="0.3">
      <c r="A371" t="s">
        <v>32</v>
      </c>
      <c r="B371" t="s">
        <v>190</v>
      </c>
      <c r="C371" t="s">
        <v>511</v>
      </c>
      <c r="D371" s="10">
        <f>(D217*inputs!$E$75)/(inputs!$E$31)^inputs!E115</f>
        <v>1145.1781260565949</v>
      </c>
      <c r="E371" t="str">
        <f t="shared" ca="1" si="6"/>
        <v>=(D217*inputs!$E$75)/(inputs!$E$31)^inputs!E115</v>
      </c>
      <c r="F371"/>
      <c r="G371"/>
      <c r="H371"/>
      <c r="I371"/>
      <c r="J371"/>
      <c r="K371"/>
      <c r="L371"/>
      <c r="M371"/>
      <c r="N371"/>
      <c r="O371"/>
      <c r="P371"/>
      <c r="Q371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  <c r="AJ371"/>
      <c r="AK371"/>
      <c r="AL371"/>
      <c r="AM371"/>
      <c r="AN371"/>
      <c r="AO371"/>
      <c r="AP371"/>
      <c r="AQ371"/>
      <c r="AR371"/>
      <c r="AS371"/>
      <c r="AT371"/>
      <c r="AU371"/>
      <c r="AV371"/>
      <c r="AW371"/>
      <c r="AX371"/>
      <c r="AY371"/>
      <c r="AZ371"/>
      <c r="BA371"/>
      <c r="BB371"/>
      <c r="BC371"/>
      <c r="BD371"/>
      <c r="BE371"/>
      <c r="BF371"/>
      <c r="BG371"/>
      <c r="BH371"/>
      <c r="BI371"/>
      <c r="BJ371"/>
      <c r="BK371"/>
      <c r="BL371"/>
      <c r="BM371"/>
      <c r="BN371"/>
      <c r="BO371"/>
      <c r="BP371"/>
      <c r="BQ371"/>
      <c r="BR371"/>
      <c r="BS371"/>
      <c r="BT371"/>
      <c r="BU371"/>
      <c r="BV371"/>
      <c r="BW371"/>
      <c r="BX371"/>
      <c r="BY371"/>
      <c r="BZ371"/>
      <c r="CA371"/>
      <c r="CB371"/>
      <c r="CC371"/>
      <c r="CD371"/>
      <c r="CE371"/>
      <c r="CF371"/>
      <c r="CG371"/>
      <c r="CH371"/>
      <c r="CI371"/>
      <c r="CJ371"/>
      <c r="CK371"/>
      <c r="CL371"/>
      <c r="CM371"/>
      <c r="CN371"/>
      <c r="CO371"/>
      <c r="CP371"/>
      <c r="CQ371"/>
      <c r="CR371"/>
      <c r="CS371"/>
      <c r="CT371"/>
      <c r="CU371"/>
      <c r="CV371"/>
      <c r="CW371"/>
      <c r="CX371"/>
      <c r="CY371"/>
      <c r="CZ371"/>
      <c r="DA371"/>
      <c r="DB371"/>
      <c r="DC371"/>
      <c r="DD371"/>
      <c r="DE371"/>
      <c r="DF371"/>
    </row>
    <row r="372" spans="1:110" s="16" customFormat="1" x14ac:dyDescent="0.3">
      <c r="A372" t="s">
        <v>32</v>
      </c>
      <c r="B372" t="s">
        <v>190</v>
      </c>
      <c r="C372" t="s">
        <v>512</v>
      </c>
      <c r="D372" s="10">
        <f>(D218*inputs!$E$75)/(inputs!$E$31)^inputs!E116</f>
        <v>1110.7115999325617</v>
      </c>
      <c r="E372" t="str">
        <f t="shared" ca="1" si="6"/>
        <v>=(D218*inputs!$E$75)/(inputs!$E$31)^inputs!E116</v>
      </c>
      <c r="F372"/>
      <c r="G372"/>
      <c r="H372"/>
      <c r="I372"/>
      <c r="J372"/>
      <c r="K372"/>
      <c r="L372"/>
      <c r="M372"/>
      <c r="N372"/>
      <c r="O372"/>
      <c r="P372"/>
      <c r="Q372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  <c r="AJ372"/>
      <c r="AK372"/>
      <c r="AL372"/>
      <c r="AM372"/>
      <c r="AN372"/>
      <c r="AO372"/>
      <c r="AP372"/>
      <c r="AQ372"/>
      <c r="AR372"/>
      <c r="AS372"/>
      <c r="AT372"/>
      <c r="AU372"/>
      <c r="AV372"/>
      <c r="AW372"/>
      <c r="AX372"/>
      <c r="AY372"/>
      <c r="AZ372"/>
      <c r="BA372"/>
      <c r="BB372"/>
      <c r="BC372"/>
      <c r="BD372"/>
      <c r="BE372"/>
      <c r="BF372"/>
      <c r="BG372"/>
      <c r="BH372"/>
      <c r="BI372"/>
      <c r="BJ372"/>
      <c r="BK372"/>
      <c r="BL372"/>
      <c r="BM372"/>
      <c r="BN372"/>
      <c r="BO372"/>
      <c r="BP372"/>
      <c r="BQ372"/>
      <c r="BR372"/>
      <c r="BS372"/>
      <c r="BT372"/>
      <c r="BU372"/>
      <c r="BV372"/>
      <c r="BW372"/>
      <c r="BX372"/>
      <c r="BY372"/>
      <c r="BZ372"/>
      <c r="CA372"/>
      <c r="CB372"/>
      <c r="CC372"/>
      <c r="CD372"/>
      <c r="CE372"/>
      <c r="CF372"/>
      <c r="CG372"/>
      <c r="CH372"/>
      <c r="CI372"/>
      <c r="CJ372"/>
      <c r="CK372"/>
      <c r="CL372"/>
      <c r="CM372"/>
      <c r="CN372"/>
      <c r="CO372"/>
      <c r="CP372"/>
      <c r="CQ372"/>
      <c r="CR372"/>
      <c r="CS372"/>
      <c r="CT372"/>
      <c r="CU372"/>
      <c r="CV372"/>
      <c r="CW372"/>
      <c r="CX372"/>
      <c r="CY372"/>
      <c r="CZ372"/>
      <c r="DA372"/>
      <c r="DB372"/>
      <c r="DC372"/>
      <c r="DD372"/>
      <c r="DE372"/>
      <c r="DF372"/>
    </row>
    <row r="373" spans="1:110" s="16" customFormat="1" x14ac:dyDescent="0.3">
      <c r="A373" t="s">
        <v>32</v>
      </c>
      <c r="B373" t="s">
        <v>190</v>
      </c>
      <c r="C373" t="s">
        <v>513</v>
      </c>
      <c r="D373" s="10">
        <f>(D219*inputs!$E$75)/(inputs!$E$31)^inputs!E117</f>
        <v>1077.2824158569213</v>
      </c>
      <c r="E373" t="str">
        <f t="shared" ca="1" si="6"/>
        <v>=(D219*inputs!$E$75)/(inputs!$E$31)^inputs!E117</v>
      </c>
      <c r="F373"/>
      <c r="G373"/>
      <c r="H373"/>
      <c r="I373"/>
      <c r="J373"/>
      <c r="K373"/>
      <c r="L373"/>
      <c r="M373"/>
      <c r="N373"/>
      <c r="O373"/>
      <c r="P373"/>
      <c r="Q373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  <c r="AJ373"/>
      <c r="AK373"/>
      <c r="AL373"/>
      <c r="AM373"/>
      <c r="AN373"/>
      <c r="AO373"/>
      <c r="AP373"/>
      <c r="AQ373"/>
      <c r="AR373"/>
      <c r="AS373"/>
      <c r="AT373"/>
      <c r="AU373"/>
      <c r="AV373"/>
      <c r="AW373"/>
      <c r="AX373"/>
      <c r="AY373"/>
      <c r="AZ373"/>
      <c r="BA373"/>
      <c r="BB373"/>
      <c r="BC373"/>
      <c r="BD373"/>
      <c r="BE373"/>
      <c r="BF373"/>
      <c r="BG373"/>
      <c r="BH373"/>
      <c r="BI373"/>
      <c r="BJ373"/>
      <c r="BK373"/>
      <c r="BL373"/>
      <c r="BM373"/>
      <c r="BN373"/>
      <c r="BO373"/>
      <c r="BP373"/>
      <c r="BQ373"/>
      <c r="BR373"/>
      <c r="BS373"/>
      <c r="BT373"/>
      <c r="BU373"/>
      <c r="BV373"/>
      <c r="BW373"/>
      <c r="BX373"/>
      <c r="BY373"/>
      <c r="BZ373"/>
      <c r="CA373"/>
      <c r="CB373"/>
      <c r="CC373"/>
      <c r="CD373"/>
      <c r="CE373"/>
      <c r="CF373"/>
      <c r="CG373"/>
      <c r="CH373"/>
      <c r="CI373"/>
      <c r="CJ373"/>
      <c r="CK373"/>
      <c r="CL373"/>
      <c r="CM373"/>
      <c r="CN373"/>
      <c r="CO373"/>
      <c r="CP373"/>
      <c r="CQ373"/>
      <c r="CR373"/>
      <c r="CS373"/>
      <c r="CT373"/>
      <c r="CU373"/>
      <c r="CV373"/>
      <c r="CW373"/>
      <c r="CX373"/>
      <c r="CY373"/>
      <c r="CZ373"/>
      <c r="DA373"/>
      <c r="DB373"/>
      <c r="DC373"/>
      <c r="DD373"/>
      <c r="DE373"/>
      <c r="DF373"/>
    </row>
    <row r="374" spans="1:110" s="16" customFormat="1" x14ac:dyDescent="0.3">
      <c r="A374" t="s">
        <v>32</v>
      </c>
      <c r="B374" t="s">
        <v>190</v>
      </c>
      <c r="C374" t="s">
        <v>514</v>
      </c>
      <c r="D374" s="10">
        <f>(D220*inputs!$E$75)/(inputs!$E$31)^inputs!E118</f>
        <v>1044.8593528554022</v>
      </c>
      <c r="E374" t="str">
        <f t="shared" ca="1" si="6"/>
        <v>=(D220*inputs!$E$75)/(inputs!$E$31)^inputs!E118</v>
      </c>
      <c r="F374"/>
      <c r="G374"/>
      <c r="H374"/>
      <c r="I374"/>
      <c r="J374"/>
      <c r="K374"/>
      <c r="L374"/>
      <c r="M374"/>
      <c r="N374"/>
      <c r="O374"/>
      <c r="P374"/>
      <c r="Q374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  <c r="AJ374"/>
      <c r="AK374"/>
      <c r="AL374"/>
      <c r="AM374"/>
      <c r="AN374"/>
      <c r="AO374"/>
      <c r="AP374"/>
      <c r="AQ374"/>
      <c r="AR374"/>
      <c r="AS374"/>
      <c r="AT374"/>
      <c r="AU374"/>
      <c r="AV374"/>
      <c r="AW374"/>
      <c r="AX374"/>
      <c r="AY374"/>
      <c r="AZ374"/>
      <c r="BA374"/>
      <c r="BB374"/>
      <c r="BC374"/>
      <c r="BD374"/>
      <c r="BE374"/>
      <c r="BF374"/>
      <c r="BG374"/>
      <c r="BH374"/>
      <c r="BI374"/>
      <c r="BJ374"/>
      <c r="BK374"/>
      <c r="BL374"/>
      <c r="BM374"/>
      <c r="BN374"/>
      <c r="BO374"/>
      <c r="BP374"/>
      <c r="BQ374"/>
      <c r="BR374"/>
      <c r="BS374"/>
      <c r="BT374"/>
      <c r="BU374"/>
      <c r="BV374"/>
      <c r="BW374"/>
      <c r="BX374"/>
      <c r="BY374"/>
      <c r="BZ374"/>
      <c r="CA374"/>
      <c r="CB374"/>
      <c r="CC374"/>
      <c r="CD374"/>
      <c r="CE374"/>
      <c r="CF374"/>
      <c r="CG374"/>
      <c r="CH374"/>
      <c r="CI374"/>
      <c r="CJ374"/>
      <c r="CK374"/>
      <c r="CL374"/>
      <c r="CM374"/>
      <c r="CN374"/>
      <c r="CO374"/>
      <c r="CP374"/>
      <c r="CQ374"/>
      <c r="CR374"/>
      <c r="CS374"/>
      <c r="CT374"/>
      <c r="CU374"/>
      <c r="CV374"/>
      <c r="CW374"/>
      <c r="CX374"/>
      <c r="CY374"/>
      <c r="CZ374"/>
      <c r="DA374"/>
      <c r="DB374"/>
      <c r="DC374"/>
      <c r="DD374"/>
      <c r="DE374"/>
      <c r="DF374"/>
    </row>
    <row r="375" spans="1:110" s="16" customFormat="1" x14ac:dyDescent="0.3">
      <c r="A375" t="s">
        <v>32</v>
      </c>
      <c r="B375" t="s">
        <v>190</v>
      </c>
      <c r="C375" t="s">
        <v>515</v>
      </c>
      <c r="D375" s="10">
        <f>(D221*inputs!$E$75)/(inputs!$E$31)^inputs!E119</f>
        <v>1013.4121296141233</v>
      </c>
      <c r="E375" t="str">
        <f t="shared" ca="1" si="6"/>
        <v>=(D221*inputs!$E$75)/(inputs!$E$31)^inputs!E119</v>
      </c>
      <c r="F375"/>
      <c r="G375"/>
      <c r="H375"/>
      <c r="I375"/>
      <c r="J375"/>
      <c r="K375"/>
      <c r="L375"/>
      <c r="M375"/>
      <c r="N375"/>
      <c r="O375"/>
      <c r="P375"/>
      <c r="Q375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  <c r="AJ375"/>
      <c r="AK375"/>
      <c r="AL375"/>
      <c r="AM375"/>
      <c r="AN375"/>
      <c r="AO375"/>
      <c r="AP375"/>
      <c r="AQ375"/>
      <c r="AR375"/>
      <c r="AS375"/>
      <c r="AT375"/>
      <c r="AU375"/>
      <c r="AV375"/>
      <c r="AW375"/>
      <c r="AX375"/>
      <c r="AY375"/>
      <c r="AZ375"/>
      <c r="BA375"/>
      <c r="BB375"/>
      <c r="BC375"/>
      <c r="BD375"/>
      <c r="BE375"/>
      <c r="BF375"/>
      <c r="BG375"/>
      <c r="BH375"/>
      <c r="BI375"/>
      <c r="BJ375"/>
      <c r="BK375"/>
      <c r="BL375"/>
      <c r="BM375"/>
      <c r="BN375"/>
      <c r="BO375"/>
      <c r="BP375"/>
      <c r="BQ375"/>
      <c r="BR375"/>
      <c r="BS375"/>
      <c r="BT375"/>
      <c r="BU375"/>
      <c r="BV375"/>
      <c r="BW375"/>
      <c r="BX375"/>
      <c r="BY375"/>
      <c r="BZ375"/>
      <c r="CA375"/>
      <c r="CB375"/>
      <c r="CC375"/>
      <c r="CD375"/>
      <c r="CE375"/>
      <c r="CF375"/>
      <c r="CG375"/>
      <c r="CH375"/>
      <c r="CI375"/>
      <c r="CJ375"/>
      <c r="CK375"/>
      <c r="CL375"/>
      <c r="CM375"/>
      <c r="CN375"/>
      <c r="CO375"/>
      <c r="CP375"/>
      <c r="CQ375"/>
      <c r="CR375"/>
      <c r="CS375"/>
      <c r="CT375"/>
      <c r="CU375"/>
      <c r="CV375"/>
      <c r="CW375"/>
      <c r="CX375"/>
      <c r="CY375"/>
      <c r="CZ375"/>
      <c r="DA375"/>
      <c r="DB375"/>
      <c r="DC375"/>
      <c r="DD375"/>
      <c r="DE375"/>
      <c r="DF375"/>
    </row>
    <row r="376" spans="1:110" s="16" customFormat="1" x14ac:dyDescent="0.3">
      <c r="A376" t="s">
        <v>32</v>
      </c>
      <c r="B376" t="s">
        <v>190</v>
      </c>
      <c r="C376" t="s">
        <v>516</v>
      </c>
      <c r="D376" s="10">
        <f>(D222*inputs!$E$75)/(inputs!$E$31)^inputs!E120</f>
        <v>982.91137619855272</v>
      </c>
      <c r="E376" t="str">
        <f t="shared" ca="1" si="6"/>
        <v>=(D222*inputs!$E$75)/(inputs!$E$31)^inputs!E120</v>
      </c>
      <c r="F376"/>
      <c r="G376"/>
      <c r="H376"/>
      <c r="I376"/>
      <c r="J376"/>
      <c r="K376"/>
      <c r="L376"/>
      <c r="M376"/>
      <c r="N376"/>
      <c r="O376"/>
      <c r="P376"/>
      <c r="Q37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  <c r="AJ376"/>
      <c r="AK376"/>
      <c r="AL376"/>
      <c r="AM376"/>
      <c r="AN376"/>
      <c r="AO376"/>
      <c r="AP376"/>
      <c r="AQ376"/>
      <c r="AR376"/>
      <c r="AS376"/>
      <c r="AT376"/>
      <c r="AU376"/>
      <c r="AV376"/>
      <c r="AW376"/>
      <c r="AX376"/>
      <c r="AY376"/>
      <c r="AZ376"/>
      <c r="BA376"/>
      <c r="BB376"/>
      <c r="BC376"/>
      <c r="BD376"/>
      <c r="BE376"/>
      <c r="BF376"/>
      <c r="BG376"/>
      <c r="BH376"/>
      <c r="BI376"/>
      <c r="BJ376"/>
      <c r="BK376"/>
      <c r="BL376"/>
      <c r="BM376"/>
      <c r="BN376"/>
      <c r="BO376"/>
      <c r="BP376"/>
      <c r="BQ376"/>
      <c r="BR376"/>
      <c r="BS376"/>
      <c r="BT376"/>
      <c r="BU376"/>
      <c r="BV376"/>
      <c r="BW376"/>
      <c r="BX376"/>
      <c r="BY376"/>
      <c r="BZ376"/>
      <c r="CA376"/>
      <c r="CB376"/>
      <c r="CC376"/>
      <c r="CD376"/>
      <c r="CE376"/>
      <c r="CF376"/>
      <c r="CG376"/>
      <c r="CH376"/>
      <c r="CI376"/>
      <c r="CJ376"/>
      <c r="CK376"/>
      <c r="CL376"/>
      <c r="CM376"/>
      <c r="CN376"/>
      <c r="CO376"/>
      <c r="CP376"/>
      <c r="CQ376"/>
      <c r="CR376"/>
      <c r="CS376"/>
      <c r="CT376"/>
      <c r="CU376"/>
      <c r="CV376"/>
      <c r="CW376"/>
      <c r="CX376"/>
      <c r="CY376"/>
      <c r="CZ376"/>
      <c r="DA376"/>
      <c r="DB376"/>
      <c r="DC376"/>
      <c r="DD376"/>
      <c r="DE376"/>
      <c r="DF376"/>
    </row>
    <row r="377" spans="1:110" s="16" customFormat="1" x14ac:dyDescent="0.3">
      <c r="A377" t="s">
        <v>32</v>
      </c>
      <c r="B377" t="s">
        <v>190</v>
      </c>
      <c r="C377" t="s">
        <v>517</v>
      </c>
      <c r="D377" s="10">
        <f>(D223*inputs!$E$75)/(inputs!$E$31)^inputs!E121</f>
        <v>952.37432373413151</v>
      </c>
      <c r="E377" t="str">
        <f t="shared" ca="1" si="6"/>
        <v>=(D223*inputs!$E$75)/(inputs!$E$31)^inputs!E121</v>
      </c>
      <c r="F377"/>
      <c r="G377"/>
      <c r="H377"/>
      <c r="I377"/>
      <c r="J377"/>
      <c r="K377"/>
      <c r="L377"/>
      <c r="M377"/>
      <c r="N377"/>
      <c r="O377"/>
      <c r="P377"/>
      <c r="Q377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  <c r="AJ377"/>
      <c r="AK377"/>
      <c r="AL377"/>
      <c r="AM377"/>
      <c r="AN377"/>
      <c r="AO377"/>
      <c r="AP377"/>
      <c r="AQ377"/>
      <c r="AR377"/>
      <c r="AS377"/>
      <c r="AT377"/>
      <c r="AU377"/>
      <c r="AV377"/>
      <c r="AW377"/>
      <c r="AX377"/>
      <c r="AY377"/>
      <c r="AZ377"/>
      <c r="BA377"/>
      <c r="BB377"/>
      <c r="BC377"/>
      <c r="BD377"/>
      <c r="BE377"/>
      <c r="BF377"/>
      <c r="BG377"/>
      <c r="BH377"/>
      <c r="BI377"/>
      <c r="BJ377"/>
      <c r="BK377"/>
      <c r="BL377"/>
      <c r="BM377"/>
      <c r="BN377"/>
      <c r="BO377"/>
      <c r="BP377"/>
      <c r="BQ377"/>
      <c r="BR377"/>
      <c r="BS377"/>
      <c r="BT377"/>
      <c r="BU377"/>
      <c r="BV377"/>
      <c r="BW377"/>
      <c r="BX377"/>
      <c r="BY377"/>
      <c r="BZ377"/>
      <c r="CA377"/>
      <c r="CB377"/>
      <c r="CC377"/>
      <c r="CD377"/>
      <c r="CE377"/>
      <c r="CF377"/>
      <c r="CG377"/>
      <c r="CH377"/>
      <c r="CI377"/>
      <c r="CJ377"/>
      <c r="CK377"/>
      <c r="CL377"/>
      <c r="CM377"/>
      <c r="CN377"/>
      <c r="CO377"/>
      <c r="CP377"/>
      <c r="CQ377"/>
      <c r="CR377"/>
      <c r="CS377"/>
      <c r="CT377"/>
      <c r="CU377"/>
      <c r="CV377"/>
      <c r="CW377"/>
      <c r="CX377"/>
      <c r="CY377"/>
      <c r="CZ377"/>
      <c r="DA377"/>
      <c r="DB377"/>
      <c r="DC377"/>
      <c r="DD377"/>
      <c r="DE377"/>
      <c r="DF377"/>
    </row>
    <row r="378" spans="1:110" s="16" customFormat="1" x14ac:dyDescent="0.3">
      <c r="A378" t="s">
        <v>32</v>
      </c>
      <c r="B378" t="s">
        <v>190</v>
      </c>
      <c r="C378" t="s">
        <v>518</v>
      </c>
      <c r="D378" s="10">
        <f>(D224*inputs!$E$75)/(inputs!$E$31)^inputs!E122</f>
        <v>922.78599522977026</v>
      </c>
      <c r="E378" t="str">
        <f t="shared" ca="1" si="6"/>
        <v>=(D224*inputs!$E$75)/(inputs!$E$31)^inputs!E122</v>
      </c>
      <c r="F378"/>
      <c r="G378"/>
      <c r="H378"/>
      <c r="I378"/>
      <c r="J378"/>
      <c r="K378"/>
      <c r="L378"/>
      <c r="M378"/>
      <c r="N378"/>
      <c r="O378"/>
      <c r="P378"/>
      <c r="Q378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  <c r="AJ378"/>
      <c r="AK378"/>
      <c r="AL378"/>
      <c r="AM378"/>
      <c r="AN378"/>
      <c r="AO378"/>
      <c r="AP378"/>
      <c r="AQ378"/>
      <c r="AR378"/>
      <c r="AS378"/>
      <c r="AT378"/>
      <c r="AU378"/>
      <c r="AV378"/>
      <c r="AW378"/>
      <c r="AX378"/>
      <c r="AY378"/>
      <c r="AZ378"/>
      <c r="BA378"/>
      <c r="BB378"/>
      <c r="BC378"/>
      <c r="BD378"/>
      <c r="BE378"/>
      <c r="BF378"/>
      <c r="BG378"/>
      <c r="BH378"/>
      <c r="BI378"/>
      <c r="BJ378"/>
      <c r="BK378"/>
      <c r="BL378"/>
      <c r="BM378"/>
      <c r="BN378"/>
      <c r="BO378"/>
      <c r="BP378"/>
      <c r="BQ378"/>
      <c r="BR378"/>
      <c r="BS378"/>
      <c r="BT378"/>
      <c r="BU378"/>
      <c r="BV378"/>
      <c r="BW378"/>
      <c r="BX378"/>
      <c r="BY378"/>
      <c r="BZ378"/>
      <c r="CA378"/>
      <c r="CB378"/>
      <c r="CC378"/>
      <c r="CD378"/>
      <c r="CE378"/>
      <c r="CF378"/>
      <c r="CG378"/>
      <c r="CH378"/>
      <c r="CI378"/>
      <c r="CJ378"/>
      <c r="CK378"/>
      <c r="CL378"/>
      <c r="CM378"/>
      <c r="CN378"/>
      <c r="CO378"/>
      <c r="CP378"/>
      <c r="CQ378"/>
      <c r="CR378"/>
      <c r="CS378"/>
      <c r="CT378"/>
      <c r="CU378"/>
      <c r="CV378"/>
      <c r="CW378"/>
      <c r="CX378"/>
      <c r="CY378"/>
      <c r="CZ378"/>
      <c r="DA378"/>
      <c r="DB378"/>
      <c r="DC378"/>
      <c r="DD378"/>
      <c r="DE378"/>
      <c r="DF378"/>
    </row>
    <row r="379" spans="1:110" s="16" customFormat="1" x14ac:dyDescent="0.3">
      <c r="A379" t="s">
        <v>32</v>
      </c>
      <c r="B379" t="s">
        <v>190</v>
      </c>
      <c r="C379" t="s">
        <v>519</v>
      </c>
      <c r="D379" s="10">
        <f>(D225*inputs!$E$75)/(inputs!$E$31)^inputs!E123</f>
        <v>894.11691576632109</v>
      </c>
      <c r="E379" t="str">
        <f t="shared" ca="1" si="6"/>
        <v>=(D225*inputs!$E$75)/(inputs!$E$31)^inputs!E123</v>
      </c>
      <c r="F379"/>
      <c r="G379"/>
      <c r="H379"/>
      <c r="I379"/>
      <c r="J379"/>
      <c r="K379"/>
      <c r="L379"/>
      <c r="M379"/>
      <c r="N379"/>
      <c r="O379"/>
      <c r="P379"/>
      <c r="Q379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  <c r="AJ379"/>
      <c r="AK379"/>
      <c r="AL379"/>
      <c r="AM379"/>
      <c r="AN379"/>
      <c r="AO379"/>
      <c r="AP379"/>
      <c r="AQ379"/>
      <c r="AR379"/>
      <c r="AS379"/>
      <c r="AT379"/>
      <c r="AU379"/>
      <c r="AV379"/>
      <c r="AW379"/>
      <c r="AX379"/>
      <c r="AY379"/>
      <c r="AZ379"/>
      <c r="BA379"/>
      <c r="BB379"/>
      <c r="BC379"/>
      <c r="BD379"/>
      <c r="BE379"/>
      <c r="BF379"/>
      <c r="BG379"/>
      <c r="BH379"/>
      <c r="BI379"/>
      <c r="BJ379"/>
      <c r="BK379"/>
      <c r="BL379"/>
      <c r="BM379"/>
      <c r="BN379"/>
      <c r="BO379"/>
      <c r="BP379"/>
      <c r="BQ379"/>
      <c r="BR379"/>
      <c r="BS379"/>
      <c r="BT379"/>
      <c r="BU379"/>
      <c r="BV379"/>
      <c r="BW379"/>
      <c r="BX379"/>
      <c r="BY379"/>
      <c r="BZ379"/>
      <c r="CA379"/>
      <c r="CB379"/>
      <c r="CC379"/>
      <c r="CD379"/>
      <c r="CE379"/>
      <c r="CF379"/>
      <c r="CG379"/>
      <c r="CH379"/>
      <c r="CI379"/>
      <c r="CJ379"/>
      <c r="CK379"/>
      <c r="CL379"/>
      <c r="CM379"/>
      <c r="CN379"/>
      <c r="CO379"/>
      <c r="CP379"/>
      <c r="CQ379"/>
      <c r="CR379"/>
      <c r="CS379"/>
      <c r="CT379"/>
      <c r="CU379"/>
      <c r="CV379"/>
      <c r="CW379"/>
      <c r="CX379"/>
      <c r="CY379"/>
      <c r="CZ379"/>
      <c r="DA379"/>
      <c r="DB379"/>
      <c r="DC379"/>
      <c r="DD379"/>
      <c r="DE379"/>
      <c r="DF379"/>
    </row>
    <row r="380" spans="1:110" s="16" customFormat="1" x14ac:dyDescent="0.3">
      <c r="A380" t="s">
        <v>32</v>
      </c>
      <c r="B380" t="s">
        <v>190</v>
      </c>
      <c r="C380" t="s">
        <v>520</v>
      </c>
      <c r="D380" s="10">
        <f>(D226*inputs!$E$75)/(inputs!$E$31)^inputs!E124</f>
        <v>866.33852615028002</v>
      </c>
      <c r="E380" t="str">
        <f t="shared" ca="1" si="6"/>
        <v>=(D226*inputs!$E$75)/(inputs!$E$31)^inputs!E124</v>
      </c>
      <c r="F380"/>
      <c r="G380"/>
      <c r="H380"/>
      <c r="I380"/>
      <c r="J380"/>
      <c r="K380"/>
      <c r="L380"/>
      <c r="M380"/>
      <c r="N380"/>
      <c r="O380"/>
      <c r="P380"/>
      <c r="Q380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  <c r="AJ380"/>
      <c r="AK380"/>
      <c r="AL380"/>
      <c r="AM380"/>
      <c r="AN380"/>
      <c r="AO380"/>
      <c r="AP380"/>
      <c r="AQ380"/>
      <c r="AR380"/>
      <c r="AS380"/>
      <c r="AT380"/>
      <c r="AU380"/>
      <c r="AV380"/>
      <c r="AW380"/>
      <c r="AX380"/>
      <c r="AY380"/>
      <c r="AZ380"/>
      <c r="BA380"/>
      <c r="BB380"/>
      <c r="BC380"/>
      <c r="BD380"/>
      <c r="BE380"/>
      <c r="BF380"/>
      <c r="BG380"/>
      <c r="BH380"/>
      <c r="BI380"/>
      <c r="BJ380"/>
      <c r="BK380"/>
      <c r="BL380"/>
      <c r="BM380"/>
      <c r="BN380"/>
      <c r="BO380"/>
      <c r="BP380"/>
      <c r="BQ380"/>
      <c r="BR380"/>
      <c r="BS380"/>
      <c r="BT380"/>
      <c r="BU380"/>
      <c r="BV380"/>
      <c r="BW380"/>
      <c r="BX380"/>
      <c r="BY380"/>
      <c r="BZ380"/>
      <c r="CA380"/>
      <c r="CB380"/>
      <c r="CC380"/>
      <c r="CD380"/>
      <c r="CE380"/>
      <c r="CF380"/>
      <c r="CG380"/>
      <c r="CH380"/>
      <c r="CI380"/>
      <c r="CJ380"/>
      <c r="CK380"/>
      <c r="CL380"/>
      <c r="CM380"/>
      <c r="CN380"/>
      <c r="CO380"/>
      <c r="CP380"/>
      <c r="CQ380"/>
      <c r="CR380"/>
      <c r="CS380"/>
      <c r="CT380"/>
      <c r="CU380"/>
      <c r="CV380"/>
      <c r="CW380"/>
      <c r="CX380"/>
      <c r="CY380"/>
      <c r="CZ380"/>
      <c r="DA380"/>
      <c r="DB380"/>
      <c r="DC380"/>
      <c r="DD380"/>
      <c r="DE380"/>
      <c r="DF380"/>
    </row>
    <row r="381" spans="1:110" s="16" customFormat="1" x14ac:dyDescent="0.3">
      <c r="A381" t="s">
        <v>32</v>
      </c>
      <c r="B381" t="s">
        <v>190</v>
      </c>
      <c r="C381" t="s">
        <v>521</v>
      </c>
      <c r="D381" s="10">
        <f>(D227*inputs!$E$75)/(inputs!$E$31)^inputs!E125</f>
        <v>839.4231544640578</v>
      </c>
      <c r="E381" t="str">
        <f t="shared" ca="1" si="6"/>
        <v>=(D227*inputs!$E$75)/(inputs!$E$31)^inputs!E125</v>
      </c>
      <c r="F381"/>
      <c r="G381"/>
      <c r="H381"/>
      <c r="I381"/>
      <c r="J381"/>
      <c r="K381"/>
      <c r="L381"/>
      <c r="M381"/>
      <c r="N381"/>
      <c r="O381"/>
      <c r="P381"/>
      <c r="Q381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  <c r="AJ381"/>
      <c r="AK381"/>
      <c r="AL381"/>
      <c r="AM381"/>
      <c r="AN381"/>
      <c r="AO381"/>
      <c r="AP381"/>
      <c r="AQ381"/>
      <c r="AR381"/>
      <c r="AS381"/>
      <c r="AT381"/>
      <c r="AU381"/>
      <c r="AV381"/>
      <c r="AW381"/>
      <c r="AX381"/>
      <c r="AY381"/>
      <c r="AZ381"/>
      <c r="BA381"/>
      <c r="BB381"/>
      <c r="BC381"/>
      <c r="BD381"/>
      <c r="BE381"/>
      <c r="BF381"/>
      <c r="BG381"/>
      <c r="BH381"/>
      <c r="BI381"/>
      <c r="BJ381"/>
      <c r="BK381"/>
      <c r="BL381"/>
      <c r="BM381"/>
      <c r="BN381"/>
      <c r="BO381"/>
      <c r="BP381"/>
      <c r="BQ381"/>
      <c r="BR381"/>
      <c r="BS381"/>
      <c r="BT381"/>
      <c r="BU381"/>
      <c r="BV381"/>
      <c r="BW381"/>
      <c r="BX381"/>
      <c r="BY381"/>
      <c r="BZ381"/>
      <c r="CA381"/>
      <c r="CB381"/>
      <c r="CC381"/>
      <c r="CD381"/>
      <c r="CE381"/>
      <c r="CF381"/>
      <c r="CG381"/>
      <c r="CH381"/>
      <c r="CI381"/>
      <c r="CJ381"/>
      <c r="CK381"/>
      <c r="CL381"/>
      <c r="CM381"/>
      <c r="CN381"/>
      <c r="CO381"/>
      <c r="CP381"/>
      <c r="CQ381"/>
      <c r="CR381"/>
      <c r="CS381"/>
      <c r="CT381"/>
      <c r="CU381"/>
      <c r="CV381"/>
      <c r="CW381"/>
      <c r="CX381"/>
      <c r="CY381"/>
      <c r="CZ381"/>
      <c r="DA381"/>
      <c r="DB381"/>
      <c r="DC381"/>
      <c r="DD381"/>
      <c r="DE381"/>
      <c r="DF381"/>
    </row>
    <row r="382" spans="1:110" s="16" customFormat="1" x14ac:dyDescent="0.3">
      <c r="A382" t="s">
        <v>32</v>
      </c>
      <c r="B382" t="s">
        <v>190</v>
      </c>
      <c r="C382" t="s">
        <v>522</v>
      </c>
      <c r="D382" s="10">
        <f>(D228*inputs!$E$75)/(inputs!$E$31)^inputs!E126</f>
        <v>813.34398850012587</v>
      </c>
      <c r="E382" t="str">
        <f t="shared" ca="1" si="6"/>
        <v>=(D228*inputs!$E$75)/(inputs!$E$31)^inputs!E126</v>
      </c>
      <c r="F382"/>
      <c r="G382"/>
      <c r="H382"/>
      <c r="I382"/>
      <c r="J382"/>
      <c r="K382"/>
      <c r="L382"/>
      <c r="M382"/>
      <c r="N382"/>
      <c r="O382"/>
      <c r="P382"/>
      <c r="Q382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  <c r="AJ382"/>
      <c r="AK382"/>
      <c r="AL382"/>
      <c r="AM382"/>
      <c r="AN382"/>
      <c r="AO382"/>
      <c r="AP382"/>
      <c r="AQ382"/>
      <c r="AR382"/>
      <c r="AS382"/>
      <c r="AT382"/>
      <c r="AU382"/>
      <c r="AV382"/>
      <c r="AW382"/>
      <c r="AX382"/>
      <c r="AY382"/>
      <c r="AZ382"/>
      <c r="BA382"/>
      <c r="BB382"/>
      <c r="BC382"/>
      <c r="BD382"/>
      <c r="BE382"/>
      <c r="BF382"/>
      <c r="BG382"/>
      <c r="BH382"/>
      <c r="BI382"/>
      <c r="BJ382"/>
      <c r="BK382"/>
      <c r="BL382"/>
      <c r="BM382"/>
      <c r="BN382"/>
      <c r="BO382"/>
      <c r="BP382"/>
      <c r="BQ382"/>
      <c r="BR382"/>
      <c r="BS382"/>
      <c r="BT382"/>
      <c r="BU382"/>
      <c r="BV382"/>
      <c r="BW382"/>
      <c r="BX382"/>
      <c r="BY382"/>
      <c r="BZ382"/>
      <c r="CA382"/>
      <c r="CB382"/>
      <c r="CC382"/>
      <c r="CD382"/>
      <c r="CE382"/>
      <c r="CF382"/>
      <c r="CG382"/>
      <c r="CH382"/>
      <c r="CI382"/>
      <c r="CJ382"/>
      <c r="CK382"/>
      <c r="CL382"/>
      <c r="CM382"/>
      <c r="CN382"/>
      <c r="CO382"/>
      <c r="CP382"/>
      <c r="CQ382"/>
      <c r="CR382"/>
      <c r="CS382"/>
      <c r="CT382"/>
      <c r="CU382"/>
      <c r="CV382"/>
      <c r="CW382"/>
      <c r="CX382"/>
      <c r="CY382"/>
      <c r="CZ382"/>
      <c r="DA382"/>
      <c r="DB382"/>
      <c r="DC382"/>
      <c r="DD382"/>
      <c r="DE382"/>
      <c r="DF382"/>
    </row>
    <row r="383" spans="1:110" s="16" customFormat="1" x14ac:dyDescent="0.3">
      <c r="A383" t="s">
        <v>32</v>
      </c>
      <c r="B383" t="s">
        <v>190</v>
      </c>
      <c r="C383" t="s">
        <v>523</v>
      </c>
      <c r="D383" s="10">
        <f>(D229*inputs!$E$75)/(inputs!$E$31)^inputs!E127</f>
        <v>788.07504905157839</v>
      </c>
      <c r="E383" t="str">
        <f t="shared" ca="1" si="6"/>
        <v>=(D229*inputs!$E$75)/(inputs!$E$31)^inputs!E127</v>
      </c>
      <c r="F383"/>
      <c r="G383"/>
      <c r="H383"/>
      <c r="I383"/>
      <c r="J383"/>
      <c r="K383"/>
      <c r="L383"/>
      <c r="M383"/>
      <c r="N383"/>
      <c r="O383"/>
      <c r="P383"/>
      <c r="Q383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  <c r="AJ383"/>
      <c r="AK383"/>
      <c r="AL383"/>
      <c r="AM383"/>
      <c r="AN383"/>
      <c r="AO383"/>
      <c r="AP383"/>
      <c r="AQ383"/>
      <c r="AR383"/>
      <c r="AS383"/>
      <c r="AT383"/>
      <c r="AU383"/>
      <c r="AV383"/>
      <c r="AW383"/>
      <c r="AX383"/>
      <c r="AY383"/>
      <c r="AZ383"/>
      <c r="BA383"/>
      <c r="BB383"/>
      <c r="BC383"/>
      <c r="BD383"/>
      <c r="BE383"/>
      <c r="BF383"/>
      <c r="BG383"/>
      <c r="BH383"/>
      <c r="BI383"/>
      <c r="BJ383"/>
      <c r="BK383"/>
      <c r="BL383"/>
      <c r="BM383"/>
      <c r="BN383"/>
      <c r="BO383"/>
      <c r="BP383"/>
      <c r="BQ383"/>
      <c r="BR383"/>
      <c r="BS383"/>
      <c r="BT383"/>
      <c r="BU383"/>
      <c r="BV383"/>
      <c r="BW383"/>
      <c r="BX383"/>
      <c r="BY383"/>
      <c r="BZ383"/>
      <c r="CA383"/>
      <c r="CB383"/>
      <c r="CC383"/>
      <c r="CD383"/>
      <c r="CE383"/>
      <c r="CF383"/>
      <c r="CG383"/>
      <c r="CH383"/>
      <c r="CI383"/>
      <c r="CJ383"/>
      <c r="CK383"/>
      <c r="CL383"/>
      <c r="CM383"/>
      <c r="CN383"/>
      <c r="CO383"/>
      <c r="CP383"/>
      <c r="CQ383"/>
      <c r="CR383"/>
      <c r="CS383"/>
      <c r="CT383"/>
      <c r="CU383"/>
      <c r="CV383"/>
      <c r="CW383"/>
      <c r="CX383"/>
      <c r="CY383"/>
      <c r="CZ383"/>
      <c r="DA383"/>
      <c r="DB383"/>
      <c r="DC383"/>
      <c r="DD383"/>
      <c r="DE383"/>
      <c r="DF383"/>
    </row>
    <row r="384" spans="1:110" s="16" customFormat="1" x14ac:dyDescent="0.3">
      <c r="A384" t="s">
        <v>32</v>
      </c>
      <c r="B384" t="s">
        <v>190</v>
      </c>
      <c r="C384" t="s">
        <v>524</v>
      </c>
      <c r="D384" s="10">
        <f>(D230*inputs!$E$75)/(inputs!$E$31)^inputs!E128</f>
        <v>763.59116403250016</v>
      </c>
      <c r="E384" t="str">
        <f t="shared" ca="1" si="6"/>
        <v>=(D230*inputs!$E$75)/(inputs!$E$31)^inputs!E128</v>
      </c>
      <c r="F384"/>
      <c r="G384"/>
      <c r="H384"/>
      <c r="I384"/>
      <c r="J384"/>
      <c r="K384"/>
      <c r="L384"/>
      <c r="M384"/>
      <c r="N384"/>
      <c r="O384"/>
      <c r="P384"/>
      <c r="Q384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  <c r="AJ384"/>
      <c r="AK384"/>
      <c r="AL384"/>
      <c r="AM384"/>
      <c r="AN384"/>
      <c r="AO384"/>
      <c r="AP384"/>
      <c r="AQ384"/>
      <c r="AR384"/>
      <c r="AS384"/>
      <c r="AT384"/>
      <c r="AU384"/>
      <c r="AV384"/>
      <c r="AW384"/>
      <c r="AX384"/>
      <c r="AY384"/>
      <c r="AZ384"/>
      <c r="BA384"/>
      <c r="BB384"/>
      <c r="BC384"/>
      <c r="BD384"/>
      <c r="BE384"/>
      <c r="BF384"/>
      <c r="BG384"/>
      <c r="BH384"/>
      <c r="BI384"/>
      <c r="BJ384"/>
      <c r="BK384"/>
      <c r="BL384"/>
      <c r="BM384"/>
      <c r="BN384"/>
      <c r="BO384"/>
      <c r="BP384"/>
      <c r="BQ384"/>
      <c r="BR384"/>
      <c r="BS384"/>
      <c r="BT384"/>
      <c r="BU384"/>
      <c r="BV384"/>
      <c r="BW384"/>
      <c r="BX384"/>
      <c r="BY384"/>
      <c r="BZ384"/>
      <c r="CA384"/>
      <c r="CB384"/>
      <c r="CC384"/>
      <c r="CD384"/>
      <c r="CE384"/>
      <c r="CF384"/>
      <c r="CG384"/>
      <c r="CH384"/>
      <c r="CI384"/>
      <c r="CJ384"/>
      <c r="CK384"/>
      <c r="CL384"/>
      <c r="CM384"/>
      <c r="CN384"/>
      <c r="CO384"/>
      <c r="CP384"/>
      <c r="CQ384"/>
      <c r="CR384"/>
      <c r="CS384"/>
      <c r="CT384"/>
      <c r="CU384"/>
      <c r="CV384"/>
      <c r="CW384"/>
      <c r="CX384"/>
      <c r="CY384"/>
      <c r="CZ384"/>
      <c r="DA384"/>
      <c r="DB384"/>
      <c r="DC384"/>
      <c r="DD384"/>
      <c r="DE384"/>
      <c r="DF384"/>
    </row>
    <row r="385" spans="1:110" s="16" customFormat="1" x14ac:dyDescent="0.3">
      <c r="A385" t="s">
        <v>32</v>
      </c>
      <c r="B385" t="s">
        <v>190</v>
      </c>
      <c r="C385" t="s">
        <v>525</v>
      </c>
      <c r="D385" s="10">
        <f>(D231*inputs!$E$75)/(inputs!$E$31)^inputs!E129</f>
        <v>739.8679434023644</v>
      </c>
      <c r="E385" t="str">
        <f t="shared" ca="1" si="6"/>
        <v>=(D231*inputs!$E$75)/(inputs!$E$31)^inputs!E129</v>
      </c>
      <c r="F385"/>
      <c r="G385"/>
      <c r="H385"/>
      <c r="I385"/>
      <c r="J385"/>
      <c r="K385"/>
      <c r="L385"/>
      <c r="M385"/>
      <c r="N385"/>
      <c r="O385"/>
      <c r="P385"/>
      <c r="Q385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  <c r="AJ385"/>
      <c r="AK385"/>
      <c r="AL385"/>
      <c r="AM385"/>
      <c r="AN385"/>
      <c r="AO385"/>
      <c r="AP385"/>
      <c r="AQ385"/>
      <c r="AR385"/>
      <c r="AS385"/>
      <c r="AT385"/>
      <c r="AU385"/>
      <c r="AV385"/>
      <c r="AW385"/>
      <c r="AX385"/>
      <c r="AY385"/>
      <c r="AZ385"/>
      <c r="BA385"/>
      <c r="BB385"/>
      <c r="BC385"/>
      <c r="BD385"/>
      <c r="BE385"/>
      <c r="BF385"/>
      <c r="BG385"/>
      <c r="BH385"/>
      <c r="BI385"/>
      <c r="BJ385"/>
      <c r="BK385"/>
      <c r="BL385"/>
      <c r="BM385"/>
      <c r="BN385"/>
      <c r="BO385"/>
      <c r="BP385"/>
      <c r="BQ385"/>
      <c r="BR385"/>
      <c r="BS385"/>
      <c r="BT385"/>
      <c r="BU385"/>
      <c r="BV385"/>
      <c r="BW385"/>
      <c r="BX385"/>
      <c r="BY385"/>
      <c r="BZ385"/>
      <c r="CA385"/>
      <c r="CB385"/>
      <c r="CC385"/>
      <c r="CD385"/>
      <c r="CE385"/>
      <c r="CF385"/>
      <c r="CG385"/>
      <c r="CH385"/>
      <c r="CI385"/>
      <c r="CJ385"/>
      <c r="CK385"/>
      <c r="CL385"/>
      <c r="CM385"/>
      <c r="CN385"/>
      <c r="CO385"/>
      <c r="CP385"/>
      <c r="CQ385"/>
      <c r="CR385"/>
      <c r="CS385"/>
      <c r="CT385"/>
      <c r="CU385"/>
      <c r="CV385"/>
      <c r="CW385"/>
      <c r="CX385"/>
      <c r="CY385"/>
      <c r="CZ385"/>
      <c r="DA385"/>
      <c r="DB385"/>
      <c r="DC385"/>
      <c r="DD385"/>
      <c r="DE385"/>
      <c r="DF385"/>
    </row>
    <row r="386" spans="1:110" s="16" customFormat="1" x14ac:dyDescent="0.3">
      <c r="A386" t="s">
        <v>32</v>
      </c>
      <c r="B386" t="s">
        <v>190</v>
      </c>
      <c r="C386" t="s">
        <v>526</v>
      </c>
      <c r="D386" s="10">
        <f>(D232*inputs!$E$75)/(inputs!$E$31)^inputs!E130</f>
        <v>716.88175486947523</v>
      </c>
      <c r="E386" t="str">
        <f t="shared" ca="1" si="6"/>
        <v>=(D232*inputs!$E$75)/(inputs!$E$31)^inputs!E130</v>
      </c>
      <c r="F386"/>
      <c r="G386"/>
      <c r="H386"/>
      <c r="I386"/>
      <c r="J386"/>
      <c r="K386"/>
      <c r="L386"/>
      <c r="M386"/>
      <c r="N386"/>
      <c r="O386"/>
      <c r="P386"/>
      <c r="Q38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  <c r="AJ386"/>
      <c r="AK386"/>
      <c r="AL386"/>
      <c r="AM386"/>
      <c r="AN386"/>
      <c r="AO386"/>
      <c r="AP386"/>
      <c r="AQ386"/>
      <c r="AR386"/>
      <c r="AS386"/>
      <c r="AT386"/>
      <c r="AU386"/>
      <c r="AV386"/>
      <c r="AW386"/>
      <c r="AX386"/>
      <c r="AY386"/>
      <c r="AZ386"/>
      <c r="BA386"/>
      <c r="BB386"/>
      <c r="BC386"/>
      <c r="BD386"/>
      <c r="BE386"/>
      <c r="BF386"/>
      <c r="BG386"/>
      <c r="BH386"/>
      <c r="BI386"/>
      <c r="BJ386"/>
      <c r="BK386"/>
      <c r="BL386"/>
      <c r="BM386"/>
      <c r="BN386"/>
      <c r="BO386"/>
      <c r="BP386"/>
      <c r="BQ386"/>
      <c r="BR386"/>
      <c r="BS386"/>
      <c r="BT386"/>
      <c r="BU386"/>
      <c r="BV386"/>
      <c r="BW386"/>
      <c r="BX386"/>
      <c r="BY386"/>
      <c r="BZ386"/>
      <c r="CA386"/>
      <c r="CB386"/>
      <c r="CC386"/>
      <c r="CD386"/>
      <c r="CE386"/>
      <c r="CF386"/>
      <c r="CG386"/>
      <c r="CH386"/>
      <c r="CI386"/>
      <c r="CJ386"/>
      <c r="CK386"/>
      <c r="CL386"/>
      <c r="CM386"/>
      <c r="CN386"/>
      <c r="CO386"/>
      <c r="CP386"/>
      <c r="CQ386"/>
      <c r="CR386"/>
      <c r="CS386"/>
      <c r="CT386"/>
      <c r="CU386"/>
      <c r="CV386"/>
      <c r="CW386"/>
      <c r="CX386"/>
      <c r="CY386"/>
      <c r="CZ386"/>
      <c r="DA386"/>
      <c r="DB386"/>
      <c r="DC386"/>
      <c r="DD386"/>
      <c r="DE386"/>
      <c r="DF386"/>
    </row>
    <row r="387" spans="1:110" s="16" customFormat="1" x14ac:dyDescent="0.3">
      <c r="A387" t="s">
        <v>32</v>
      </c>
      <c r="B387" t="s">
        <v>190</v>
      </c>
      <c r="C387" t="s">
        <v>527</v>
      </c>
      <c r="D387" s="10">
        <f>(D233*inputs!$E$75)/(inputs!$E$31)^inputs!E131</f>
        <v>694.60970034925856</v>
      </c>
      <c r="E387" t="str">
        <f t="shared" ca="1" si="6"/>
        <v>=(D233*inputs!$E$75)/(inputs!$E$31)^inputs!E131</v>
      </c>
      <c r="F387"/>
      <c r="G387"/>
      <c r="H387"/>
      <c r="I387"/>
      <c r="J387"/>
      <c r="K387"/>
      <c r="L387"/>
      <c r="M387"/>
      <c r="N387"/>
      <c r="O387"/>
      <c r="P387"/>
      <c r="Q387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  <c r="AJ387"/>
      <c r="AK387"/>
      <c r="AL387"/>
      <c r="AM387"/>
      <c r="AN387"/>
      <c r="AO387"/>
      <c r="AP387"/>
      <c r="AQ387"/>
      <c r="AR387"/>
      <c r="AS387"/>
      <c r="AT387"/>
      <c r="AU387"/>
      <c r="AV387"/>
      <c r="AW387"/>
      <c r="AX387"/>
      <c r="AY387"/>
      <c r="AZ387"/>
      <c r="BA387"/>
      <c r="BB387"/>
      <c r="BC387"/>
      <c r="BD387"/>
      <c r="BE387"/>
      <c r="BF387"/>
      <c r="BG387"/>
      <c r="BH387"/>
      <c r="BI387"/>
      <c r="BJ387"/>
      <c r="BK387"/>
      <c r="BL387"/>
      <c r="BM387"/>
      <c r="BN387"/>
      <c r="BO387"/>
      <c r="BP387"/>
      <c r="BQ387"/>
      <c r="BR387"/>
      <c r="BS387"/>
      <c r="BT387"/>
      <c r="BU387"/>
      <c r="BV387"/>
      <c r="BW387"/>
      <c r="BX387"/>
      <c r="BY387"/>
      <c r="BZ387"/>
      <c r="CA387"/>
      <c r="CB387"/>
      <c r="CC387"/>
      <c r="CD387"/>
      <c r="CE387"/>
      <c r="CF387"/>
      <c r="CG387"/>
      <c r="CH387"/>
      <c r="CI387"/>
      <c r="CJ387"/>
      <c r="CK387"/>
      <c r="CL387"/>
      <c r="CM387"/>
      <c r="CN387"/>
      <c r="CO387"/>
      <c r="CP387"/>
      <c r="CQ387"/>
      <c r="CR387"/>
      <c r="CS387"/>
      <c r="CT387"/>
      <c r="CU387"/>
      <c r="CV387"/>
      <c r="CW387"/>
      <c r="CX387"/>
      <c r="CY387"/>
      <c r="CZ387"/>
      <c r="DA387"/>
      <c r="DB387"/>
      <c r="DC387"/>
      <c r="DD387"/>
      <c r="DE387"/>
      <c r="DF387"/>
    </row>
    <row r="388" spans="1:110" s="16" customFormat="1" x14ac:dyDescent="0.3">
      <c r="A388" t="s">
        <v>32</v>
      </c>
      <c r="B388" t="s">
        <v>190</v>
      </c>
      <c r="C388" t="s">
        <v>528</v>
      </c>
      <c r="D388" s="10">
        <f>(D234*inputs!$E$75)/(inputs!$E$31)^inputs!E132</f>
        <v>673.02959315394185</v>
      </c>
      <c r="E388" t="str">
        <f t="shared" ca="1" si="6"/>
        <v>=(D234*inputs!$E$75)/(inputs!$E$31)^inputs!E132</v>
      </c>
      <c r="F388"/>
      <c r="G388"/>
      <c r="H388"/>
      <c r="I388"/>
      <c r="J388"/>
      <c r="K388"/>
      <c r="L388"/>
      <c r="M388"/>
      <c r="N388"/>
      <c r="O388"/>
      <c r="P388"/>
      <c r="Q388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  <c r="AJ388"/>
      <c r="AK388"/>
      <c r="AL388"/>
      <c r="AM388"/>
      <c r="AN388"/>
      <c r="AO388"/>
      <c r="AP388"/>
      <c r="AQ388"/>
      <c r="AR388"/>
      <c r="AS388"/>
      <c r="AT388"/>
      <c r="AU388"/>
      <c r="AV388"/>
      <c r="AW388"/>
      <c r="AX388"/>
      <c r="AY388"/>
      <c r="AZ388"/>
      <c r="BA388"/>
      <c r="BB388"/>
      <c r="BC388"/>
      <c r="BD388"/>
      <c r="BE388"/>
      <c r="BF388"/>
      <c r="BG388"/>
      <c r="BH388"/>
      <c r="BI388"/>
      <c r="BJ388"/>
      <c r="BK388"/>
      <c r="BL388"/>
      <c r="BM388"/>
      <c r="BN388"/>
      <c r="BO388"/>
      <c r="BP388"/>
      <c r="BQ388"/>
      <c r="BR388"/>
      <c r="BS388"/>
      <c r="BT388"/>
      <c r="BU388"/>
      <c r="BV388"/>
      <c r="BW388"/>
      <c r="BX388"/>
      <c r="BY388"/>
      <c r="BZ388"/>
      <c r="CA388"/>
      <c r="CB388"/>
      <c r="CC388"/>
      <c r="CD388"/>
      <c r="CE388"/>
      <c r="CF388"/>
      <c r="CG388"/>
      <c r="CH388"/>
      <c r="CI388"/>
      <c r="CJ388"/>
      <c r="CK388"/>
      <c r="CL388"/>
      <c r="CM388"/>
      <c r="CN388"/>
      <c r="CO388"/>
      <c r="CP388"/>
      <c r="CQ388"/>
      <c r="CR388"/>
      <c r="CS388"/>
      <c r="CT388"/>
      <c r="CU388"/>
      <c r="CV388"/>
      <c r="CW388"/>
      <c r="CX388"/>
      <c r="CY388"/>
      <c r="CZ388"/>
      <c r="DA388"/>
      <c r="DB388"/>
      <c r="DC388"/>
      <c r="DD388"/>
      <c r="DE388"/>
      <c r="DF388"/>
    </row>
    <row r="389" spans="1:110" s="16" customFormat="1" x14ac:dyDescent="0.3">
      <c r="A389" t="s">
        <v>32</v>
      </c>
      <c r="B389" t="s">
        <v>190</v>
      </c>
      <c r="C389" t="s">
        <v>529</v>
      </c>
      <c r="D389" s="10">
        <f>(D235*inputs!$E$75)/(inputs!$E$31)^inputs!E133</f>
        <v>652.11993589090673</v>
      </c>
      <c r="E389" t="str">
        <f t="shared" ca="1" si="6"/>
        <v>=(D235*inputs!$E$75)/(inputs!$E$31)^inputs!E133</v>
      </c>
      <c r="F389"/>
      <c r="G389"/>
      <c r="H389"/>
      <c r="I389"/>
      <c r="J389"/>
      <c r="K389"/>
      <c r="L389"/>
      <c r="M389"/>
      <c r="N389"/>
      <c r="O389"/>
      <c r="P389"/>
      <c r="Q389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  <c r="AJ389"/>
      <c r="AK389"/>
      <c r="AL389"/>
      <c r="AM389"/>
      <c r="AN389"/>
      <c r="AO389"/>
      <c r="AP389"/>
      <c r="AQ389"/>
      <c r="AR389"/>
      <c r="AS389"/>
      <c r="AT389"/>
      <c r="AU389"/>
      <c r="AV389"/>
      <c r="AW389"/>
      <c r="AX389"/>
      <c r="AY389"/>
      <c r="AZ389"/>
      <c r="BA389"/>
      <c r="BB389"/>
      <c r="BC389"/>
      <c r="BD389"/>
      <c r="BE389"/>
      <c r="BF389"/>
      <c r="BG389"/>
      <c r="BH389"/>
      <c r="BI389"/>
      <c r="BJ389"/>
      <c r="BK389"/>
      <c r="BL389"/>
      <c r="BM389"/>
      <c r="BN389"/>
      <c r="BO389"/>
      <c r="BP389"/>
      <c r="BQ389"/>
      <c r="BR389"/>
      <c r="BS389"/>
      <c r="BT389"/>
      <c r="BU389"/>
      <c r="BV389"/>
      <c r="BW389"/>
      <c r="BX389"/>
      <c r="BY389"/>
      <c r="BZ389"/>
      <c r="CA389"/>
      <c r="CB389"/>
      <c r="CC389"/>
      <c r="CD389"/>
      <c r="CE389"/>
      <c r="CF389"/>
      <c r="CG389"/>
      <c r="CH389"/>
      <c r="CI389"/>
      <c r="CJ389"/>
      <c r="CK389"/>
      <c r="CL389"/>
      <c r="CM389"/>
      <c r="CN389"/>
      <c r="CO389"/>
      <c r="CP389"/>
      <c r="CQ389"/>
      <c r="CR389"/>
      <c r="CS389"/>
      <c r="CT389"/>
      <c r="CU389"/>
      <c r="CV389"/>
      <c r="CW389"/>
      <c r="CX389"/>
      <c r="CY389"/>
      <c r="CZ389"/>
      <c r="DA389"/>
      <c r="DB389"/>
      <c r="DC389"/>
      <c r="DD389"/>
      <c r="DE389"/>
      <c r="DF389"/>
    </row>
    <row r="390" spans="1:110" s="16" customFormat="1" x14ac:dyDescent="0.3">
      <c r="A390" t="s">
        <v>32</v>
      </c>
      <c r="B390" t="s">
        <v>190</v>
      </c>
      <c r="C390" t="s">
        <v>530</v>
      </c>
      <c r="D390" s="10">
        <f>(D236*inputs!$E$75)/(inputs!$E$31)^inputs!E134</f>
        <v>631.85989904769406</v>
      </c>
      <c r="E390" t="str">
        <f t="shared" ca="1" si="6"/>
        <v>=(D236*inputs!$E$75)/(inputs!$E$31)^inputs!E134</v>
      </c>
      <c r="F390"/>
      <c r="G390"/>
      <c r="H390"/>
      <c r="I390"/>
      <c r="J390"/>
      <c r="K390"/>
      <c r="L390"/>
      <c r="M390"/>
      <c r="N390"/>
      <c r="O390"/>
      <c r="P390"/>
      <c r="Q390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  <c r="AJ390"/>
      <c r="AK390"/>
      <c r="AL390"/>
      <c r="AM390"/>
      <c r="AN390"/>
      <c r="AO390"/>
      <c r="AP390"/>
      <c r="AQ390"/>
      <c r="AR390"/>
      <c r="AS390"/>
      <c r="AT390"/>
      <c r="AU390"/>
      <c r="AV390"/>
      <c r="AW390"/>
      <c r="AX390"/>
      <c r="AY390"/>
      <c r="AZ390"/>
      <c r="BA390"/>
      <c r="BB390"/>
      <c r="BC390"/>
      <c r="BD390"/>
      <c r="BE390"/>
      <c r="BF390"/>
      <c r="BG390"/>
      <c r="BH390"/>
      <c r="BI390"/>
      <c r="BJ390"/>
      <c r="BK390"/>
      <c r="BL390"/>
      <c r="BM390"/>
      <c r="BN390"/>
      <c r="BO390"/>
      <c r="BP390"/>
      <c r="BQ390"/>
      <c r="BR390"/>
      <c r="BS390"/>
      <c r="BT390"/>
      <c r="BU390"/>
      <c r="BV390"/>
      <c r="BW390"/>
      <c r="BX390"/>
      <c r="BY390"/>
      <c r="BZ390"/>
      <c r="CA390"/>
      <c r="CB390"/>
      <c r="CC390"/>
      <c r="CD390"/>
      <c r="CE390"/>
      <c r="CF390"/>
      <c r="CG390"/>
      <c r="CH390"/>
      <c r="CI390"/>
      <c r="CJ390"/>
      <c r="CK390"/>
      <c r="CL390"/>
      <c r="CM390"/>
      <c r="CN390"/>
      <c r="CO390"/>
      <c r="CP390"/>
      <c r="CQ390"/>
      <c r="CR390"/>
      <c r="CS390"/>
      <c r="CT390"/>
      <c r="CU390"/>
      <c r="CV390"/>
      <c r="CW390"/>
      <c r="CX390"/>
      <c r="CY390"/>
      <c r="CZ390"/>
      <c r="DA390"/>
      <c r="DB390"/>
      <c r="DC390"/>
      <c r="DD390"/>
      <c r="DE390"/>
      <c r="DF390"/>
    </row>
    <row r="391" spans="1:110" s="16" customFormat="1" x14ac:dyDescent="0.3">
      <c r="A391" t="s">
        <v>32</v>
      </c>
      <c r="B391" t="s">
        <v>190</v>
      </c>
      <c r="C391" t="s">
        <v>531</v>
      </c>
      <c r="D391" s="10">
        <f>(D237*inputs!$E$75)/(inputs!$E$31)^inputs!E135</f>
        <v>612.22930024232892</v>
      </c>
      <c r="E391" t="str">
        <f t="shared" ca="1" si="6"/>
        <v>=(D237*inputs!$E$75)/(inputs!$E$31)^inputs!E135</v>
      </c>
      <c r="F391"/>
      <c r="G391"/>
      <c r="H391"/>
      <c r="I391"/>
      <c r="J391"/>
      <c r="K391"/>
      <c r="L391"/>
      <c r="M391"/>
      <c r="N391"/>
      <c r="O391"/>
      <c r="P391"/>
      <c r="Q391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  <c r="AJ391"/>
      <c r="AK391"/>
      <c r="AL391"/>
      <c r="AM391"/>
      <c r="AN391"/>
      <c r="AO391"/>
      <c r="AP391"/>
      <c r="AQ391"/>
      <c r="AR391"/>
      <c r="AS391"/>
      <c r="AT391"/>
      <c r="AU391"/>
      <c r="AV391"/>
      <c r="AW391"/>
      <c r="AX391"/>
      <c r="AY391"/>
      <c r="AZ391"/>
      <c r="BA391"/>
      <c r="BB391"/>
      <c r="BC391"/>
      <c r="BD391"/>
      <c r="BE391"/>
      <c r="BF391"/>
      <c r="BG391"/>
      <c r="BH391"/>
      <c r="BI391"/>
      <c r="BJ391"/>
      <c r="BK391"/>
      <c r="BL391"/>
      <c r="BM391"/>
      <c r="BN391"/>
      <c r="BO391"/>
      <c r="BP391"/>
      <c r="BQ391"/>
      <c r="BR391"/>
      <c r="BS391"/>
      <c r="BT391"/>
      <c r="BU391"/>
      <c r="BV391"/>
      <c r="BW391"/>
      <c r="BX391"/>
      <c r="BY391"/>
      <c r="BZ391"/>
      <c r="CA391"/>
      <c r="CB391"/>
      <c r="CC391"/>
      <c r="CD391"/>
      <c r="CE391"/>
      <c r="CF391"/>
      <c r="CG391"/>
      <c r="CH391"/>
      <c r="CI391"/>
      <c r="CJ391"/>
      <c r="CK391"/>
      <c r="CL391"/>
      <c r="CM391"/>
      <c r="CN391"/>
      <c r="CO391"/>
      <c r="CP391"/>
      <c r="CQ391"/>
      <c r="CR391"/>
      <c r="CS391"/>
      <c r="CT391"/>
      <c r="CU391"/>
      <c r="CV391"/>
      <c r="CW391"/>
      <c r="CX391"/>
      <c r="CY391"/>
      <c r="CZ391"/>
      <c r="DA391"/>
      <c r="DB391"/>
      <c r="DC391"/>
      <c r="DD391"/>
      <c r="DE391"/>
      <c r="DF391"/>
    </row>
    <row r="392" spans="1:110" s="16" customFormat="1" x14ac:dyDescent="0.3">
      <c r="A392" t="s">
        <v>32</v>
      </c>
      <c r="B392" t="s">
        <v>190</v>
      </c>
      <c r="C392" t="s">
        <v>557</v>
      </c>
      <c r="D392" s="10">
        <f>(D241*inputs!$E$76)/(inputs!$E$31)^inputs!E100</f>
        <v>0</v>
      </c>
      <c r="E392" t="str">
        <f t="shared" ca="1" si="6"/>
        <v>=(D241*inputs!$E$76)/(inputs!$E$31)^inputs!E100</v>
      </c>
      <c r="F392"/>
      <c r="G392"/>
      <c r="H392"/>
      <c r="I392"/>
      <c r="J392"/>
      <c r="K392"/>
      <c r="L392"/>
      <c r="M392"/>
      <c r="N392"/>
      <c r="O392"/>
      <c r="P392"/>
      <c r="Q392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  <c r="AJ392"/>
      <c r="AK392"/>
      <c r="AL392"/>
      <c r="AM392"/>
      <c r="AN392"/>
      <c r="AO392"/>
      <c r="AP392"/>
      <c r="AQ392"/>
      <c r="AR392"/>
      <c r="AS392"/>
      <c r="AT392"/>
      <c r="AU392"/>
      <c r="AV392"/>
      <c r="AW392"/>
      <c r="AX392"/>
      <c r="AY392"/>
      <c r="AZ392"/>
      <c r="BA392"/>
      <c r="BB392"/>
      <c r="BC392"/>
      <c r="BD392"/>
      <c r="BE392"/>
      <c r="BF392"/>
      <c r="BG392"/>
      <c r="BH392"/>
      <c r="BI392"/>
      <c r="BJ392"/>
      <c r="BK392"/>
      <c r="BL392"/>
      <c r="BM392"/>
      <c r="BN392"/>
      <c r="BO392"/>
      <c r="BP392"/>
      <c r="BQ392"/>
      <c r="BR392"/>
      <c r="BS392"/>
      <c r="BT392"/>
      <c r="BU392"/>
      <c r="BV392"/>
      <c r="BW392"/>
      <c r="BX392"/>
      <c r="BY392"/>
      <c r="BZ392"/>
      <c r="CA392"/>
      <c r="CB392"/>
      <c r="CC392"/>
      <c r="CD392"/>
      <c r="CE392"/>
      <c r="CF392"/>
      <c r="CG392"/>
      <c r="CH392"/>
      <c r="CI392"/>
      <c r="CJ392"/>
      <c r="CK392"/>
      <c r="CL392"/>
      <c r="CM392"/>
      <c r="CN392"/>
      <c r="CO392"/>
      <c r="CP392"/>
      <c r="CQ392"/>
      <c r="CR392"/>
      <c r="CS392"/>
      <c r="CT392"/>
      <c r="CU392"/>
      <c r="CV392"/>
      <c r="CW392"/>
      <c r="CX392"/>
      <c r="CY392"/>
      <c r="CZ392"/>
      <c r="DA392"/>
      <c r="DB392"/>
      <c r="DC392"/>
      <c r="DD392"/>
      <c r="DE392"/>
      <c r="DF392"/>
    </row>
    <row r="393" spans="1:110" s="16" customFormat="1" x14ac:dyDescent="0.3">
      <c r="A393" t="s">
        <v>32</v>
      </c>
      <c r="B393" t="s">
        <v>190</v>
      </c>
      <c r="C393" t="s">
        <v>558</v>
      </c>
      <c r="D393" s="10">
        <f>(D242*inputs!$E$76)/(inputs!$E$31)^inputs!E101</f>
        <v>0</v>
      </c>
      <c r="E393" t="str">
        <f t="shared" ca="1" si="6"/>
        <v>=(D242*inputs!$E$76)/(inputs!$E$31)^inputs!E101</v>
      </c>
      <c r="F393"/>
      <c r="G393"/>
      <c r="H393"/>
      <c r="I393"/>
      <c r="J393"/>
      <c r="K393"/>
      <c r="L393"/>
      <c r="M393"/>
      <c r="N393"/>
      <c r="O393"/>
      <c r="P393"/>
      <c r="Q393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  <c r="AJ393"/>
      <c r="AK393"/>
      <c r="AL393"/>
      <c r="AM393"/>
      <c r="AN393"/>
      <c r="AO393"/>
      <c r="AP393"/>
      <c r="AQ393"/>
      <c r="AR393"/>
      <c r="AS393"/>
      <c r="AT393"/>
      <c r="AU393"/>
      <c r="AV393"/>
      <c r="AW393"/>
      <c r="AX393"/>
      <c r="AY393"/>
      <c r="AZ393"/>
      <c r="BA393"/>
      <c r="BB393"/>
      <c r="BC393"/>
      <c r="BD393"/>
      <c r="BE393"/>
      <c r="BF393"/>
      <c r="BG393"/>
      <c r="BH393"/>
      <c r="BI393"/>
      <c r="BJ393"/>
      <c r="BK393"/>
      <c r="BL393"/>
      <c r="BM393"/>
      <c r="BN393"/>
      <c r="BO393"/>
      <c r="BP393"/>
      <c r="BQ393"/>
      <c r="BR393"/>
      <c r="BS393"/>
      <c r="BT393"/>
      <c r="BU393"/>
      <c r="BV393"/>
      <c r="BW393"/>
      <c r="BX393"/>
      <c r="BY393"/>
      <c r="BZ393"/>
      <c r="CA393"/>
      <c r="CB393"/>
      <c r="CC393"/>
      <c r="CD393"/>
      <c r="CE393"/>
      <c r="CF393"/>
      <c r="CG393"/>
      <c r="CH393"/>
      <c r="CI393"/>
      <c r="CJ393"/>
      <c r="CK393"/>
      <c r="CL393"/>
      <c r="CM393"/>
      <c r="CN393"/>
      <c r="CO393"/>
      <c r="CP393"/>
      <c r="CQ393"/>
      <c r="CR393"/>
      <c r="CS393"/>
      <c r="CT393"/>
      <c r="CU393"/>
      <c r="CV393"/>
      <c r="CW393"/>
      <c r="CX393"/>
      <c r="CY393"/>
      <c r="CZ393"/>
      <c r="DA393"/>
      <c r="DB393"/>
      <c r="DC393"/>
      <c r="DD393"/>
      <c r="DE393"/>
      <c r="DF393"/>
    </row>
    <row r="394" spans="1:110" s="16" customFormat="1" x14ac:dyDescent="0.3">
      <c r="A394" t="s">
        <v>32</v>
      </c>
      <c r="B394" t="s">
        <v>190</v>
      </c>
      <c r="C394" t="s">
        <v>559</v>
      </c>
      <c r="D394" s="10">
        <f>(D243*inputs!$E$76)/(inputs!$E$31)^inputs!E102</f>
        <v>0</v>
      </c>
      <c r="E394" t="str">
        <f t="shared" ca="1" si="6"/>
        <v>=(D243*inputs!$E$76)/(inputs!$E$31)^inputs!E102</v>
      </c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Q394"/>
      <c r="AR394"/>
      <c r="AS394"/>
      <c r="AT394"/>
      <c r="AU394"/>
      <c r="AV394"/>
      <c r="AW394"/>
      <c r="AX394"/>
      <c r="AY394"/>
      <c r="AZ394"/>
      <c r="BA394"/>
      <c r="BB394"/>
      <c r="BC394"/>
      <c r="BD394"/>
      <c r="BE394"/>
      <c r="BF394"/>
      <c r="BG394"/>
      <c r="BH394"/>
      <c r="BI394"/>
      <c r="BJ394"/>
      <c r="BK394"/>
      <c r="BL394"/>
      <c r="BM394"/>
      <c r="BN394"/>
      <c r="BO394"/>
      <c r="BP394"/>
      <c r="BQ394"/>
      <c r="BR394"/>
      <c r="BS394"/>
      <c r="BT394"/>
      <c r="BU394"/>
      <c r="BV394"/>
      <c r="BW394"/>
      <c r="BX394"/>
      <c r="BY394"/>
      <c r="BZ394"/>
      <c r="CA394"/>
      <c r="CB394"/>
      <c r="CC394"/>
      <c r="CD394"/>
      <c r="CE394"/>
      <c r="CF394"/>
      <c r="CG394"/>
      <c r="CH394"/>
      <c r="CI394"/>
      <c r="CJ394"/>
      <c r="CK394"/>
      <c r="CL394"/>
      <c r="CM394"/>
      <c r="CN394"/>
      <c r="CO394"/>
      <c r="CP394"/>
      <c r="CQ394"/>
      <c r="CR394"/>
      <c r="CS394"/>
      <c r="CT394"/>
      <c r="CU394"/>
      <c r="CV394"/>
      <c r="CW394"/>
      <c r="CX394"/>
      <c r="CY394"/>
      <c r="CZ394"/>
      <c r="DA394"/>
      <c r="DB394"/>
      <c r="DC394"/>
      <c r="DD394"/>
      <c r="DE394"/>
      <c r="DF394"/>
    </row>
    <row r="395" spans="1:110" s="16" customFormat="1" x14ac:dyDescent="0.3">
      <c r="A395" t="s">
        <v>32</v>
      </c>
      <c r="B395" t="s">
        <v>190</v>
      </c>
      <c r="C395" t="s">
        <v>560</v>
      </c>
      <c r="D395" s="10">
        <f>(D244*inputs!$E$76)/(inputs!$E$31)^inputs!E103</f>
        <v>0</v>
      </c>
      <c r="E395" t="str">
        <f t="shared" ca="1" si="6"/>
        <v>=(D244*inputs!$E$76)/(inputs!$E$31)^inputs!E103</v>
      </c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Q395"/>
      <c r="AR395"/>
      <c r="AS395"/>
      <c r="AT395"/>
      <c r="AU395"/>
      <c r="AV395"/>
      <c r="AW395"/>
      <c r="AX395"/>
      <c r="AY395"/>
      <c r="AZ395"/>
      <c r="BA395"/>
      <c r="BB395"/>
      <c r="BC395"/>
      <c r="BD395"/>
      <c r="BE395"/>
      <c r="BF395"/>
      <c r="BG395"/>
      <c r="BH395"/>
      <c r="BI395"/>
      <c r="BJ395"/>
      <c r="BK395"/>
      <c r="BL395"/>
      <c r="BM395"/>
      <c r="BN395"/>
      <c r="BO395"/>
      <c r="BP395"/>
      <c r="BQ395"/>
      <c r="BR395"/>
      <c r="BS395"/>
      <c r="BT395"/>
      <c r="BU395"/>
      <c r="BV395"/>
      <c r="BW395"/>
      <c r="BX395"/>
      <c r="BY395"/>
      <c r="BZ395"/>
      <c r="CA395"/>
      <c r="CB395"/>
      <c r="CC395"/>
      <c r="CD395"/>
      <c r="CE395"/>
      <c r="CF395"/>
      <c r="CG395"/>
      <c r="CH395"/>
      <c r="CI395"/>
      <c r="CJ395"/>
      <c r="CK395"/>
      <c r="CL395"/>
      <c r="CM395"/>
      <c r="CN395"/>
      <c r="CO395"/>
      <c r="CP395"/>
      <c r="CQ395"/>
      <c r="CR395"/>
      <c r="CS395"/>
      <c r="CT395"/>
      <c r="CU395"/>
      <c r="CV395"/>
      <c r="CW395"/>
      <c r="CX395"/>
      <c r="CY395"/>
      <c r="CZ395"/>
      <c r="DA395"/>
      <c r="DB395"/>
      <c r="DC395"/>
      <c r="DD395"/>
      <c r="DE395"/>
      <c r="DF395"/>
    </row>
    <row r="396" spans="1:110" s="16" customFormat="1" x14ac:dyDescent="0.3">
      <c r="A396" t="s">
        <v>32</v>
      </c>
      <c r="B396" t="s">
        <v>190</v>
      </c>
      <c r="C396" t="s">
        <v>561</v>
      </c>
      <c r="D396" s="10">
        <f>(D245*inputs!$E$76)/(inputs!$E$31)^inputs!E104</f>
        <v>0</v>
      </c>
      <c r="E396" t="str">
        <f t="shared" ca="1" si="6"/>
        <v>=(D245*inputs!$E$76)/(inputs!$E$31)^inputs!E104</v>
      </c>
      <c r="F396"/>
      <c r="G396"/>
      <c r="H396"/>
      <c r="I396"/>
      <c r="J396"/>
      <c r="K396"/>
      <c r="L396"/>
      <c r="M396"/>
      <c r="N396"/>
      <c r="O396"/>
      <c r="P396"/>
      <c r="Q39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Q396"/>
      <c r="AR396"/>
      <c r="AS396"/>
      <c r="AT396"/>
      <c r="AU396"/>
      <c r="AV396"/>
      <c r="AW396"/>
      <c r="AX396"/>
      <c r="AY396"/>
      <c r="AZ396"/>
      <c r="BA396"/>
      <c r="BB396"/>
      <c r="BC396"/>
      <c r="BD396"/>
      <c r="BE396"/>
      <c r="BF396"/>
      <c r="BG396"/>
      <c r="BH396"/>
      <c r="BI396"/>
      <c r="BJ396"/>
      <c r="BK396"/>
      <c r="BL396"/>
      <c r="BM396"/>
      <c r="BN396"/>
      <c r="BO396"/>
      <c r="BP396"/>
      <c r="BQ396"/>
      <c r="BR396"/>
      <c r="BS396"/>
      <c r="BT396"/>
      <c r="BU396"/>
      <c r="BV396"/>
      <c r="BW396"/>
      <c r="BX396"/>
      <c r="BY396"/>
      <c r="BZ396"/>
      <c r="CA396"/>
      <c r="CB396"/>
      <c r="CC396"/>
      <c r="CD396"/>
      <c r="CE396"/>
      <c r="CF396"/>
      <c r="CG396"/>
      <c r="CH396"/>
      <c r="CI396"/>
      <c r="CJ396"/>
      <c r="CK396"/>
      <c r="CL396"/>
      <c r="CM396"/>
      <c r="CN396"/>
      <c r="CO396"/>
      <c r="CP396"/>
      <c r="CQ396"/>
      <c r="CR396"/>
      <c r="CS396"/>
      <c r="CT396"/>
      <c r="CU396"/>
      <c r="CV396"/>
      <c r="CW396"/>
      <c r="CX396"/>
      <c r="CY396"/>
      <c r="CZ396"/>
      <c r="DA396"/>
      <c r="DB396"/>
      <c r="DC396"/>
      <c r="DD396"/>
      <c r="DE396"/>
      <c r="DF396"/>
    </row>
    <row r="397" spans="1:110" s="16" customFormat="1" x14ac:dyDescent="0.3">
      <c r="A397" t="s">
        <v>32</v>
      </c>
      <c r="B397" t="s">
        <v>190</v>
      </c>
      <c r="C397" t="s">
        <v>562</v>
      </c>
      <c r="D397" s="10">
        <f>(D246*inputs!$E$76)/(inputs!$E$31)^inputs!E105</f>
        <v>0</v>
      </c>
      <c r="E397" t="str">
        <f t="shared" ca="1" si="6"/>
        <v>=(D246*inputs!$E$76)/(inputs!$E$31)^inputs!E105</v>
      </c>
      <c r="F397"/>
      <c r="G397"/>
      <c r="H397"/>
      <c r="I397"/>
      <c r="J397"/>
      <c r="K397"/>
      <c r="L397"/>
      <c r="M397"/>
      <c r="N397"/>
      <c r="O397"/>
      <c r="P397"/>
      <c r="Q397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Q397"/>
      <c r="AR397"/>
      <c r="AS397"/>
      <c r="AT397"/>
      <c r="AU397"/>
      <c r="AV397"/>
      <c r="AW397"/>
      <c r="AX397"/>
      <c r="AY397"/>
      <c r="AZ397"/>
      <c r="BA397"/>
      <c r="BB397"/>
      <c r="BC397"/>
      <c r="BD397"/>
      <c r="BE397"/>
      <c r="BF397"/>
      <c r="BG397"/>
      <c r="BH397"/>
      <c r="BI397"/>
      <c r="BJ397"/>
      <c r="BK397"/>
      <c r="BL397"/>
      <c r="BM397"/>
      <c r="BN397"/>
      <c r="BO397"/>
      <c r="BP397"/>
      <c r="BQ397"/>
      <c r="BR397"/>
      <c r="BS397"/>
      <c r="BT397"/>
      <c r="BU397"/>
      <c r="BV397"/>
      <c r="BW397"/>
      <c r="BX397"/>
      <c r="BY397"/>
      <c r="BZ397"/>
      <c r="CA397"/>
      <c r="CB397"/>
      <c r="CC397"/>
      <c r="CD397"/>
      <c r="CE397"/>
      <c r="CF397"/>
      <c r="CG397"/>
      <c r="CH397"/>
      <c r="CI397"/>
      <c r="CJ397"/>
      <c r="CK397"/>
      <c r="CL397"/>
      <c r="CM397"/>
      <c r="CN397"/>
      <c r="CO397"/>
      <c r="CP397"/>
      <c r="CQ397"/>
      <c r="CR397"/>
      <c r="CS397"/>
      <c r="CT397"/>
      <c r="CU397"/>
      <c r="CV397"/>
      <c r="CW397"/>
      <c r="CX397"/>
      <c r="CY397"/>
      <c r="CZ397"/>
      <c r="DA397"/>
      <c r="DB397"/>
      <c r="DC397"/>
      <c r="DD397"/>
      <c r="DE397"/>
      <c r="DF397"/>
    </row>
    <row r="398" spans="1:110" s="16" customFormat="1" x14ac:dyDescent="0.3">
      <c r="A398" t="s">
        <v>32</v>
      </c>
      <c r="B398" t="s">
        <v>190</v>
      </c>
      <c r="C398" t="s">
        <v>563</v>
      </c>
      <c r="D398" s="10">
        <f>(D247*inputs!$E$76)/(inputs!$E$31)^inputs!E106</f>
        <v>0</v>
      </c>
      <c r="E398" t="str">
        <f t="shared" ca="1" si="6"/>
        <v>=(D247*inputs!$E$76)/(inputs!$E$31)^inputs!E106</v>
      </c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Q398"/>
      <c r="AR398"/>
      <c r="AS398"/>
      <c r="AT398"/>
      <c r="AU398"/>
      <c r="AV398"/>
      <c r="AW398"/>
      <c r="AX398"/>
      <c r="AY398"/>
      <c r="AZ398"/>
      <c r="BA398"/>
      <c r="BB398"/>
      <c r="BC398"/>
      <c r="BD398"/>
      <c r="BE398"/>
      <c r="BF398"/>
      <c r="BG398"/>
      <c r="BH398"/>
      <c r="BI398"/>
      <c r="BJ398"/>
      <c r="BK398"/>
      <c r="BL398"/>
      <c r="BM398"/>
      <c r="BN398"/>
      <c r="BO398"/>
      <c r="BP398"/>
      <c r="BQ398"/>
      <c r="BR398"/>
      <c r="BS398"/>
      <c r="BT398"/>
      <c r="BU398"/>
      <c r="BV398"/>
      <c r="BW398"/>
      <c r="BX398"/>
      <c r="BY398"/>
      <c r="BZ398"/>
      <c r="CA398"/>
      <c r="CB398"/>
      <c r="CC398"/>
      <c r="CD398"/>
      <c r="CE398"/>
      <c r="CF398"/>
      <c r="CG398"/>
      <c r="CH398"/>
      <c r="CI398"/>
      <c r="CJ398"/>
      <c r="CK398"/>
      <c r="CL398"/>
      <c r="CM398"/>
      <c r="CN398"/>
      <c r="CO398"/>
      <c r="CP398"/>
      <c r="CQ398"/>
      <c r="CR398"/>
      <c r="CS398"/>
      <c r="CT398"/>
      <c r="CU398"/>
      <c r="CV398"/>
      <c r="CW398"/>
      <c r="CX398"/>
      <c r="CY398"/>
      <c r="CZ398"/>
      <c r="DA398"/>
      <c r="DB398"/>
      <c r="DC398"/>
      <c r="DD398"/>
      <c r="DE398"/>
      <c r="DF398"/>
    </row>
    <row r="399" spans="1:110" s="16" customFormat="1" x14ac:dyDescent="0.3">
      <c r="A399" t="s">
        <v>32</v>
      </c>
      <c r="B399" t="s">
        <v>190</v>
      </c>
      <c r="C399" t="s">
        <v>564</v>
      </c>
      <c r="D399" s="10">
        <f>(D248*inputs!$E$76)/(inputs!$E$31)^inputs!E107</f>
        <v>0</v>
      </c>
      <c r="E399" t="str">
        <f t="shared" ca="1" si="6"/>
        <v>=(D248*inputs!$E$76)/(inputs!$E$31)^inputs!E107</v>
      </c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Q399"/>
      <c r="AR399"/>
      <c r="AS399"/>
      <c r="AT399"/>
      <c r="AU399"/>
      <c r="AV399"/>
      <c r="AW399"/>
      <c r="AX399"/>
      <c r="AY399"/>
      <c r="AZ399"/>
      <c r="BA399"/>
      <c r="BB399"/>
      <c r="BC399"/>
      <c r="BD399"/>
      <c r="BE399"/>
      <c r="BF399"/>
      <c r="BG399"/>
      <c r="BH399"/>
      <c r="BI399"/>
      <c r="BJ399"/>
      <c r="BK399"/>
      <c r="BL399"/>
      <c r="BM399"/>
      <c r="BN399"/>
      <c r="BO399"/>
      <c r="BP399"/>
      <c r="BQ399"/>
      <c r="BR399"/>
      <c r="BS399"/>
      <c r="BT399"/>
      <c r="BU399"/>
      <c r="BV399"/>
      <c r="BW399"/>
      <c r="BX399"/>
      <c r="BY399"/>
      <c r="BZ399"/>
      <c r="CA399"/>
      <c r="CB399"/>
      <c r="CC399"/>
      <c r="CD399"/>
      <c r="CE399"/>
      <c r="CF399"/>
      <c r="CG399"/>
      <c r="CH399"/>
      <c r="CI399"/>
      <c r="CJ399"/>
      <c r="CK399"/>
      <c r="CL399"/>
      <c r="CM399"/>
      <c r="CN399"/>
      <c r="CO399"/>
      <c r="CP399"/>
      <c r="CQ399"/>
      <c r="CR399"/>
      <c r="CS399"/>
      <c r="CT399"/>
      <c r="CU399"/>
      <c r="CV399"/>
      <c r="CW399"/>
      <c r="CX399"/>
      <c r="CY399"/>
      <c r="CZ399"/>
      <c r="DA399"/>
      <c r="DB399"/>
      <c r="DC399"/>
      <c r="DD399"/>
      <c r="DE399"/>
      <c r="DF399"/>
    </row>
    <row r="400" spans="1:110" s="16" customFormat="1" x14ac:dyDescent="0.3">
      <c r="A400" t="s">
        <v>32</v>
      </c>
      <c r="B400" t="s">
        <v>190</v>
      </c>
      <c r="C400" t="s">
        <v>565</v>
      </c>
      <c r="D400" s="10">
        <f>(D249*inputs!$E$76)/(inputs!$E$31)^inputs!E108</f>
        <v>0</v>
      </c>
      <c r="E400" t="str">
        <f t="shared" ca="1" si="6"/>
        <v>=(D249*inputs!$E$76)/(inputs!$E$31)^inputs!E108</v>
      </c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Q400"/>
      <c r="AR400"/>
      <c r="AS400"/>
      <c r="AT400"/>
      <c r="AU400"/>
      <c r="AV400"/>
      <c r="AW400"/>
      <c r="AX400"/>
      <c r="AY400"/>
      <c r="AZ400"/>
      <c r="BA400"/>
      <c r="BB400"/>
      <c r="BC400"/>
      <c r="BD400"/>
      <c r="BE400"/>
      <c r="BF400"/>
      <c r="BG400"/>
      <c r="BH400"/>
      <c r="BI400"/>
      <c r="BJ400"/>
      <c r="BK400"/>
      <c r="BL400"/>
      <c r="BM400"/>
      <c r="BN400"/>
      <c r="BO400"/>
      <c r="BP400"/>
      <c r="BQ400"/>
      <c r="BR400"/>
      <c r="BS400"/>
      <c r="BT400"/>
      <c r="BU400"/>
      <c r="BV400"/>
      <c r="BW400"/>
      <c r="BX400"/>
      <c r="BY400"/>
      <c r="BZ400"/>
      <c r="CA400"/>
      <c r="CB400"/>
      <c r="CC400"/>
      <c r="CD400"/>
      <c r="CE400"/>
      <c r="CF400"/>
      <c r="CG400"/>
      <c r="CH400"/>
      <c r="CI400"/>
      <c r="CJ400"/>
      <c r="CK400"/>
      <c r="CL400"/>
      <c r="CM400"/>
      <c r="CN400"/>
      <c r="CO400"/>
      <c r="CP400"/>
      <c r="CQ400"/>
      <c r="CR400"/>
      <c r="CS400"/>
      <c r="CT400"/>
      <c r="CU400"/>
      <c r="CV400"/>
      <c r="CW400"/>
      <c r="CX400"/>
      <c r="CY400"/>
      <c r="CZ400"/>
      <c r="DA400"/>
      <c r="DB400"/>
      <c r="DC400"/>
      <c r="DD400"/>
      <c r="DE400"/>
      <c r="DF400"/>
    </row>
    <row r="401" spans="1:110" s="16" customFormat="1" x14ac:dyDescent="0.3">
      <c r="A401" t="s">
        <v>32</v>
      </c>
      <c r="B401" t="s">
        <v>190</v>
      </c>
      <c r="C401" t="s">
        <v>566</v>
      </c>
      <c r="D401" s="10">
        <f>(D250*inputs!$E$76)/(inputs!$E$31)^inputs!E109</f>
        <v>0</v>
      </c>
      <c r="E401" t="str">
        <f t="shared" ca="1" si="6"/>
        <v>=(D250*inputs!$E$76)/(inputs!$E$31)^inputs!E109</v>
      </c>
      <c r="F401"/>
      <c r="G401"/>
      <c r="H401"/>
      <c r="I401"/>
      <c r="J401"/>
      <c r="K401"/>
      <c r="L401"/>
      <c r="M401"/>
      <c r="N401"/>
      <c r="O401"/>
      <c r="P401"/>
      <c r="Q401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  <c r="AJ401"/>
      <c r="AK401"/>
      <c r="AL401"/>
      <c r="AM401"/>
      <c r="AN401"/>
      <c r="AO401"/>
      <c r="AP401"/>
      <c r="AQ401"/>
      <c r="AR401"/>
      <c r="AS401"/>
      <c r="AT401"/>
      <c r="AU401"/>
      <c r="AV401"/>
      <c r="AW401"/>
      <c r="AX401"/>
      <c r="AY401"/>
      <c r="AZ401"/>
      <c r="BA401"/>
      <c r="BB401"/>
      <c r="BC401"/>
      <c r="BD401"/>
      <c r="BE401"/>
      <c r="BF401"/>
      <c r="BG401"/>
      <c r="BH401"/>
      <c r="BI401"/>
      <c r="BJ401"/>
      <c r="BK401"/>
      <c r="BL401"/>
      <c r="BM401"/>
      <c r="BN401"/>
      <c r="BO401"/>
      <c r="BP401"/>
      <c r="BQ401"/>
      <c r="BR401"/>
      <c r="BS401"/>
      <c r="BT401"/>
      <c r="BU401"/>
      <c r="BV401"/>
      <c r="BW401"/>
      <c r="BX401"/>
      <c r="BY401"/>
      <c r="BZ401"/>
      <c r="CA401"/>
      <c r="CB401"/>
      <c r="CC401"/>
      <c r="CD401"/>
      <c r="CE401"/>
      <c r="CF401"/>
      <c r="CG401"/>
      <c r="CH401"/>
      <c r="CI401"/>
      <c r="CJ401"/>
      <c r="CK401"/>
      <c r="CL401"/>
      <c r="CM401"/>
      <c r="CN401"/>
      <c r="CO401"/>
      <c r="CP401"/>
      <c r="CQ401"/>
      <c r="CR401"/>
      <c r="CS401"/>
      <c r="CT401"/>
      <c r="CU401"/>
      <c r="CV401"/>
      <c r="CW401"/>
      <c r="CX401"/>
      <c r="CY401"/>
      <c r="CZ401"/>
      <c r="DA401"/>
      <c r="DB401"/>
      <c r="DC401"/>
      <c r="DD401"/>
      <c r="DE401"/>
      <c r="DF401"/>
    </row>
    <row r="402" spans="1:110" s="16" customFormat="1" x14ac:dyDescent="0.3">
      <c r="A402" t="s">
        <v>32</v>
      </c>
      <c r="B402" t="s">
        <v>190</v>
      </c>
      <c r="C402" t="s">
        <v>567</v>
      </c>
      <c r="D402" s="10">
        <f>(D251*inputs!$E$76)/(inputs!$E$31)^inputs!E110</f>
        <v>0</v>
      </c>
      <c r="E402" t="str">
        <f t="shared" ca="1" si="6"/>
        <v>=(D251*inputs!$E$76)/(inputs!$E$31)^inputs!E110</v>
      </c>
      <c r="F402"/>
      <c r="G402"/>
      <c r="H402"/>
      <c r="I402"/>
      <c r="J402"/>
      <c r="K402"/>
      <c r="L402"/>
      <c r="M402"/>
      <c r="N402"/>
      <c r="O402"/>
      <c r="P402"/>
      <c r="Q402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  <c r="AJ402"/>
      <c r="AK402"/>
      <c r="AL402"/>
      <c r="AM402"/>
      <c r="AN402"/>
      <c r="AO402"/>
      <c r="AP402"/>
      <c r="AQ402"/>
      <c r="AR402"/>
      <c r="AS402"/>
      <c r="AT402"/>
      <c r="AU402"/>
      <c r="AV402"/>
      <c r="AW402"/>
      <c r="AX402"/>
      <c r="AY402"/>
      <c r="AZ402"/>
      <c r="BA402"/>
      <c r="BB402"/>
      <c r="BC402"/>
      <c r="BD402"/>
      <c r="BE402"/>
      <c r="BF402"/>
      <c r="BG402"/>
      <c r="BH402"/>
      <c r="BI402"/>
      <c r="BJ402"/>
      <c r="BK402"/>
      <c r="BL402"/>
      <c r="BM402"/>
      <c r="BN402"/>
      <c r="BO402"/>
      <c r="BP402"/>
      <c r="BQ402"/>
      <c r="BR402"/>
      <c r="BS402"/>
      <c r="BT402"/>
      <c r="BU402"/>
      <c r="BV402"/>
      <c r="BW402"/>
      <c r="BX402"/>
      <c r="BY402"/>
      <c r="BZ402"/>
      <c r="CA402"/>
      <c r="CB402"/>
      <c r="CC402"/>
      <c r="CD402"/>
      <c r="CE402"/>
      <c r="CF402"/>
      <c r="CG402"/>
      <c r="CH402"/>
      <c r="CI402"/>
      <c r="CJ402"/>
      <c r="CK402"/>
      <c r="CL402"/>
      <c r="CM402"/>
      <c r="CN402"/>
      <c r="CO402"/>
      <c r="CP402"/>
      <c r="CQ402"/>
      <c r="CR402"/>
      <c r="CS402"/>
      <c r="CT402"/>
      <c r="CU402"/>
      <c r="CV402"/>
      <c r="CW402"/>
      <c r="CX402"/>
      <c r="CY402"/>
      <c r="CZ402"/>
      <c r="DA402"/>
      <c r="DB402"/>
      <c r="DC402"/>
      <c r="DD402"/>
      <c r="DE402"/>
      <c r="DF402"/>
    </row>
    <row r="403" spans="1:110" s="16" customFormat="1" x14ac:dyDescent="0.3">
      <c r="A403" t="s">
        <v>32</v>
      </c>
      <c r="B403" t="s">
        <v>190</v>
      </c>
      <c r="C403" t="s">
        <v>568</v>
      </c>
      <c r="D403" s="10">
        <f>(D252*inputs!$E$76)/(inputs!$E$31)^inputs!E111</f>
        <v>0</v>
      </c>
      <c r="E403" t="str">
        <f t="shared" ca="1" si="6"/>
        <v>=(D252*inputs!$E$76)/(inputs!$E$31)^inputs!E111</v>
      </c>
      <c r="F403"/>
      <c r="G403"/>
      <c r="H403"/>
      <c r="I403"/>
      <c r="J403"/>
      <c r="K403"/>
      <c r="L403"/>
      <c r="M403"/>
      <c r="N403"/>
      <c r="O403"/>
      <c r="P403"/>
      <c r="Q403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  <c r="AJ403"/>
      <c r="AK403"/>
      <c r="AL403"/>
      <c r="AM403"/>
      <c r="AN403"/>
      <c r="AO403"/>
      <c r="AP403"/>
      <c r="AQ403"/>
      <c r="AR403"/>
      <c r="AS403"/>
      <c r="AT403"/>
      <c r="AU403"/>
      <c r="AV403"/>
      <c r="AW403"/>
      <c r="AX403"/>
      <c r="AY403"/>
      <c r="AZ403"/>
      <c r="BA403"/>
      <c r="BB403"/>
      <c r="BC403"/>
      <c r="BD403"/>
      <c r="BE403"/>
      <c r="BF403"/>
      <c r="BG403"/>
      <c r="BH403"/>
      <c r="BI403"/>
      <c r="BJ403"/>
      <c r="BK403"/>
      <c r="BL403"/>
      <c r="BM403"/>
      <c r="BN403"/>
      <c r="BO403"/>
      <c r="BP403"/>
      <c r="BQ403"/>
      <c r="BR403"/>
      <c r="BS403"/>
      <c r="BT403"/>
      <c r="BU403"/>
      <c r="BV403"/>
      <c r="BW403"/>
      <c r="BX403"/>
      <c r="BY403"/>
      <c r="BZ403"/>
      <c r="CA403"/>
      <c r="CB403"/>
      <c r="CC403"/>
      <c r="CD403"/>
      <c r="CE403"/>
      <c r="CF403"/>
      <c r="CG403"/>
      <c r="CH403"/>
      <c r="CI403"/>
      <c r="CJ403"/>
      <c r="CK403"/>
      <c r="CL403"/>
      <c r="CM403"/>
      <c r="CN403"/>
      <c r="CO403"/>
      <c r="CP403"/>
      <c r="CQ403"/>
      <c r="CR403"/>
      <c r="CS403"/>
      <c r="CT403"/>
      <c r="CU403"/>
      <c r="CV403"/>
      <c r="CW403"/>
      <c r="CX403"/>
      <c r="CY403"/>
      <c r="CZ403"/>
      <c r="DA403"/>
      <c r="DB403"/>
      <c r="DC403"/>
      <c r="DD403"/>
      <c r="DE403"/>
      <c r="DF403"/>
    </row>
    <row r="404" spans="1:110" s="16" customFormat="1" x14ac:dyDescent="0.3">
      <c r="A404" t="s">
        <v>32</v>
      </c>
      <c r="B404" t="s">
        <v>190</v>
      </c>
      <c r="C404" t="s">
        <v>569</v>
      </c>
      <c r="D404" s="10">
        <f>(D253*inputs!$E$76)/(inputs!$E$31)^inputs!E112</f>
        <v>0</v>
      </c>
      <c r="E404" t="str">
        <f t="shared" ca="1" si="6"/>
        <v>=(D253*inputs!$E$76)/(inputs!$E$31)^inputs!E112</v>
      </c>
      <c r="F404"/>
      <c r="G404"/>
      <c r="H404"/>
      <c r="I404"/>
      <c r="J404"/>
      <c r="K404"/>
      <c r="L404"/>
      <c r="M404"/>
      <c r="N404"/>
      <c r="O404"/>
      <c r="P404"/>
      <c r="Q404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  <c r="AJ404"/>
      <c r="AK404"/>
      <c r="AL404"/>
      <c r="AM404"/>
      <c r="AN404"/>
      <c r="AO404"/>
      <c r="AP404"/>
      <c r="AQ404"/>
      <c r="AR404"/>
      <c r="AS404"/>
      <c r="AT404"/>
      <c r="AU404"/>
      <c r="AV404"/>
      <c r="AW404"/>
      <c r="AX404"/>
      <c r="AY404"/>
      <c r="AZ404"/>
      <c r="BA404"/>
      <c r="BB404"/>
      <c r="BC404"/>
      <c r="BD404"/>
      <c r="BE404"/>
      <c r="BF404"/>
      <c r="BG404"/>
      <c r="BH404"/>
      <c r="BI404"/>
      <c r="BJ404"/>
      <c r="BK404"/>
      <c r="BL404"/>
      <c r="BM404"/>
      <c r="BN404"/>
      <c r="BO404"/>
      <c r="BP404"/>
      <c r="BQ404"/>
      <c r="BR404"/>
      <c r="BS404"/>
      <c r="BT404"/>
      <c r="BU404"/>
      <c r="BV404"/>
      <c r="BW404"/>
      <c r="BX404"/>
      <c r="BY404"/>
      <c r="BZ404"/>
      <c r="CA404"/>
      <c r="CB404"/>
      <c r="CC404"/>
      <c r="CD404"/>
      <c r="CE404"/>
      <c r="CF404"/>
      <c r="CG404"/>
      <c r="CH404"/>
      <c r="CI404"/>
      <c r="CJ404"/>
      <c r="CK404"/>
      <c r="CL404"/>
      <c r="CM404"/>
      <c r="CN404"/>
      <c r="CO404"/>
      <c r="CP404"/>
      <c r="CQ404"/>
      <c r="CR404"/>
      <c r="CS404"/>
      <c r="CT404"/>
      <c r="CU404"/>
      <c r="CV404"/>
      <c r="CW404"/>
      <c r="CX404"/>
      <c r="CY404"/>
      <c r="CZ404"/>
      <c r="DA404"/>
      <c r="DB404"/>
      <c r="DC404"/>
      <c r="DD404"/>
      <c r="DE404"/>
      <c r="DF404"/>
    </row>
    <row r="405" spans="1:110" s="16" customFormat="1" x14ac:dyDescent="0.3">
      <c r="A405" t="s">
        <v>32</v>
      </c>
      <c r="B405" t="s">
        <v>190</v>
      </c>
      <c r="C405" t="s">
        <v>570</v>
      </c>
      <c r="D405" s="10">
        <f>(D254*inputs!$E$76)/(inputs!$E$31)^inputs!E113</f>
        <v>0</v>
      </c>
      <c r="E405" t="str">
        <f t="shared" ca="1" si="6"/>
        <v>=(D254*inputs!$E$76)/(inputs!$E$31)^inputs!E113</v>
      </c>
      <c r="F405"/>
      <c r="G405"/>
      <c r="H405"/>
      <c r="I405"/>
      <c r="J405"/>
      <c r="K405"/>
      <c r="L405"/>
      <c r="M405"/>
      <c r="N405"/>
      <c r="O405"/>
      <c r="P405"/>
      <c r="Q405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  <c r="AJ405"/>
      <c r="AK405"/>
      <c r="AL405"/>
      <c r="AM405"/>
      <c r="AN405"/>
      <c r="AO405"/>
      <c r="AP405"/>
      <c r="AQ405"/>
      <c r="AR405"/>
      <c r="AS405"/>
      <c r="AT405"/>
      <c r="AU405"/>
      <c r="AV405"/>
      <c r="AW405"/>
      <c r="AX405"/>
      <c r="AY405"/>
      <c r="AZ405"/>
      <c r="BA405"/>
      <c r="BB405"/>
      <c r="BC405"/>
      <c r="BD405"/>
      <c r="BE405"/>
      <c r="BF405"/>
      <c r="BG405"/>
      <c r="BH405"/>
      <c r="BI405"/>
      <c r="BJ405"/>
      <c r="BK405"/>
      <c r="BL405"/>
      <c r="BM405"/>
      <c r="BN405"/>
      <c r="BO405"/>
      <c r="BP405"/>
      <c r="BQ405"/>
      <c r="BR405"/>
      <c r="BS405"/>
      <c r="BT405"/>
      <c r="BU405"/>
      <c r="BV405"/>
      <c r="BW405"/>
      <c r="BX405"/>
      <c r="BY405"/>
      <c r="BZ405"/>
      <c r="CA405"/>
      <c r="CB405"/>
      <c r="CC405"/>
      <c r="CD405"/>
      <c r="CE405"/>
      <c r="CF405"/>
      <c r="CG405"/>
      <c r="CH405"/>
      <c r="CI405"/>
      <c r="CJ405"/>
      <c r="CK405"/>
      <c r="CL405"/>
      <c r="CM405"/>
      <c r="CN405"/>
      <c r="CO405"/>
      <c r="CP405"/>
      <c r="CQ405"/>
      <c r="CR405"/>
      <c r="CS405"/>
      <c r="CT405"/>
      <c r="CU405"/>
      <c r="CV405"/>
      <c r="CW405"/>
      <c r="CX405"/>
      <c r="CY405"/>
      <c r="CZ405"/>
      <c r="DA405"/>
      <c r="DB405"/>
      <c r="DC405"/>
      <c r="DD405"/>
      <c r="DE405"/>
      <c r="DF405"/>
    </row>
    <row r="406" spans="1:110" s="16" customFormat="1" x14ac:dyDescent="0.3">
      <c r="A406" t="s">
        <v>32</v>
      </c>
      <c r="B406" t="s">
        <v>190</v>
      </c>
      <c r="C406" t="s">
        <v>571</v>
      </c>
      <c r="D406" s="10">
        <f>(D255*inputs!$E$76)/(inputs!$E$31)^inputs!E114</f>
        <v>0</v>
      </c>
      <c r="E406" t="str">
        <f t="shared" ca="1" si="6"/>
        <v>=(D255*inputs!$E$76)/(inputs!$E$31)^inputs!E114</v>
      </c>
      <c r="F406"/>
      <c r="G406"/>
      <c r="H406"/>
      <c r="I406"/>
      <c r="J406"/>
      <c r="K406"/>
      <c r="L406"/>
      <c r="M406"/>
      <c r="N406"/>
      <c r="O406"/>
      <c r="P406"/>
      <c r="Q40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  <c r="AJ406"/>
      <c r="AK406"/>
      <c r="AL406"/>
      <c r="AM406"/>
      <c r="AN406"/>
      <c r="AO406"/>
      <c r="AP406"/>
      <c r="AQ406"/>
      <c r="AR406"/>
      <c r="AS406"/>
      <c r="AT406"/>
      <c r="AU406"/>
      <c r="AV406"/>
      <c r="AW406"/>
      <c r="AX406"/>
      <c r="AY406"/>
      <c r="AZ406"/>
      <c r="BA406"/>
      <c r="BB406"/>
      <c r="BC406"/>
      <c r="BD406"/>
      <c r="BE406"/>
      <c r="BF406"/>
      <c r="BG406"/>
      <c r="BH406"/>
      <c r="BI406"/>
      <c r="BJ406"/>
      <c r="BK406"/>
      <c r="BL406"/>
      <c r="BM406"/>
      <c r="BN406"/>
      <c r="BO406"/>
      <c r="BP406"/>
      <c r="BQ406"/>
      <c r="BR406"/>
      <c r="BS406"/>
      <c r="BT406"/>
      <c r="BU406"/>
      <c r="BV406"/>
      <c r="BW406"/>
      <c r="BX406"/>
      <c r="BY406"/>
      <c r="BZ406"/>
      <c r="CA406"/>
      <c r="CB406"/>
      <c r="CC406"/>
      <c r="CD406"/>
      <c r="CE406"/>
      <c r="CF406"/>
      <c r="CG406"/>
      <c r="CH406"/>
      <c r="CI406"/>
      <c r="CJ406"/>
      <c r="CK406"/>
      <c r="CL406"/>
      <c r="CM406"/>
      <c r="CN406"/>
      <c r="CO406"/>
      <c r="CP406"/>
      <c r="CQ406"/>
      <c r="CR406"/>
      <c r="CS406"/>
      <c r="CT406"/>
      <c r="CU406"/>
      <c r="CV406"/>
      <c r="CW406"/>
      <c r="CX406"/>
      <c r="CY406"/>
      <c r="CZ406"/>
      <c r="DA406"/>
      <c r="DB406"/>
      <c r="DC406"/>
      <c r="DD406"/>
      <c r="DE406"/>
      <c r="DF406"/>
    </row>
    <row r="407" spans="1:110" s="16" customFormat="1" x14ac:dyDescent="0.3">
      <c r="A407" t="s">
        <v>32</v>
      </c>
      <c r="B407" t="s">
        <v>190</v>
      </c>
      <c r="C407" t="s">
        <v>572</v>
      </c>
      <c r="D407" s="10">
        <f>(D256*inputs!$E$76)/(inputs!$E$31)^inputs!E115</f>
        <v>0</v>
      </c>
      <c r="E407" t="str">
        <f t="shared" ca="1" si="6"/>
        <v>=(D256*inputs!$E$76)/(inputs!$E$31)^inputs!E115</v>
      </c>
      <c r="F407"/>
      <c r="G407"/>
      <c r="H407"/>
      <c r="I407"/>
      <c r="J407"/>
      <c r="K407"/>
      <c r="L407"/>
      <c r="M407"/>
      <c r="N407"/>
      <c r="O407"/>
      <c r="P407"/>
      <c r="Q407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  <c r="AJ407"/>
      <c r="AK407"/>
      <c r="AL407"/>
      <c r="AM407"/>
      <c r="AN407"/>
      <c r="AO407"/>
      <c r="AP407"/>
      <c r="AQ407"/>
      <c r="AR407"/>
      <c r="AS407"/>
      <c r="AT407"/>
      <c r="AU407"/>
      <c r="AV407"/>
      <c r="AW407"/>
      <c r="AX407"/>
      <c r="AY407"/>
      <c r="AZ407"/>
      <c r="BA407"/>
      <c r="BB407"/>
      <c r="BC407"/>
      <c r="BD407"/>
      <c r="BE407"/>
      <c r="BF407"/>
      <c r="BG407"/>
      <c r="BH407"/>
      <c r="BI407"/>
      <c r="BJ407"/>
      <c r="BK407"/>
      <c r="BL407"/>
      <c r="BM407"/>
      <c r="BN407"/>
      <c r="BO407"/>
      <c r="BP407"/>
      <c r="BQ407"/>
      <c r="BR407"/>
      <c r="BS407"/>
      <c r="BT407"/>
      <c r="BU407"/>
      <c r="BV407"/>
      <c r="BW407"/>
      <c r="BX407"/>
      <c r="BY407"/>
      <c r="BZ407"/>
      <c r="CA407"/>
      <c r="CB407"/>
      <c r="CC407"/>
      <c r="CD407"/>
      <c r="CE407"/>
      <c r="CF407"/>
      <c r="CG407"/>
      <c r="CH407"/>
      <c r="CI407"/>
      <c r="CJ407"/>
      <c r="CK407"/>
      <c r="CL407"/>
      <c r="CM407"/>
      <c r="CN407"/>
      <c r="CO407"/>
      <c r="CP407"/>
      <c r="CQ407"/>
      <c r="CR407"/>
      <c r="CS407"/>
      <c r="CT407"/>
      <c r="CU407"/>
      <c r="CV407"/>
      <c r="CW407"/>
      <c r="CX407"/>
      <c r="CY407"/>
      <c r="CZ407"/>
      <c r="DA407"/>
      <c r="DB407"/>
      <c r="DC407"/>
      <c r="DD407"/>
      <c r="DE407"/>
      <c r="DF407"/>
    </row>
    <row r="408" spans="1:110" s="16" customFormat="1" x14ac:dyDescent="0.3">
      <c r="A408" t="s">
        <v>32</v>
      </c>
      <c r="B408" t="s">
        <v>190</v>
      </c>
      <c r="C408" t="s">
        <v>573</v>
      </c>
      <c r="D408" s="10">
        <f>(D257*inputs!$E$76)/(inputs!$E$31)^inputs!E116</f>
        <v>0</v>
      </c>
      <c r="E408" t="str">
        <f t="shared" ref="E408:E471" ca="1" si="7">_xlfn.FORMULATEXT(D408)</f>
        <v>=(D257*inputs!$E$76)/(inputs!$E$31)^inputs!E116</v>
      </c>
      <c r="F408"/>
      <c r="G408"/>
      <c r="H408"/>
      <c r="I408"/>
      <c r="J408"/>
      <c r="K408"/>
      <c r="L408"/>
      <c r="M408"/>
      <c r="N408"/>
      <c r="O408"/>
      <c r="P408"/>
      <c r="Q408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  <c r="AJ408"/>
      <c r="AK408"/>
      <c r="AL408"/>
      <c r="AM408"/>
      <c r="AN408"/>
      <c r="AO408"/>
      <c r="AP408"/>
      <c r="AQ408"/>
      <c r="AR408"/>
      <c r="AS408"/>
      <c r="AT408"/>
      <c r="AU408"/>
      <c r="AV408"/>
      <c r="AW408"/>
      <c r="AX408"/>
      <c r="AY408"/>
      <c r="AZ408"/>
      <c r="BA408"/>
      <c r="BB408"/>
      <c r="BC408"/>
      <c r="BD408"/>
      <c r="BE408"/>
      <c r="BF408"/>
      <c r="BG408"/>
      <c r="BH408"/>
      <c r="BI408"/>
      <c r="BJ408"/>
      <c r="BK408"/>
      <c r="BL408"/>
      <c r="BM408"/>
      <c r="BN408"/>
      <c r="BO408"/>
      <c r="BP408"/>
      <c r="BQ408"/>
      <c r="BR408"/>
      <c r="BS408"/>
      <c r="BT408"/>
      <c r="BU408"/>
      <c r="BV408"/>
      <c r="BW408"/>
      <c r="BX408"/>
      <c r="BY408"/>
      <c r="BZ408"/>
      <c r="CA408"/>
      <c r="CB408"/>
      <c r="CC408"/>
      <c r="CD408"/>
      <c r="CE408"/>
      <c r="CF408"/>
      <c r="CG408"/>
      <c r="CH408"/>
      <c r="CI408"/>
      <c r="CJ408"/>
      <c r="CK408"/>
      <c r="CL408"/>
      <c r="CM408"/>
      <c r="CN408"/>
      <c r="CO408"/>
      <c r="CP408"/>
      <c r="CQ408"/>
      <c r="CR408"/>
      <c r="CS408"/>
      <c r="CT408"/>
      <c r="CU408"/>
      <c r="CV408"/>
      <c r="CW408"/>
      <c r="CX408"/>
      <c r="CY408"/>
      <c r="CZ408"/>
      <c r="DA408"/>
      <c r="DB408"/>
      <c r="DC408"/>
      <c r="DD408"/>
      <c r="DE408"/>
      <c r="DF408"/>
    </row>
    <row r="409" spans="1:110" s="16" customFormat="1" x14ac:dyDescent="0.3">
      <c r="A409" t="s">
        <v>32</v>
      </c>
      <c r="B409" t="s">
        <v>190</v>
      </c>
      <c r="C409" t="s">
        <v>574</v>
      </c>
      <c r="D409" s="10">
        <f>(D258*inputs!$E$76)/(inputs!$E$31)^inputs!E117</f>
        <v>0</v>
      </c>
      <c r="E409" t="str">
        <f t="shared" ca="1" si="7"/>
        <v>=(D258*inputs!$E$76)/(inputs!$E$31)^inputs!E117</v>
      </c>
      <c r="F409"/>
      <c r="G409"/>
      <c r="H409"/>
      <c r="I409"/>
      <c r="J409"/>
      <c r="K409"/>
      <c r="L409"/>
      <c r="M409"/>
      <c r="N409"/>
      <c r="O409"/>
      <c r="P409"/>
      <c r="Q409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  <c r="AJ409"/>
      <c r="AK409"/>
      <c r="AL409"/>
      <c r="AM409"/>
      <c r="AN409"/>
      <c r="AO409"/>
      <c r="AP409"/>
      <c r="AQ409"/>
      <c r="AR409"/>
      <c r="AS409"/>
      <c r="AT409"/>
      <c r="AU409"/>
      <c r="AV409"/>
      <c r="AW409"/>
      <c r="AX409"/>
      <c r="AY409"/>
      <c r="AZ409"/>
      <c r="BA409"/>
      <c r="BB409"/>
      <c r="BC409"/>
      <c r="BD409"/>
      <c r="BE409"/>
      <c r="BF409"/>
      <c r="BG409"/>
      <c r="BH409"/>
      <c r="BI409"/>
      <c r="BJ409"/>
      <c r="BK409"/>
      <c r="BL409"/>
      <c r="BM409"/>
      <c r="BN409"/>
      <c r="BO409"/>
      <c r="BP409"/>
      <c r="BQ409"/>
      <c r="BR409"/>
      <c r="BS409"/>
      <c r="BT409"/>
      <c r="BU409"/>
      <c r="BV409"/>
      <c r="BW409"/>
      <c r="BX409"/>
      <c r="BY409"/>
      <c r="BZ409"/>
      <c r="CA409"/>
      <c r="CB409"/>
      <c r="CC409"/>
      <c r="CD409"/>
      <c r="CE409"/>
      <c r="CF409"/>
      <c r="CG409"/>
      <c r="CH409"/>
      <c r="CI409"/>
      <c r="CJ409"/>
      <c r="CK409"/>
      <c r="CL409"/>
      <c r="CM409"/>
      <c r="CN409"/>
      <c r="CO409"/>
      <c r="CP409"/>
      <c r="CQ409"/>
      <c r="CR409"/>
      <c r="CS409"/>
      <c r="CT409"/>
      <c r="CU409"/>
      <c r="CV409"/>
      <c r="CW409"/>
      <c r="CX409"/>
      <c r="CY409"/>
      <c r="CZ409"/>
      <c r="DA409"/>
      <c r="DB409"/>
      <c r="DC409"/>
      <c r="DD409"/>
      <c r="DE409"/>
      <c r="DF409"/>
    </row>
    <row r="410" spans="1:110" s="16" customFormat="1" x14ac:dyDescent="0.3">
      <c r="A410" t="s">
        <v>32</v>
      </c>
      <c r="B410" t="s">
        <v>190</v>
      </c>
      <c r="C410" t="s">
        <v>575</v>
      </c>
      <c r="D410" s="10">
        <f>(D259*inputs!$E$76)/(inputs!$E$31)^inputs!E118</f>
        <v>0</v>
      </c>
      <c r="E410" t="str">
        <f t="shared" ca="1" si="7"/>
        <v>=(D259*inputs!$E$76)/(inputs!$E$31)^inputs!E118</v>
      </c>
      <c r="F410"/>
      <c r="G410"/>
      <c r="H410"/>
      <c r="I410"/>
      <c r="J410"/>
      <c r="K410"/>
      <c r="L410"/>
      <c r="M410"/>
      <c r="N410"/>
      <c r="O410"/>
      <c r="P410"/>
      <c r="Q410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  <c r="AJ410"/>
      <c r="AK410"/>
      <c r="AL410"/>
      <c r="AM410"/>
      <c r="AN410"/>
      <c r="AO410"/>
      <c r="AP410"/>
      <c r="AQ410"/>
      <c r="AR410"/>
      <c r="AS410"/>
      <c r="AT410"/>
      <c r="AU410"/>
      <c r="AV410"/>
      <c r="AW410"/>
      <c r="AX410"/>
      <c r="AY410"/>
      <c r="AZ410"/>
      <c r="BA410"/>
      <c r="BB410"/>
      <c r="BC410"/>
      <c r="BD410"/>
      <c r="BE410"/>
      <c r="BF410"/>
      <c r="BG410"/>
      <c r="BH410"/>
      <c r="BI410"/>
      <c r="BJ410"/>
      <c r="BK410"/>
      <c r="BL410"/>
      <c r="BM410"/>
      <c r="BN410"/>
      <c r="BO410"/>
      <c r="BP410"/>
      <c r="BQ410"/>
      <c r="BR410"/>
      <c r="BS410"/>
      <c r="BT410"/>
      <c r="BU410"/>
      <c r="BV410"/>
      <c r="BW410"/>
      <c r="BX410"/>
      <c r="BY410"/>
      <c r="BZ410"/>
      <c r="CA410"/>
      <c r="CB410"/>
      <c r="CC410"/>
      <c r="CD410"/>
      <c r="CE410"/>
      <c r="CF410"/>
      <c r="CG410"/>
      <c r="CH410"/>
      <c r="CI410"/>
      <c r="CJ410"/>
      <c r="CK410"/>
      <c r="CL410"/>
      <c r="CM410"/>
      <c r="CN410"/>
      <c r="CO410"/>
      <c r="CP410"/>
      <c r="CQ410"/>
      <c r="CR410"/>
      <c r="CS410"/>
      <c r="CT410"/>
      <c r="CU410"/>
      <c r="CV410"/>
      <c r="CW410"/>
      <c r="CX410"/>
      <c r="CY410"/>
      <c r="CZ410"/>
      <c r="DA410"/>
      <c r="DB410"/>
      <c r="DC410"/>
      <c r="DD410"/>
      <c r="DE410"/>
      <c r="DF410"/>
    </row>
    <row r="411" spans="1:110" s="16" customFormat="1" x14ac:dyDescent="0.3">
      <c r="A411" t="s">
        <v>32</v>
      </c>
      <c r="B411" t="s">
        <v>190</v>
      </c>
      <c r="C411" t="s">
        <v>576</v>
      </c>
      <c r="D411" s="10">
        <f>(D260*inputs!$E$76)/(inputs!$E$31)^inputs!E119</f>
        <v>0</v>
      </c>
      <c r="E411" t="str">
        <f t="shared" ca="1" si="7"/>
        <v>=(D260*inputs!$E$76)/(inputs!$E$31)^inputs!E119</v>
      </c>
      <c r="F411"/>
      <c r="G411"/>
      <c r="H411"/>
      <c r="I411"/>
      <c r="J411"/>
      <c r="K411"/>
      <c r="L411"/>
      <c r="M411"/>
      <c r="N411"/>
      <c r="O411"/>
      <c r="P411"/>
      <c r="Q411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  <c r="AJ411"/>
      <c r="AK411"/>
      <c r="AL411"/>
      <c r="AM411"/>
      <c r="AN411"/>
      <c r="AO411"/>
      <c r="AP411"/>
      <c r="AQ411"/>
      <c r="AR411"/>
      <c r="AS411"/>
      <c r="AT411"/>
      <c r="AU411"/>
      <c r="AV411"/>
      <c r="AW411"/>
      <c r="AX411"/>
      <c r="AY411"/>
      <c r="AZ411"/>
      <c r="BA411"/>
      <c r="BB411"/>
      <c r="BC411"/>
      <c r="BD411"/>
      <c r="BE411"/>
      <c r="BF411"/>
      <c r="BG411"/>
      <c r="BH411"/>
      <c r="BI411"/>
      <c r="BJ411"/>
      <c r="BK411"/>
      <c r="BL411"/>
      <c r="BM411"/>
      <c r="BN411"/>
      <c r="BO411"/>
      <c r="BP411"/>
      <c r="BQ411"/>
      <c r="BR411"/>
      <c r="BS411"/>
      <c r="BT411"/>
      <c r="BU411"/>
      <c r="BV411"/>
      <c r="BW411"/>
      <c r="BX411"/>
      <c r="BY411"/>
      <c r="BZ411"/>
      <c r="CA411"/>
      <c r="CB411"/>
      <c r="CC411"/>
      <c r="CD411"/>
      <c r="CE411"/>
      <c r="CF411"/>
      <c r="CG411"/>
      <c r="CH411"/>
      <c r="CI411"/>
      <c r="CJ411"/>
      <c r="CK411"/>
      <c r="CL411"/>
      <c r="CM411"/>
      <c r="CN411"/>
      <c r="CO411"/>
      <c r="CP411"/>
      <c r="CQ411"/>
      <c r="CR411"/>
      <c r="CS411"/>
      <c r="CT411"/>
      <c r="CU411"/>
      <c r="CV411"/>
      <c r="CW411"/>
      <c r="CX411"/>
      <c r="CY411"/>
      <c r="CZ411"/>
      <c r="DA411"/>
      <c r="DB411"/>
      <c r="DC411"/>
      <c r="DD411"/>
      <c r="DE411"/>
      <c r="DF411"/>
    </row>
    <row r="412" spans="1:110" s="16" customFormat="1" x14ac:dyDescent="0.3">
      <c r="A412" t="s">
        <v>32</v>
      </c>
      <c r="B412" t="s">
        <v>190</v>
      </c>
      <c r="C412" t="s">
        <v>577</v>
      </c>
      <c r="D412" s="10">
        <f>(D261*inputs!$E$76)/(inputs!$E$31)^inputs!E120</f>
        <v>0</v>
      </c>
      <c r="E412" t="str">
        <f t="shared" ca="1" si="7"/>
        <v>=(D261*inputs!$E$76)/(inputs!$E$31)^inputs!E120</v>
      </c>
      <c r="F412"/>
      <c r="G412"/>
      <c r="H412"/>
      <c r="I412"/>
      <c r="J412"/>
      <c r="K412"/>
      <c r="L412"/>
      <c r="M412"/>
      <c r="N412"/>
      <c r="O412"/>
      <c r="P412"/>
      <c r="Q412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  <c r="AJ412"/>
      <c r="AK412"/>
      <c r="AL412"/>
      <c r="AM412"/>
      <c r="AN412"/>
      <c r="AO412"/>
      <c r="AP412"/>
      <c r="AQ412"/>
      <c r="AR412"/>
      <c r="AS412"/>
      <c r="AT412"/>
      <c r="AU412"/>
      <c r="AV412"/>
      <c r="AW412"/>
      <c r="AX412"/>
      <c r="AY412"/>
      <c r="AZ412"/>
      <c r="BA412"/>
      <c r="BB412"/>
      <c r="BC412"/>
      <c r="BD412"/>
      <c r="BE412"/>
      <c r="BF412"/>
      <c r="BG412"/>
      <c r="BH412"/>
      <c r="BI412"/>
      <c r="BJ412"/>
      <c r="BK412"/>
      <c r="BL412"/>
      <c r="BM412"/>
      <c r="BN412"/>
      <c r="BO412"/>
      <c r="BP412"/>
      <c r="BQ412"/>
      <c r="BR412"/>
      <c r="BS412"/>
      <c r="BT412"/>
      <c r="BU412"/>
      <c r="BV412"/>
      <c r="BW412"/>
      <c r="BX412"/>
      <c r="BY412"/>
      <c r="BZ412"/>
      <c r="CA412"/>
      <c r="CB412"/>
      <c r="CC412"/>
      <c r="CD412"/>
      <c r="CE412"/>
      <c r="CF412"/>
      <c r="CG412"/>
      <c r="CH412"/>
      <c r="CI412"/>
      <c r="CJ412"/>
      <c r="CK412"/>
      <c r="CL412"/>
      <c r="CM412"/>
      <c r="CN412"/>
      <c r="CO412"/>
      <c r="CP412"/>
      <c r="CQ412"/>
      <c r="CR412"/>
      <c r="CS412"/>
      <c r="CT412"/>
      <c r="CU412"/>
      <c r="CV412"/>
      <c r="CW412"/>
      <c r="CX412"/>
      <c r="CY412"/>
      <c r="CZ412"/>
      <c r="DA412"/>
      <c r="DB412"/>
      <c r="DC412"/>
      <c r="DD412"/>
      <c r="DE412"/>
      <c r="DF412"/>
    </row>
    <row r="413" spans="1:110" s="16" customFormat="1" x14ac:dyDescent="0.3">
      <c r="A413" t="s">
        <v>32</v>
      </c>
      <c r="B413" t="s">
        <v>190</v>
      </c>
      <c r="C413" t="s">
        <v>578</v>
      </c>
      <c r="D413" s="10">
        <f>(D262*inputs!$E$76)/(inputs!$E$31)^inputs!E121</f>
        <v>0</v>
      </c>
      <c r="E413" t="str">
        <f t="shared" ca="1" si="7"/>
        <v>=(D262*inputs!$E$76)/(inputs!$E$31)^inputs!E121</v>
      </c>
      <c r="F413"/>
      <c r="G413"/>
      <c r="H413"/>
      <c r="I413"/>
      <c r="J413"/>
      <c r="K413"/>
      <c r="L413"/>
      <c r="M413"/>
      <c r="N413"/>
      <c r="O413"/>
      <c r="P413"/>
      <c r="Q413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  <c r="AJ413"/>
      <c r="AK413"/>
      <c r="AL413"/>
      <c r="AM413"/>
      <c r="AN413"/>
      <c r="AO413"/>
      <c r="AP413"/>
      <c r="AQ413"/>
      <c r="AR413"/>
      <c r="AS413"/>
      <c r="AT413"/>
      <c r="AU413"/>
      <c r="AV413"/>
      <c r="AW413"/>
      <c r="AX413"/>
      <c r="AY413"/>
      <c r="AZ413"/>
      <c r="BA413"/>
      <c r="BB413"/>
      <c r="BC413"/>
      <c r="BD413"/>
      <c r="BE413"/>
      <c r="BF413"/>
      <c r="BG413"/>
      <c r="BH413"/>
      <c r="BI413"/>
      <c r="BJ413"/>
      <c r="BK413"/>
      <c r="BL413"/>
      <c r="BM413"/>
      <c r="BN413"/>
      <c r="BO413"/>
      <c r="BP413"/>
      <c r="BQ413"/>
      <c r="BR413"/>
      <c r="BS413"/>
      <c r="BT413"/>
      <c r="BU413"/>
      <c r="BV413"/>
      <c r="BW413"/>
      <c r="BX413"/>
      <c r="BY413"/>
      <c r="BZ413"/>
      <c r="CA413"/>
      <c r="CB413"/>
      <c r="CC413"/>
      <c r="CD413"/>
      <c r="CE413"/>
      <c r="CF413"/>
      <c r="CG413"/>
      <c r="CH413"/>
      <c r="CI413"/>
      <c r="CJ413"/>
      <c r="CK413"/>
      <c r="CL413"/>
      <c r="CM413"/>
      <c r="CN413"/>
      <c r="CO413"/>
      <c r="CP413"/>
      <c r="CQ413"/>
      <c r="CR413"/>
      <c r="CS413"/>
      <c r="CT413"/>
      <c r="CU413"/>
      <c r="CV413"/>
      <c r="CW413"/>
      <c r="CX413"/>
      <c r="CY413"/>
      <c r="CZ413"/>
      <c r="DA413"/>
      <c r="DB413"/>
      <c r="DC413"/>
      <c r="DD413"/>
      <c r="DE413"/>
      <c r="DF413"/>
    </row>
    <row r="414" spans="1:110" s="16" customFormat="1" x14ac:dyDescent="0.3">
      <c r="A414" t="s">
        <v>32</v>
      </c>
      <c r="B414" t="s">
        <v>190</v>
      </c>
      <c r="C414" t="s">
        <v>579</v>
      </c>
      <c r="D414" s="10">
        <f>(D263*inputs!$E$76)/(inputs!$E$31)^inputs!E122</f>
        <v>0</v>
      </c>
      <c r="E414" t="str">
        <f t="shared" ca="1" si="7"/>
        <v>=(D263*inputs!$E$76)/(inputs!$E$31)^inputs!E122</v>
      </c>
      <c r="F414"/>
      <c r="G414"/>
      <c r="H414"/>
      <c r="I414"/>
      <c r="J414"/>
      <c r="K414"/>
      <c r="L414"/>
      <c r="M414"/>
      <c r="N414"/>
      <c r="O414"/>
      <c r="P414"/>
      <c r="Q414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  <c r="AJ414"/>
      <c r="AK414"/>
      <c r="AL414"/>
      <c r="AM414"/>
      <c r="AN414"/>
      <c r="AO414"/>
      <c r="AP414"/>
      <c r="AQ414"/>
      <c r="AR414"/>
      <c r="AS414"/>
      <c r="AT414"/>
      <c r="AU414"/>
      <c r="AV414"/>
      <c r="AW414"/>
      <c r="AX414"/>
      <c r="AY414"/>
      <c r="AZ414"/>
      <c r="BA414"/>
      <c r="BB414"/>
      <c r="BC414"/>
      <c r="BD414"/>
      <c r="BE414"/>
      <c r="BF414"/>
      <c r="BG414"/>
      <c r="BH414"/>
      <c r="BI414"/>
      <c r="BJ414"/>
      <c r="BK414"/>
      <c r="BL414"/>
      <c r="BM414"/>
      <c r="BN414"/>
      <c r="BO414"/>
      <c r="BP414"/>
      <c r="BQ414"/>
      <c r="BR414"/>
      <c r="BS414"/>
      <c r="BT414"/>
      <c r="BU414"/>
      <c r="BV414"/>
      <c r="BW414"/>
      <c r="BX414"/>
      <c r="BY414"/>
      <c r="BZ414"/>
      <c r="CA414"/>
      <c r="CB414"/>
      <c r="CC414"/>
      <c r="CD414"/>
      <c r="CE414"/>
      <c r="CF414"/>
      <c r="CG414"/>
      <c r="CH414"/>
      <c r="CI414"/>
      <c r="CJ414"/>
      <c r="CK414"/>
      <c r="CL414"/>
      <c r="CM414"/>
      <c r="CN414"/>
      <c r="CO414"/>
      <c r="CP414"/>
      <c r="CQ414"/>
      <c r="CR414"/>
      <c r="CS414"/>
      <c r="CT414"/>
      <c r="CU414"/>
      <c r="CV414"/>
      <c r="CW414"/>
      <c r="CX414"/>
      <c r="CY414"/>
      <c r="CZ414"/>
      <c r="DA414"/>
      <c r="DB414"/>
      <c r="DC414"/>
      <c r="DD414"/>
      <c r="DE414"/>
      <c r="DF414"/>
    </row>
    <row r="415" spans="1:110" s="16" customFormat="1" x14ac:dyDescent="0.3">
      <c r="A415" t="s">
        <v>32</v>
      </c>
      <c r="B415" t="s">
        <v>190</v>
      </c>
      <c r="C415" t="s">
        <v>580</v>
      </c>
      <c r="D415" s="10">
        <f>(D264*inputs!$E$76)/(inputs!$E$31)^inputs!E123</f>
        <v>0</v>
      </c>
      <c r="E415" t="str">
        <f t="shared" ca="1" si="7"/>
        <v>=(D264*inputs!$E$76)/(inputs!$E$31)^inputs!E123</v>
      </c>
      <c r="F415"/>
      <c r="G415"/>
      <c r="H415"/>
      <c r="I415"/>
      <c r="J415"/>
      <c r="K415"/>
      <c r="L415"/>
      <c r="M415"/>
      <c r="N415"/>
      <c r="O415"/>
      <c r="P415"/>
      <c r="Q415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  <c r="AJ415"/>
      <c r="AK415"/>
      <c r="AL415"/>
      <c r="AM415"/>
      <c r="AN415"/>
      <c r="AO415"/>
      <c r="AP415"/>
      <c r="AQ415"/>
      <c r="AR415"/>
      <c r="AS415"/>
      <c r="AT415"/>
      <c r="AU415"/>
      <c r="AV415"/>
      <c r="AW415"/>
      <c r="AX415"/>
      <c r="AY415"/>
      <c r="AZ415"/>
      <c r="BA415"/>
      <c r="BB415"/>
      <c r="BC415"/>
      <c r="BD415"/>
      <c r="BE415"/>
      <c r="BF415"/>
      <c r="BG415"/>
      <c r="BH415"/>
      <c r="BI415"/>
      <c r="BJ415"/>
      <c r="BK415"/>
      <c r="BL415"/>
      <c r="BM415"/>
      <c r="BN415"/>
      <c r="BO415"/>
      <c r="BP415"/>
      <c r="BQ415"/>
      <c r="BR415"/>
      <c r="BS415"/>
      <c r="BT415"/>
      <c r="BU415"/>
      <c r="BV415"/>
      <c r="BW415"/>
      <c r="BX415"/>
      <c r="BY415"/>
      <c r="BZ415"/>
      <c r="CA415"/>
      <c r="CB415"/>
      <c r="CC415"/>
      <c r="CD415"/>
      <c r="CE415"/>
      <c r="CF415"/>
      <c r="CG415"/>
      <c r="CH415"/>
      <c r="CI415"/>
      <c r="CJ415"/>
      <c r="CK415"/>
      <c r="CL415"/>
      <c r="CM415"/>
      <c r="CN415"/>
      <c r="CO415"/>
      <c r="CP415"/>
      <c r="CQ415"/>
      <c r="CR415"/>
      <c r="CS415"/>
      <c r="CT415"/>
      <c r="CU415"/>
      <c r="CV415"/>
      <c r="CW415"/>
      <c r="CX415"/>
      <c r="CY415"/>
      <c r="CZ415"/>
      <c r="DA415"/>
      <c r="DB415"/>
      <c r="DC415"/>
      <c r="DD415"/>
      <c r="DE415"/>
      <c r="DF415"/>
    </row>
    <row r="416" spans="1:110" s="16" customFormat="1" x14ac:dyDescent="0.3">
      <c r="A416" t="s">
        <v>32</v>
      </c>
      <c r="B416" t="s">
        <v>190</v>
      </c>
      <c r="C416" t="s">
        <v>581</v>
      </c>
      <c r="D416" s="10">
        <f>(D265*inputs!$E$76)/(inputs!$E$31)^inputs!E124</f>
        <v>0</v>
      </c>
      <c r="E416" t="str">
        <f t="shared" ca="1" si="7"/>
        <v>=(D265*inputs!$E$76)/(inputs!$E$31)^inputs!E124</v>
      </c>
      <c r="F416"/>
      <c r="G416"/>
      <c r="H416"/>
      <c r="I416"/>
      <c r="J416"/>
      <c r="K416"/>
      <c r="L416"/>
      <c r="M416"/>
      <c r="N416"/>
      <c r="O416"/>
      <c r="P416"/>
      <c r="Q4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  <c r="AJ416"/>
      <c r="AK416"/>
      <c r="AL416"/>
      <c r="AM416"/>
      <c r="AN416"/>
      <c r="AO416"/>
      <c r="AP416"/>
      <c r="AQ416"/>
      <c r="AR416"/>
      <c r="AS416"/>
      <c r="AT416"/>
      <c r="AU416"/>
      <c r="AV416"/>
      <c r="AW416"/>
      <c r="AX416"/>
      <c r="AY416"/>
      <c r="AZ416"/>
      <c r="BA416"/>
      <c r="BB416"/>
      <c r="BC416"/>
      <c r="BD416"/>
      <c r="BE416"/>
      <c r="BF416"/>
      <c r="BG416"/>
      <c r="BH416"/>
      <c r="BI416"/>
      <c r="BJ416"/>
      <c r="BK416"/>
      <c r="BL416"/>
      <c r="BM416"/>
      <c r="BN416"/>
      <c r="BO416"/>
      <c r="BP416"/>
      <c r="BQ416"/>
      <c r="BR416"/>
      <c r="BS416"/>
      <c r="BT416"/>
      <c r="BU416"/>
      <c r="BV416"/>
      <c r="BW416"/>
      <c r="BX416"/>
      <c r="BY416"/>
      <c r="BZ416"/>
      <c r="CA416"/>
      <c r="CB416"/>
      <c r="CC416"/>
      <c r="CD416"/>
      <c r="CE416"/>
      <c r="CF416"/>
      <c r="CG416"/>
      <c r="CH416"/>
      <c r="CI416"/>
      <c r="CJ416"/>
      <c r="CK416"/>
      <c r="CL416"/>
      <c r="CM416"/>
      <c r="CN416"/>
      <c r="CO416"/>
      <c r="CP416"/>
      <c r="CQ416"/>
      <c r="CR416"/>
      <c r="CS416"/>
      <c r="CT416"/>
      <c r="CU416"/>
      <c r="CV416"/>
      <c r="CW416"/>
      <c r="CX416"/>
      <c r="CY416"/>
      <c r="CZ416"/>
      <c r="DA416"/>
      <c r="DB416"/>
      <c r="DC416"/>
      <c r="DD416"/>
      <c r="DE416"/>
      <c r="DF416"/>
    </row>
    <row r="417" spans="1:110" s="16" customFormat="1" x14ac:dyDescent="0.3">
      <c r="A417" t="s">
        <v>32</v>
      </c>
      <c r="B417" t="s">
        <v>190</v>
      </c>
      <c r="C417" t="s">
        <v>582</v>
      </c>
      <c r="D417" s="10">
        <f>(D266*inputs!$E$76)/(inputs!$E$31)^inputs!E125</f>
        <v>0</v>
      </c>
      <c r="E417" t="str">
        <f t="shared" ca="1" si="7"/>
        <v>=(D266*inputs!$E$76)/(inputs!$E$31)^inputs!E125</v>
      </c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Q417"/>
      <c r="AR417"/>
      <c r="AS417"/>
      <c r="AT417"/>
      <c r="AU417"/>
      <c r="AV417"/>
      <c r="AW417"/>
      <c r="AX417"/>
      <c r="AY417"/>
      <c r="AZ417"/>
      <c r="BA417"/>
      <c r="BB417"/>
      <c r="BC417"/>
      <c r="BD417"/>
      <c r="BE417"/>
      <c r="BF417"/>
      <c r="BG417"/>
      <c r="BH417"/>
      <c r="BI417"/>
      <c r="BJ417"/>
      <c r="BK417"/>
      <c r="BL417"/>
      <c r="BM417"/>
      <c r="BN417"/>
      <c r="BO417"/>
      <c r="BP417"/>
      <c r="BQ417"/>
      <c r="BR417"/>
      <c r="BS417"/>
      <c r="BT417"/>
      <c r="BU417"/>
      <c r="BV417"/>
      <c r="BW417"/>
      <c r="BX417"/>
      <c r="BY417"/>
      <c r="BZ417"/>
      <c r="CA417"/>
      <c r="CB417"/>
      <c r="CC417"/>
      <c r="CD417"/>
      <c r="CE417"/>
      <c r="CF417"/>
      <c r="CG417"/>
      <c r="CH417"/>
      <c r="CI417"/>
      <c r="CJ417"/>
      <c r="CK417"/>
      <c r="CL417"/>
      <c r="CM417"/>
      <c r="CN417"/>
      <c r="CO417"/>
      <c r="CP417"/>
      <c r="CQ417"/>
      <c r="CR417"/>
      <c r="CS417"/>
      <c r="CT417"/>
      <c r="CU417"/>
      <c r="CV417"/>
      <c r="CW417"/>
      <c r="CX417"/>
      <c r="CY417"/>
      <c r="CZ417"/>
      <c r="DA417"/>
      <c r="DB417"/>
      <c r="DC417"/>
      <c r="DD417"/>
      <c r="DE417"/>
      <c r="DF417"/>
    </row>
    <row r="418" spans="1:110" s="16" customFormat="1" x14ac:dyDescent="0.3">
      <c r="A418" t="s">
        <v>32</v>
      </c>
      <c r="B418" t="s">
        <v>190</v>
      </c>
      <c r="C418" t="s">
        <v>583</v>
      </c>
      <c r="D418" s="10">
        <f>(D267*inputs!$E$76)/(inputs!$E$31)^inputs!E126</f>
        <v>0</v>
      </c>
      <c r="E418" t="str">
        <f t="shared" ca="1" si="7"/>
        <v>=(D267*inputs!$E$76)/(inputs!$E$31)^inputs!E126</v>
      </c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Q418"/>
      <c r="AR418"/>
      <c r="AS418"/>
      <c r="AT418"/>
      <c r="AU418"/>
      <c r="AV418"/>
      <c r="AW418"/>
      <c r="AX418"/>
      <c r="AY418"/>
      <c r="AZ418"/>
      <c r="BA418"/>
      <c r="BB418"/>
      <c r="BC418"/>
      <c r="BD418"/>
      <c r="BE418"/>
      <c r="BF418"/>
      <c r="BG418"/>
      <c r="BH418"/>
      <c r="BI418"/>
      <c r="BJ418"/>
      <c r="BK418"/>
      <c r="BL418"/>
      <c r="BM418"/>
      <c r="BN418"/>
      <c r="BO418"/>
      <c r="BP418"/>
      <c r="BQ418"/>
      <c r="BR418"/>
      <c r="BS418"/>
      <c r="BT418"/>
      <c r="BU418"/>
      <c r="BV418"/>
      <c r="BW418"/>
      <c r="BX418"/>
      <c r="BY418"/>
      <c r="BZ418"/>
      <c r="CA418"/>
      <c r="CB418"/>
      <c r="CC418"/>
      <c r="CD418"/>
      <c r="CE418"/>
      <c r="CF418"/>
      <c r="CG418"/>
      <c r="CH418"/>
      <c r="CI418"/>
      <c r="CJ418"/>
      <c r="CK418"/>
      <c r="CL418"/>
      <c r="CM418"/>
      <c r="CN418"/>
      <c r="CO418"/>
      <c r="CP418"/>
      <c r="CQ418"/>
      <c r="CR418"/>
      <c r="CS418"/>
      <c r="CT418"/>
      <c r="CU418"/>
      <c r="CV418"/>
      <c r="CW418"/>
      <c r="CX418"/>
      <c r="CY418"/>
      <c r="CZ418"/>
      <c r="DA418"/>
      <c r="DB418"/>
      <c r="DC418"/>
      <c r="DD418"/>
      <c r="DE418"/>
      <c r="DF418"/>
    </row>
    <row r="419" spans="1:110" s="16" customFormat="1" x14ac:dyDescent="0.3">
      <c r="A419" t="s">
        <v>32</v>
      </c>
      <c r="B419" t="s">
        <v>190</v>
      </c>
      <c r="C419" t="s">
        <v>584</v>
      </c>
      <c r="D419" s="10">
        <f>(D268*inputs!$E$76)/(inputs!$E$31)^inputs!E127</f>
        <v>0</v>
      </c>
      <c r="E419" t="str">
        <f t="shared" ca="1" si="7"/>
        <v>=(D268*inputs!$E$76)/(inputs!$E$31)^inputs!E127</v>
      </c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Q419"/>
      <c r="AR419"/>
      <c r="AS419"/>
      <c r="AT419"/>
      <c r="AU419"/>
      <c r="AV419"/>
      <c r="AW419"/>
      <c r="AX419"/>
      <c r="AY419"/>
      <c r="AZ419"/>
      <c r="BA419"/>
      <c r="BB419"/>
      <c r="BC419"/>
      <c r="BD419"/>
      <c r="BE419"/>
      <c r="BF419"/>
      <c r="BG419"/>
      <c r="BH419"/>
      <c r="BI419"/>
      <c r="BJ419"/>
      <c r="BK419"/>
      <c r="BL419"/>
      <c r="BM419"/>
      <c r="BN419"/>
      <c r="BO419"/>
      <c r="BP419"/>
      <c r="BQ419"/>
      <c r="BR419"/>
      <c r="BS419"/>
      <c r="BT419"/>
      <c r="BU419"/>
      <c r="BV419"/>
      <c r="BW419"/>
      <c r="BX419"/>
      <c r="BY419"/>
      <c r="BZ419"/>
      <c r="CA419"/>
      <c r="CB419"/>
      <c r="CC419"/>
      <c r="CD419"/>
      <c r="CE419"/>
      <c r="CF419"/>
      <c r="CG419"/>
      <c r="CH419"/>
      <c r="CI419"/>
      <c r="CJ419"/>
      <c r="CK419"/>
      <c r="CL419"/>
      <c r="CM419"/>
      <c r="CN419"/>
      <c r="CO419"/>
      <c r="CP419"/>
      <c r="CQ419"/>
      <c r="CR419"/>
      <c r="CS419"/>
      <c r="CT419"/>
      <c r="CU419"/>
      <c r="CV419"/>
      <c r="CW419"/>
      <c r="CX419"/>
      <c r="CY419"/>
      <c r="CZ419"/>
      <c r="DA419"/>
      <c r="DB419"/>
      <c r="DC419"/>
      <c r="DD419"/>
      <c r="DE419"/>
      <c r="DF419"/>
    </row>
    <row r="420" spans="1:110" s="16" customFormat="1" x14ac:dyDescent="0.3">
      <c r="A420" t="s">
        <v>32</v>
      </c>
      <c r="B420" t="s">
        <v>190</v>
      </c>
      <c r="C420" t="s">
        <v>585</v>
      </c>
      <c r="D420" s="10">
        <f>(D269*inputs!$E$76)/(inputs!$E$31)^inputs!E128</f>
        <v>0</v>
      </c>
      <c r="E420" t="str">
        <f t="shared" ca="1" si="7"/>
        <v>=(D269*inputs!$E$76)/(inputs!$E$31)^inputs!E128</v>
      </c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Q420"/>
      <c r="AR420"/>
      <c r="AS420"/>
      <c r="AT420"/>
      <c r="AU420"/>
      <c r="AV420"/>
      <c r="AW420"/>
      <c r="AX420"/>
      <c r="AY420"/>
      <c r="AZ420"/>
      <c r="BA420"/>
      <c r="BB420"/>
      <c r="BC420"/>
      <c r="BD420"/>
      <c r="BE420"/>
      <c r="BF420"/>
      <c r="BG420"/>
      <c r="BH420"/>
      <c r="BI420"/>
      <c r="BJ420"/>
      <c r="BK420"/>
      <c r="BL420"/>
      <c r="BM420"/>
      <c r="BN420"/>
      <c r="BO420"/>
      <c r="BP420"/>
      <c r="BQ420"/>
      <c r="BR420"/>
      <c r="BS420"/>
      <c r="BT420"/>
      <c r="BU420"/>
      <c r="BV420"/>
      <c r="BW420"/>
      <c r="BX420"/>
      <c r="BY420"/>
      <c r="BZ420"/>
      <c r="CA420"/>
      <c r="CB420"/>
      <c r="CC420"/>
      <c r="CD420"/>
      <c r="CE420"/>
      <c r="CF420"/>
      <c r="CG420"/>
      <c r="CH420"/>
      <c r="CI420"/>
      <c r="CJ420"/>
      <c r="CK420"/>
      <c r="CL420"/>
      <c r="CM420"/>
      <c r="CN420"/>
      <c r="CO420"/>
      <c r="CP420"/>
      <c r="CQ420"/>
      <c r="CR420"/>
      <c r="CS420"/>
      <c r="CT420"/>
      <c r="CU420"/>
      <c r="CV420"/>
      <c r="CW420"/>
      <c r="CX420"/>
      <c r="CY420"/>
      <c r="CZ420"/>
      <c r="DA420"/>
      <c r="DB420"/>
      <c r="DC420"/>
      <c r="DD420"/>
      <c r="DE420"/>
      <c r="DF420"/>
    </row>
    <row r="421" spans="1:110" s="16" customFormat="1" x14ac:dyDescent="0.3">
      <c r="A421" t="s">
        <v>32</v>
      </c>
      <c r="B421" t="s">
        <v>190</v>
      </c>
      <c r="C421" t="s">
        <v>586</v>
      </c>
      <c r="D421" s="10">
        <f>(D270*inputs!$E$76)/(inputs!$E$31)^inputs!E129</f>
        <v>0</v>
      </c>
      <c r="E421" t="str">
        <f t="shared" ca="1" si="7"/>
        <v>=(D270*inputs!$E$76)/(inputs!$E$31)^inputs!E129</v>
      </c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Q421"/>
      <c r="AR421"/>
      <c r="AS421"/>
      <c r="AT421"/>
      <c r="AU421"/>
      <c r="AV421"/>
      <c r="AW421"/>
      <c r="AX421"/>
      <c r="AY421"/>
      <c r="AZ421"/>
      <c r="BA421"/>
      <c r="BB421"/>
      <c r="BC421"/>
      <c r="BD421"/>
      <c r="BE421"/>
      <c r="BF421"/>
      <c r="BG421"/>
      <c r="BH421"/>
      <c r="BI421"/>
      <c r="BJ421"/>
      <c r="BK421"/>
      <c r="BL421"/>
      <c r="BM421"/>
      <c r="BN421"/>
      <c r="BO421"/>
      <c r="BP421"/>
      <c r="BQ421"/>
      <c r="BR421"/>
      <c r="BS421"/>
      <c r="BT421"/>
      <c r="BU421"/>
      <c r="BV421"/>
      <c r="BW421"/>
      <c r="BX421"/>
      <c r="BY421"/>
      <c r="BZ421"/>
      <c r="CA421"/>
      <c r="CB421"/>
      <c r="CC421"/>
      <c r="CD421"/>
      <c r="CE421"/>
      <c r="CF421"/>
      <c r="CG421"/>
      <c r="CH421"/>
      <c r="CI421"/>
      <c r="CJ421"/>
      <c r="CK421"/>
      <c r="CL421"/>
      <c r="CM421"/>
      <c r="CN421"/>
      <c r="CO421"/>
      <c r="CP421"/>
      <c r="CQ421"/>
      <c r="CR421"/>
      <c r="CS421"/>
      <c r="CT421"/>
      <c r="CU421"/>
      <c r="CV421"/>
      <c r="CW421"/>
      <c r="CX421"/>
      <c r="CY421"/>
      <c r="CZ421"/>
      <c r="DA421"/>
      <c r="DB421"/>
      <c r="DC421"/>
      <c r="DD421"/>
      <c r="DE421"/>
      <c r="DF421"/>
    </row>
    <row r="422" spans="1:110" s="16" customFormat="1" x14ac:dyDescent="0.3">
      <c r="A422" t="s">
        <v>32</v>
      </c>
      <c r="B422" t="s">
        <v>190</v>
      </c>
      <c r="C422" t="s">
        <v>587</v>
      </c>
      <c r="D422" s="10">
        <f>(D271*inputs!$E$76)/(inputs!$E$31)^inputs!E130</f>
        <v>0</v>
      </c>
      <c r="E422" t="str">
        <f t="shared" ca="1" si="7"/>
        <v>=(D271*inputs!$E$76)/(inputs!$E$31)^inputs!E130</v>
      </c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Q422"/>
      <c r="AR422"/>
      <c r="AS422"/>
      <c r="AT422"/>
      <c r="AU422"/>
      <c r="AV422"/>
      <c r="AW422"/>
      <c r="AX422"/>
      <c r="AY422"/>
      <c r="AZ422"/>
      <c r="BA422"/>
      <c r="BB422"/>
      <c r="BC422"/>
      <c r="BD422"/>
      <c r="BE422"/>
      <c r="BF422"/>
      <c r="BG422"/>
      <c r="BH422"/>
      <c r="BI422"/>
      <c r="BJ422"/>
      <c r="BK422"/>
      <c r="BL422"/>
      <c r="BM422"/>
      <c r="BN422"/>
      <c r="BO422"/>
      <c r="BP422"/>
      <c r="BQ422"/>
      <c r="BR422"/>
      <c r="BS422"/>
      <c r="BT422"/>
      <c r="BU422"/>
      <c r="BV422"/>
      <c r="BW422"/>
      <c r="BX422"/>
      <c r="BY422"/>
      <c r="BZ422"/>
      <c r="CA422"/>
      <c r="CB422"/>
      <c r="CC422"/>
      <c r="CD422"/>
      <c r="CE422"/>
      <c r="CF422"/>
      <c r="CG422"/>
      <c r="CH422"/>
      <c r="CI422"/>
      <c r="CJ422"/>
      <c r="CK422"/>
      <c r="CL422"/>
      <c r="CM422"/>
      <c r="CN422"/>
      <c r="CO422"/>
      <c r="CP422"/>
      <c r="CQ422"/>
      <c r="CR422"/>
      <c r="CS422"/>
      <c r="CT422"/>
      <c r="CU422"/>
      <c r="CV422"/>
      <c r="CW422"/>
      <c r="CX422"/>
      <c r="CY422"/>
      <c r="CZ422"/>
      <c r="DA422"/>
      <c r="DB422"/>
      <c r="DC422"/>
      <c r="DD422"/>
      <c r="DE422"/>
      <c r="DF422"/>
    </row>
    <row r="423" spans="1:110" s="16" customFormat="1" x14ac:dyDescent="0.3">
      <c r="A423" t="s">
        <v>32</v>
      </c>
      <c r="B423" t="s">
        <v>190</v>
      </c>
      <c r="C423" t="s">
        <v>588</v>
      </c>
      <c r="D423" s="10">
        <f>(D272*inputs!$E$76)/(inputs!$E$31)^inputs!E131</f>
        <v>0</v>
      </c>
      <c r="E423" t="str">
        <f t="shared" ca="1" si="7"/>
        <v>=(D272*inputs!$E$76)/(inputs!$E$31)^inputs!E131</v>
      </c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Q423"/>
      <c r="AR423"/>
      <c r="AS423"/>
      <c r="AT423"/>
      <c r="AU423"/>
      <c r="AV423"/>
      <c r="AW423"/>
      <c r="AX423"/>
      <c r="AY423"/>
      <c r="AZ423"/>
      <c r="BA423"/>
      <c r="BB423"/>
      <c r="BC423"/>
      <c r="BD423"/>
      <c r="BE423"/>
      <c r="BF423"/>
      <c r="BG423"/>
      <c r="BH423"/>
      <c r="BI423"/>
      <c r="BJ423"/>
      <c r="BK423"/>
      <c r="BL423"/>
      <c r="BM423"/>
      <c r="BN423"/>
      <c r="BO423"/>
      <c r="BP423"/>
      <c r="BQ423"/>
      <c r="BR423"/>
      <c r="BS423"/>
      <c r="BT423"/>
      <c r="BU423"/>
      <c r="BV423"/>
      <c r="BW423"/>
      <c r="BX423"/>
      <c r="BY423"/>
      <c r="BZ423"/>
      <c r="CA423"/>
      <c r="CB423"/>
      <c r="CC423"/>
      <c r="CD423"/>
      <c r="CE423"/>
      <c r="CF423"/>
      <c r="CG423"/>
      <c r="CH423"/>
      <c r="CI423"/>
      <c r="CJ423"/>
      <c r="CK423"/>
      <c r="CL423"/>
      <c r="CM423"/>
      <c r="CN423"/>
      <c r="CO423"/>
      <c r="CP423"/>
      <c r="CQ423"/>
      <c r="CR423"/>
      <c r="CS423"/>
      <c r="CT423"/>
      <c r="CU423"/>
      <c r="CV423"/>
      <c r="CW423"/>
      <c r="CX423"/>
      <c r="CY423"/>
      <c r="CZ423"/>
      <c r="DA423"/>
      <c r="DB423"/>
      <c r="DC423"/>
      <c r="DD423"/>
      <c r="DE423"/>
      <c r="DF423"/>
    </row>
    <row r="424" spans="1:110" s="16" customFormat="1" x14ac:dyDescent="0.3">
      <c r="A424" t="s">
        <v>32</v>
      </c>
      <c r="B424" t="s">
        <v>190</v>
      </c>
      <c r="C424" t="s">
        <v>589</v>
      </c>
      <c r="D424" s="10">
        <f>(D273*inputs!$E$76)/(inputs!$E$31)^inputs!E132</f>
        <v>0</v>
      </c>
      <c r="E424" t="str">
        <f t="shared" ca="1" si="7"/>
        <v>=(D273*inputs!$E$76)/(inputs!$E$31)^inputs!E132</v>
      </c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Q424"/>
      <c r="AR424"/>
      <c r="AS424"/>
      <c r="AT424"/>
      <c r="AU424"/>
      <c r="AV424"/>
      <c r="AW424"/>
      <c r="AX424"/>
      <c r="AY424"/>
      <c r="AZ424"/>
      <c r="BA424"/>
      <c r="BB424"/>
      <c r="BC424"/>
      <c r="BD424"/>
      <c r="BE424"/>
      <c r="BF424"/>
      <c r="BG424"/>
      <c r="BH424"/>
      <c r="BI424"/>
      <c r="BJ424"/>
      <c r="BK424"/>
      <c r="BL424"/>
      <c r="BM424"/>
      <c r="BN424"/>
      <c r="BO424"/>
      <c r="BP424"/>
      <c r="BQ424"/>
      <c r="BR424"/>
      <c r="BS424"/>
      <c r="BT424"/>
      <c r="BU424"/>
      <c r="BV424"/>
      <c r="BW424"/>
      <c r="BX424"/>
      <c r="BY424"/>
      <c r="BZ424"/>
      <c r="CA424"/>
      <c r="CB424"/>
      <c r="CC424"/>
      <c r="CD424"/>
      <c r="CE424"/>
      <c r="CF424"/>
      <c r="CG424"/>
      <c r="CH424"/>
      <c r="CI424"/>
      <c r="CJ424"/>
      <c r="CK424"/>
      <c r="CL424"/>
      <c r="CM424"/>
      <c r="CN424"/>
      <c r="CO424"/>
      <c r="CP424"/>
      <c r="CQ424"/>
      <c r="CR424"/>
      <c r="CS424"/>
      <c r="CT424"/>
      <c r="CU424"/>
      <c r="CV424"/>
      <c r="CW424"/>
      <c r="CX424"/>
      <c r="CY424"/>
      <c r="CZ424"/>
      <c r="DA424"/>
      <c r="DB424"/>
      <c r="DC424"/>
      <c r="DD424"/>
      <c r="DE424"/>
      <c r="DF424"/>
    </row>
    <row r="425" spans="1:110" s="16" customFormat="1" x14ac:dyDescent="0.3">
      <c r="A425" t="s">
        <v>32</v>
      </c>
      <c r="B425" t="s">
        <v>190</v>
      </c>
      <c r="C425" t="s">
        <v>590</v>
      </c>
      <c r="D425" s="10">
        <f>(D274*inputs!$E$76)/(inputs!$E$31)^inputs!E133</f>
        <v>0</v>
      </c>
      <c r="E425" t="str">
        <f t="shared" ca="1" si="7"/>
        <v>=(D274*inputs!$E$76)/(inputs!$E$31)^inputs!E133</v>
      </c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Q425"/>
      <c r="AR425"/>
      <c r="AS425"/>
      <c r="AT425"/>
      <c r="AU425"/>
      <c r="AV425"/>
      <c r="AW425"/>
      <c r="AX425"/>
      <c r="AY425"/>
      <c r="AZ425"/>
      <c r="BA425"/>
      <c r="BB425"/>
      <c r="BC425"/>
      <c r="BD425"/>
      <c r="BE425"/>
      <c r="BF425"/>
      <c r="BG425"/>
      <c r="BH425"/>
      <c r="BI425"/>
      <c r="BJ425"/>
      <c r="BK425"/>
      <c r="BL425"/>
      <c r="BM425"/>
      <c r="BN425"/>
      <c r="BO425"/>
      <c r="BP425"/>
      <c r="BQ425"/>
      <c r="BR425"/>
      <c r="BS425"/>
      <c r="BT425"/>
      <c r="BU425"/>
      <c r="BV425"/>
      <c r="BW425"/>
      <c r="BX425"/>
      <c r="BY425"/>
      <c r="BZ425"/>
      <c r="CA425"/>
      <c r="CB425"/>
      <c r="CC425"/>
      <c r="CD425"/>
      <c r="CE425"/>
      <c r="CF425"/>
      <c r="CG425"/>
      <c r="CH425"/>
      <c r="CI425"/>
      <c r="CJ425"/>
      <c r="CK425"/>
      <c r="CL425"/>
      <c r="CM425"/>
      <c r="CN425"/>
      <c r="CO425"/>
      <c r="CP425"/>
      <c r="CQ425"/>
      <c r="CR425"/>
      <c r="CS425"/>
      <c r="CT425"/>
      <c r="CU425"/>
      <c r="CV425"/>
      <c r="CW425"/>
      <c r="CX425"/>
      <c r="CY425"/>
      <c r="CZ425"/>
      <c r="DA425"/>
      <c r="DB425"/>
      <c r="DC425"/>
      <c r="DD425"/>
      <c r="DE425"/>
      <c r="DF425"/>
    </row>
    <row r="426" spans="1:110" s="16" customFormat="1" x14ac:dyDescent="0.3">
      <c r="A426" t="s">
        <v>32</v>
      </c>
      <c r="B426" t="s">
        <v>190</v>
      </c>
      <c r="C426" t="s">
        <v>591</v>
      </c>
      <c r="D426" s="10">
        <f>(D275*inputs!$E$76)/(inputs!$E$31)^inputs!E134</f>
        <v>0</v>
      </c>
      <c r="E426" t="str">
        <f t="shared" ca="1" si="7"/>
        <v>=(D275*inputs!$E$76)/(inputs!$E$31)^inputs!E134</v>
      </c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Q426"/>
      <c r="AR426"/>
      <c r="AS426"/>
      <c r="AT426"/>
      <c r="AU426"/>
      <c r="AV426"/>
      <c r="AW426"/>
      <c r="AX426"/>
      <c r="AY426"/>
      <c r="AZ426"/>
      <c r="BA426"/>
      <c r="BB426"/>
      <c r="BC426"/>
      <c r="BD426"/>
      <c r="BE426"/>
      <c r="BF426"/>
      <c r="BG426"/>
      <c r="BH426"/>
      <c r="BI426"/>
      <c r="BJ426"/>
      <c r="BK426"/>
      <c r="BL426"/>
      <c r="BM426"/>
      <c r="BN426"/>
      <c r="BO426"/>
      <c r="BP426"/>
      <c r="BQ426"/>
      <c r="BR426"/>
      <c r="BS426"/>
      <c r="BT426"/>
      <c r="BU426"/>
      <c r="BV426"/>
      <c r="BW426"/>
      <c r="BX426"/>
      <c r="BY426"/>
      <c r="BZ426"/>
      <c r="CA426"/>
      <c r="CB426"/>
      <c r="CC426"/>
      <c r="CD426"/>
      <c r="CE426"/>
      <c r="CF426"/>
      <c r="CG426"/>
      <c r="CH426"/>
      <c r="CI426"/>
      <c r="CJ426"/>
      <c r="CK426"/>
      <c r="CL426"/>
      <c r="CM426"/>
      <c r="CN426"/>
      <c r="CO426"/>
      <c r="CP426"/>
      <c r="CQ426"/>
      <c r="CR426"/>
      <c r="CS426"/>
      <c r="CT426"/>
      <c r="CU426"/>
      <c r="CV426"/>
      <c r="CW426"/>
      <c r="CX426"/>
      <c r="CY426"/>
      <c r="CZ426"/>
      <c r="DA426"/>
      <c r="DB426"/>
      <c r="DC426"/>
      <c r="DD426"/>
      <c r="DE426"/>
      <c r="DF426"/>
    </row>
    <row r="427" spans="1:110" s="16" customFormat="1" x14ac:dyDescent="0.3">
      <c r="A427" t="s">
        <v>32</v>
      </c>
      <c r="B427" t="s">
        <v>190</v>
      </c>
      <c r="C427" t="s">
        <v>592</v>
      </c>
      <c r="D427" s="10">
        <f>(D276*inputs!$E$76)/(inputs!$E$31)^inputs!E135</f>
        <v>0</v>
      </c>
      <c r="E427" t="str">
        <f t="shared" ca="1" si="7"/>
        <v>=(D276*inputs!$E$76)/(inputs!$E$31)^inputs!E135</v>
      </c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Q427"/>
      <c r="AR427"/>
      <c r="AS427"/>
      <c r="AT427"/>
      <c r="AU427"/>
      <c r="AV427"/>
      <c r="AW427"/>
      <c r="AX427"/>
      <c r="AY427"/>
      <c r="AZ427"/>
      <c r="BA427"/>
      <c r="BB427"/>
      <c r="BC427"/>
      <c r="BD427"/>
      <c r="BE427"/>
      <c r="BF427"/>
      <c r="BG427"/>
      <c r="BH427"/>
      <c r="BI427"/>
      <c r="BJ427"/>
      <c r="BK427"/>
      <c r="BL427"/>
      <c r="BM427"/>
      <c r="BN427"/>
      <c r="BO427"/>
      <c r="BP427"/>
      <c r="BQ427"/>
      <c r="BR427"/>
      <c r="BS427"/>
      <c r="BT427"/>
      <c r="BU427"/>
      <c r="BV427"/>
      <c r="BW427"/>
      <c r="BX427"/>
      <c r="BY427"/>
      <c r="BZ427"/>
      <c r="CA427"/>
      <c r="CB427"/>
      <c r="CC427"/>
      <c r="CD427"/>
      <c r="CE427"/>
      <c r="CF427"/>
      <c r="CG427"/>
      <c r="CH427"/>
      <c r="CI427"/>
      <c r="CJ427"/>
      <c r="CK427"/>
      <c r="CL427"/>
      <c r="CM427"/>
      <c r="CN427"/>
      <c r="CO427"/>
      <c r="CP427"/>
      <c r="CQ427"/>
      <c r="CR427"/>
      <c r="CS427"/>
      <c r="CT427"/>
      <c r="CU427"/>
      <c r="CV427"/>
      <c r="CW427"/>
      <c r="CX427"/>
      <c r="CY427"/>
      <c r="CZ427"/>
      <c r="DA427"/>
      <c r="DB427"/>
      <c r="DC427"/>
      <c r="DD427"/>
      <c r="DE427"/>
      <c r="DF427"/>
    </row>
    <row r="428" spans="1:110" s="16" customFormat="1" x14ac:dyDescent="0.3">
      <c r="A428" t="s">
        <v>32</v>
      </c>
      <c r="B428" t="s">
        <v>190</v>
      </c>
      <c r="C428" t="s">
        <v>593</v>
      </c>
      <c r="D428" s="10">
        <f>(D280*inputs!$E$77)/(inputs!$E$31)^inputs!E100</f>
        <v>0</v>
      </c>
      <c r="E428" t="str">
        <f ca="1">_xlfn.FORMULATEXT(D428)</f>
        <v>=(D280*inputs!$E$77)/(inputs!$E$31)^inputs!E100</v>
      </c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Q428"/>
      <c r="AR428"/>
      <c r="AS428"/>
      <c r="AT428"/>
      <c r="AU428"/>
      <c r="AV428"/>
      <c r="AW428"/>
      <c r="AX428"/>
      <c r="AY428"/>
      <c r="AZ428"/>
      <c r="BA428"/>
      <c r="BB428"/>
      <c r="BC428"/>
      <c r="BD428"/>
      <c r="BE428"/>
      <c r="BF428"/>
      <c r="BG428"/>
      <c r="BH428"/>
      <c r="BI428"/>
      <c r="BJ428"/>
      <c r="BK428"/>
      <c r="BL428"/>
      <c r="BM428"/>
      <c r="BN428"/>
      <c r="BO428"/>
      <c r="BP428"/>
      <c r="BQ428"/>
      <c r="BR428"/>
      <c r="BS428"/>
      <c r="BT428"/>
      <c r="BU428"/>
      <c r="BV428"/>
      <c r="BW428"/>
      <c r="BX428"/>
      <c r="BY428"/>
      <c r="BZ428"/>
      <c r="CA428"/>
      <c r="CB428"/>
      <c r="CC428"/>
      <c r="CD428"/>
      <c r="CE428"/>
      <c r="CF428"/>
      <c r="CG428"/>
      <c r="CH428"/>
      <c r="CI428"/>
      <c r="CJ428"/>
      <c r="CK428"/>
      <c r="CL428"/>
      <c r="CM428"/>
      <c r="CN428"/>
      <c r="CO428"/>
      <c r="CP428"/>
      <c r="CQ428"/>
      <c r="CR428"/>
      <c r="CS428"/>
      <c r="CT428"/>
      <c r="CU428"/>
      <c r="CV428"/>
      <c r="CW428"/>
      <c r="CX428"/>
      <c r="CY428"/>
      <c r="CZ428"/>
      <c r="DA428"/>
      <c r="DB428"/>
      <c r="DC428"/>
      <c r="DD428"/>
      <c r="DE428"/>
      <c r="DF428"/>
    </row>
    <row r="429" spans="1:110" s="16" customFormat="1" x14ac:dyDescent="0.3">
      <c r="A429" t="s">
        <v>32</v>
      </c>
      <c r="B429" t="s">
        <v>190</v>
      </c>
      <c r="C429" t="s">
        <v>594</v>
      </c>
      <c r="D429" s="10">
        <f>(D281*inputs!$E$77)/(inputs!$E$31)^inputs!E101</f>
        <v>0</v>
      </c>
      <c r="E429" t="str">
        <f t="shared" ca="1" si="7"/>
        <v>=(D281*inputs!$E$77)/(inputs!$E$31)^inputs!E101</v>
      </c>
      <c r="F429"/>
      <c r="G429"/>
      <c r="H429"/>
      <c r="I429"/>
      <c r="J429"/>
      <c r="K429"/>
      <c r="L429"/>
      <c r="M429"/>
      <c r="N429"/>
      <c r="O429"/>
      <c r="P429"/>
      <c r="Q429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  <c r="AJ429"/>
      <c r="AK429"/>
      <c r="AL429"/>
      <c r="AM429"/>
      <c r="AN429"/>
      <c r="AO429"/>
      <c r="AP429"/>
      <c r="AQ429"/>
      <c r="AR429"/>
      <c r="AS429"/>
      <c r="AT429"/>
      <c r="AU429"/>
      <c r="AV429"/>
      <c r="AW429"/>
      <c r="AX429"/>
      <c r="AY429"/>
      <c r="AZ429"/>
      <c r="BA429"/>
      <c r="BB429"/>
      <c r="BC429"/>
      <c r="BD429"/>
      <c r="BE429"/>
      <c r="BF429"/>
      <c r="BG429"/>
      <c r="BH429"/>
      <c r="BI429"/>
      <c r="BJ429"/>
      <c r="BK429"/>
      <c r="BL429"/>
      <c r="BM429"/>
      <c r="BN429"/>
      <c r="BO429"/>
      <c r="BP429"/>
      <c r="BQ429"/>
      <c r="BR429"/>
      <c r="BS429"/>
      <c r="BT429"/>
      <c r="BU429"/>
      <c r="BV429"/>
      <c r="BW429"/>
      <c r="BX429"/>
      <c r="BY429"/>
      <c r="BZ429"/>
      <c r="CA429"/>
      <c r="CB429"/>
      <c r="CC429"/>
      <c r="CD429"/>
      <c r="CE429"/>
      <c r="CF429"/>
      <c r="CG429"/>
      <c r="CH429"/>
      <c r="CI429"/>
      <c r="CJ429"/>
      <c r="CK429"/>
      <c r="CL429"/>
      <c r="CM429"/>
      <c r="CN429"/>
      <c r="CO429"/>
      <c r="CP429"/>
      <c r="CQ429"/>
      <c r="CR429"/>
      <c r="CS429"/>
      <c r="CT429"/>
      <c r="CU429"/>
      <c r="CV429"/>
      <c r="CW429"/>
      <c r="CX429"/>
      <c r="CY429"/>
      <c r="CZ429"/>
      <c r="DA429"/>
      <c r="DB429"/>
      <c r="DC429"/>
      <c r="DD429"/>
      <c r="DE429"/>
      <c r="DF429"/>
    </row>
    <row r="430" spans="1:110" s="16" customFormat="1" x14ac:dyDescent="0.3">
      <c r="A430" t="s">
        <v>32</v>
      </c>
      <c r="B430" t="s">
        <v>190</v>
      </c>
      <c r="C430" t="s">
        <v>595</v>
      </c>
      <c r="D430" s="10">
        <f>(D282*inputs!$E$77)/(inputs!$E$31)^inputs!E102</f>
        <v>0</v>
      </c>
      <c r="E430" t="str">
        <f t="shared" ca="1" si="7"/>
        <v>=(D282*inputs!$E$77)/(inputs!$E$31)^inputs!E102</v>
      </c>
      <c r="F430"/>
      <c r="G430"/>
      <c r="H430"/>
      <c r="I430"/>
      <c r="J430"/>
      <c r="K430"/>
      <c r="L430"/>
      <c r="M430"/>
      <c r="N430"/>
      <c r="O430"/>
      <c r="P430"/>
      <c r="Q430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  <c r="AJ430"/>
      <c r="AK430"/>
      <c r="AL430"/>
      <c r="AM430"/>
      <c r="AN430"/>
      <c r="AO430"/>
      <c r="AP430"/>
      <c r="AQ430"/>
      <c r="AR430"/>
      <c r="AS430"/>
      <c r="AT430"/>
      <c r="AU430"/>
      <c r="AV430"/>
      <c r="AW430"/>
      <c r="AX430"/>
      <c r="AY430"/>
      <c r="AZ430"/>
      <c r="BA430"/>
      <c r="BB430"/>
      <c r="BC430"/>
      <c r="BD430"/>
      <c r="BE430"/>
      <c r="BF430"/>
      <c r="BG430"/>
      <c r="BH430"/>
      <c r="BI430"/>
      <c r="BJ430"/>
      <c r="BK430"/>
      <c r="BL430"/>
      <c r="BM430"/>
      <c r="BN430"/>
      <c r="BO430"/>
      <c r="BP430"/>
      <c r="BQ430"/>
      <c r="BR430"/>
      <c r="BS430"/>
      <c r="BT430"/>
      <c r="BU430"/>
      <c r="BV430"/>
      <c r="BW430"/>
      <c r="BX430"/>
      <c r="BY430"/>
      <c r="BZ430"/>
      <c r="CA430"/>
      <c r="CB430"/>
      <c r="CC430"/>
      <c r="CD430"/>
      <c r="CE430"/>
      <c r="CF430"/>
      <c r="CG430"/>
      <c r="CH430"/>
      <c r="CI430"/>
      <c r="CJ430"/>
      <c r="CK430"/>
      <c r="CL430"/>
      <c r="CM430"/>
      <c r="CN430"/>
      <c r="CO430"/>
      <c r="CP430"/>
      <c r="CQ430"/>
      <c r="CR430"/>
      <c r="CS430"/>
      <c r="CT430"/>
      <c r="CU430"/>
      <c r="CV430"/>
      <c r="CW430"/>
      <c r="CX430"/>
      <c r="CY430"/>
      <c r="CZ430"/>
      <c r="DA430"/>
      <c r="DB430"/>
      <c r="DC430"/>
      <c r="DD430"/>
      <c r="DE430"/>
      <c r="DF430"/>
    </row>
    <row r="431" spans="1:110" s="16" customFormat="1" x14ac:dyDescent="0.3">
      <c r="A431" t="s">
        <v>32</v>
      </c>
      <c r="B431" t="s">
        <v>190</v>
      </c>
      <c r="C431" t="s">
        <v>596</v>
      </c>
      <c r="D431" s="10">
        <f>(D283*inputs!$E$77)/(inputs!$E$31)^inputs!E103</f>
        <v>0</v>
      </c>
      <c r="E431" t="str">
        <f t="shared" ca="1" si="7"/>
        <v>=(D283*inputs!$E$77)/(inputs!$E$31)^inputs!E103</v>
      </c>
      <c r="F431"/>
      <c r="G431"/>
      <c r="H431"/>
      <c r="I431"/>
      <c r="J431"/>
      <c r="K431"/>
      <c r="L431"/>
      <c r="M431"/>
      <c r="N431"/>
      <c r="O431"/>
      <c r="P431"/>
      <c r="Q431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  <c r="AJ431"/>
      <c r="AK431"/>
      <c r="AL431"/>
      <c r="AM431"/>
      <c r="AN431"/>
      <c r="AO431"/>
      <c r="AP431"/>
      <c r="AQ431"/>
      <c r="AR431"/>
      <c r="AS431"/>
      <c r="AT431"/>
      <c r="AU431"/>
      <c r="AV431"/>
      <c r="AW431"/>
      <c r="AX431"/>
      <c r="AY431"/>
      <c r="AZ431"/>
      <c r="BA431"/>
      <c r="BB431"/>
      <c r="BC431"/>
      <c r="BD431"/>
      <c r="BE431"/>
      <c r="BF431"/>
      <c r="BG431"/>
      <c r="BH431"/>
      <c r="BI431"/>
      <c r="BJ431"/>
      <c r="BK431"/>
      <c r="BL431"/>
      <c r="BM431"/>
      <c r="BN431"/>
      <c r="BO431"/>
      <c r="BP431"/>
      <c r="BQ431"/>
      <c r="BR431"/>
      <c r="BS431"/>
      <c r="BT431"/>
      <c r="BU431"/>
      <c r="BV431"/>
      <c r="BW431"/>
      <c r="BX431"/>
      <c r="BY431"/>
      <c r="BZ431"/>
      <c r="CA431"/>
      <c r="CB431"/>
      <c r="CC431"/>
      <c r="CD431"/>
      <c r="CE431"/>
      <c r="CF431"/>
      <c r="CG431"/>
      <c r="CH431"/>
      <c r="CI431"/>
      <c r="CJ431"/>
      <c r="CK431"/>
      <c r="CL431"/>
      <c r="CM431"/>
      <c r="CN431"/>
      <c r="CO431"/>
      <c r="CP431"/>
      <c r="CQ431"/>
      <c r="CR431"/>
      <c r="CS431"/>
      <c r="CT431"/>
      <c r="CU431"/>
      <c r="CV431"/>
      <c r="CW431"/>
      <c r="CX431"/>
      <c r="CY431"/>
      <c r="CZ431"/>
      <c r="DA431"/>
      <c r="DB431"/>
      <c r="DC431"/>
      <c r="DD431"/>
      <c r="DE431"/>
      <c r="DF431"/>
    </row>
    <row r="432" spans="1:110" s="16" customFormat="1" x14ac:dyDescent="0.3">
      <c r="A432" t="s">
        <v>32</v>
      </c>
      <c r="B432" t="s">
        <v>190</v>
      </c>
      <c r="C432" t="s">
        <v>597</v>
      </c>
      <c r="D432" s="10">
        <f>(D284*inputs!$E$77)/(inputs!$E$31)^inputs!E104</f>
        <v>0</v>
      </c>
      <c r="E432" t="str">
        <f t="shared" ca="1" si="7"/>
        <v>=(D284*inputs!$E$77)/(inputs!$E$31)^inputs!E104</v>
      </c>
      <c r="F432"/>
      <c r="G432"/>
      <c r="H432"/>
      <c r="I432"/>
      <c r="J432"/>
      <c r="K432"/>
      <c r="L432"/>
      <c r="M432"/>
      <c r="N432"/>
      <c r="O432"/>
      <c r="P432"/>
      <c r="Q432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  <c r="AJ432"/>
      <c r="AK432"/>
      <c r="AL432"/>
      <c r="AM432"/>
      <c r="AN432"/>
      <c r="AO432"/>
      <c r="AP432"/>
      <c r="AQ432"/>
      <c r="AR432"/>
      <c r="AS432"/>
      <c r="AT432"/>
      <c r="AU432"/>
      <c r="AV432"/>
      <c r="AW432"/>
      <c r="AX432"/>
      <c r="AY432"/>
      <c r="AZ432"/>
      <c r="BA432"/>
      <c r="BB432"/>
      <c r="BC432"/>
      <c r="BD432"/>
      <c r="BE432"/>
      <c r="BF432"/>
      <c r="BG432"/>
      <c r="BH432"/>
      <c r="BI432"/>
      <c r="BJ432"/>
      <c r="BK432"/>
      <c r="BL432"/>
      <c r="BM432"/>
      <c r="BN432"/>
      <c r="BO432"/>
      <c r="BP432"/>
      <c r="BQ432"/>
      <c r="BR432"/>
      <c r="BS432"/>
      <c r="BT432"/>
      <c r="BU432"/>
      <c r="BV432"/>
      <c r="BW432"/>
      <c r="BX432"/>
      <c r="BY432"/>
      <c r="BZ432"/>
      <c r="CA432"/>
      <c r="CB432"/>
      <c r="CC432"/>
      <c r="CD432"/>
      <c r="CE432"/>
      <c r="CF432"/>
      <c r="CG432"/>
      <c r="CH432"/>
      <c r="CI432"/>
      <c r="CJ432"/>
      <c r="CK432"/>
      <c r="CL432"/>
      <c r="CM432"/>
      <c r="CN432"/>
      <c r="CO432"/>
      <c r="CP432"/>
      <c r="CQ432"/>
      <c r="CR432"/>
      <c r="CS432"/>
      <c r="CT432"/>
      <c r="CU432"/>
      <c r="CV432"/>
      <c r="CW432"/>
      <c r="CX432"/>
      <c r="CY432"/>
      <c r="CZ432"/>
      <c r="DA432"/>
      <c r="DB432"/>
      <c r="DC432"/>
      <c r="DD432"/>
      <c r="DE432"/>
      <c r="DF432"/>
    </row>
    <row r="433" spans="1:110" s="16" customFormat="1" x14ac:dyDescent="0.3">
      <c r="A433" t="s">
        <v>32</v>
      </c>
      <c r="B433" t="s">
        <v>190</v>
      </c>
      <c r="C433" t="s">
        <v>598</v>
      </c>
      <c r="D433" s="10">
        <f>(D285*inputs!$E$77)/(inputs!$E$31)^inputs!E105</f>
        <v>0</v>
      </c>
      <c r="E433" t="str">
        <f t="shared" ca="1" si="7"/>
        <v>=(D285*inputs!$E$77)/(inputs!$E$31)^inputs!E105</v>
      </c>
      <c r="F433"/>
      <c r="G433"/>
      <c r="H433"/>
      <c r="I433"/>
      <c r="J433"/>
      <c r="K433"/>
      <c r="L433"/>
      <c r="M433"/>
      <c r="N433"/>
      <c r="O433"/>
      <c r="P433"/>
      <c r="Q433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  <c r="AJ433"/>
      <c r="AK433"/>
      <c r="AL433"/>
      <c r="AM433"/>
      <c r="AN433"/>
      <c r="AO433"/>
      <c r="AP433"/>
      <c r="AQ433"/>
      <c r="AR433"/>
      <c r="AS433"/>
      <c r="AT433"/>
      <c r="AU433"/>
      <c r="AV433"/>
      <c r="AW433"/>
      <c r="AX433"/>
      <c r="AY433"/>
      <c r="AZ433"/>
      <c r="BA433"/>
      <c r="BB433"/>
      <c r="BC433"/>
      <c r="BD433"/>
      <c r="BE433"/>
      <c r="BF433"/>
      <c r="BG433"/>
      <c r="BH433"/>
      <c r="BI433"/>
      <c r="BJ433"/>
      <c r="BK433"/>
      <c r="BL433"/>
      <c r="BM433"/>
      <c r="BN433"/>
      <c r="BO433"/>
      <c r="BP433"/>
      <c r="BQ433"/>
      <c r="BR433"/>
      <c r="BS433"/>
      <c r="BT433"/>
      <c r="BU433"/>
      <c r="BV433"/>
      <c r="BW433"/>
      <c r="BX433"/>
      <c r="BY433"/>
      <c r="BZ433"/>
      <c r="CA433"/>
      <c r="CB433"/>
      <c r="CC433"/>
      <c r="CD433"/>
      <c r="CE433"/>
      <c r="CF433"/>
      <c r="CG433"/>
      <c r="CH433"/>
      <c r="CI433"/>
      <c r="CJ433"/>
      <c r="CK433"/>
      <c r="CL433"/>
      <c r="CM433"/>
      <c r="CN433"/>
      <c r="CO433"/>
      <c r="CP433"/>
      <c r="CQ433"/>
      <c r="CR433"/>
      <c r="CS433"/>
      <c r="CT433"/>
      <c r="CU433"/>
      <c r="CV433"/>
      <c r="CW433"/>
      <c r="CX433"/>
      <c r="CY433"/>
      <c r="CZ433"/>
      <c r="DA433"/>
      <c r="DB433"/>
      <c r="DC433"/>
      <c r="DD433"/>
      <c r="DE433"/>
      <c r="DF433"/>
    </row>
    <row r="434" spans="1:110" s="16" customFormat="1" x14ac:dyDescent="0.3">
      <c r="A434" t="s">
        <v>32</v>
      </c>
      <c r="B434" t="s">
        <v>190</v>
      </c>
      <c r="C434" t="s">
        <v>599</v>
      </c>
      <c r="D434" s="10">
        <f>(D286*inputs!$E$77)/(inputs!$E$31)^inputs!E106</f>
        <v>0</v>
      </c>
      <c r="E434" t="str">
        <f t="shared" ca="1" si="7"/>
        <v>=(D286*inputs!$E$77)/(inputs!$E$31)^inputs!E106</v>
      </c>
      <c r="F434"/>
      <c r="G434"/>
      <c r="H434"/>
      <c r="I434"/>
      <c r="J434"/>
      <c r="K434"/>
      <c r="L434"/>
      <c r="M434"/>
      <c r="N434"/>
      <c r="O434"/>
      <c r="P434"/>
      <c r="Q434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  <c r="AJ434"/>
      <c r="AK434"/>
      <c r="AL434"/>
      <c r="AM434"/>
      <c r="AN434"/>
      <c r="AO434"/>
      <c r="AP434"/>
      <c r="AQ434"/>
      <c r="AR434"/>
      <c r="AS434"/>
      <c r="AT434"/>
      <c r="AU434"/>
      <c r="AV434"/>
      <c r="AW434"/>
      <c r="AX434"/>
      <c r="AY434"/>
      <c r="AZ434"/>
      <c r="BA434"/>
      <c r="BB434"/>
      <c r="BC434"/>
      <c r="BD434"/>
      <c r="BE434"/>
      <c r="BF434"/>
      <c r="BG434"/>
      <c r="BH434"/>
      <c r="BI434"/>
      <c r="BJ434"/>
      <c r="BK434"/>
      <c r="BL434"/>
      <c r="BM434"/>
      <c r="BN434"/>
      <c r="BO434"/>
      <c r="BP434"/>
      <c r="BQ434"/>
      <c r="BR434"/>
      <c r="BS434"/>
      <c r="BT434"/>
      <c r="BU434"/>
      <c r="BV434"/>
      <c r="BW434"/>
      <c r="BX434"/>
      <c r="BY434"/>
      <c r="BZ434"/>
      <c r="CA434"/>
      <c r="CB434"/>
      <c r="CC434"/>
      <c r="CD434"/>
      <c r="CE434"/>
      <c r="CF434"/>
      <c r="CG434"/>
      <c r="CH434"/>
      <c r="CI434"/>
      <c r="CJ434"/>
      <c r="CK434"/>
      <c r="CL434"/>
      <c r="CM434"/>
      <c r="CN434"/>
      <c r="CO434"/>
      <c r="CP434"/>
      <c r="CQ434"/>
      <c r="CR434"/>
      <c r="CS434"/>
      <c r="CT434"/>
      <c r="CU434"/>
      <c r="CV434"/>
      <c r="CW434"/>
      <c r="CX434"/>
      <c r="CY434"/>
      <c r="CZ434"/>
      <c r="DA434"/>
      <c r="DB434"/>
      <c r="DC434"/>
      <c r="DD434"/>
      <c r="DE434"/>
      <c r="DF434"/>
    </row>
    <row r="435" spans="1:110" s="16" customFormat="1" x14ac:dyDescent="0.3">
      <c r="A435" t="s">
        <v>32</v>
      </c>
      <c r="B435" t="s">
        <v>190</v>
      </c>
      <c r="C435" t="s">
        <v>600</v>
      </c>
      <c r="D435" s="10">
        <f>(D287*inputs!$E$77)/(inputs!$E$31)^inputs!E107</f>
        <v>0</v>
      </c>
      <c r="E435" t="str">
        <f t="shared" ca="1" si="7"/>
        <v>=(D287*inputs!$E$77)/(inputs!$E$31)^inputs!E107</v>
      </c>
      <c r="F435"/>
      <c r="G435"/>
      <c r="H435"/>
      <c r="I435"/>
      <c r="J435"/>
      <c r="K435"/>
      <c r="L435"/>
      <c r="M435"/>
      <c r="N435"/>
      <c r="O435"/>
      <c r="P435"/>
      <c r="Q435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  <c r="AJ435"/>
      <c r="AK435"/>
      <c r="AL435"/>
      <c r="AM435"/>
      <c r="AN435"/>
      <c r="AO435"/>
      <c r="AP435"/>
      <c r="AQ435"/>
      <c r="AR435"/>
      <c r="AS435"/>
      <c r="AT435"/>
      <c r="AU435"/>
      <c r="AV435"/>
      <c r="AW435"/>
      <c r="AX435"/>
      <c r="AY435"/>
      <c r="AZ435"/>
      <c r="BA435"/>
      <c r="BB435"/>
      <c r="BC435"/>
      <c r="BD435"/>
      <c r="BE435"/>
      <c r="BF435"/>
      <c r="BG435"/>
      <c r="BH435"/>
      <c r="BI435"/>
      <c r="BJ435"/>
      <c r="BK435"/>
      <c r="BL435"/>
      <c r="BM435"/>
      <c r="BN435"/>
      <c r="BO435"/>
      <c r="BP435"/>
      <c r="BQ435"/>
      <c r="BR435"/>
      <c r="BS435"/>
      <c r="BT435"/>
      <c r="BU435"/>
      <c r="BV435"/>
      <c r="BW435"/>
      <c r="BX435"/>
      <c r="BY435"/>
      <c r="BZ435"/>
      <c r="CA435"/>
      <c r="CB435"/>
      <c r="CC435"/>
      <c r="CD435"/>
      <c r="CE435"/>
      <c r="CF435"/>
      <c r="CG435"/>
      <c r="CH435"/>
      <c r="CI435"/>
      <c r="CJ435"/>
      <c r="CK435"/>
      <c r="CL435"/>
      <c r="CM435"/>
      <c r="CN435"/>
      <c r="CO435"/>
      <c r="CP435"/>
      <c r="CQ435"/>
      <c r="CR435"/>
      <c r="CS435"/>
      <c r="CT435"/>
      <c r="CU435"/>
      <c r="CV435"/>
      <c r="CW435"/>
      <c r="CX435"/>
      <c r="CY435"/>
      <c r="CZ435"/>
      <c r="DA435"/>
      <c r="DB435"/>
      <c r="DC435"/>
      <c r="DD435"/>
      <c r="DE435"/>
      <c r="DF435"/>
    </row>
    <row r="436" spans="1:110" s="16" customFormat="1" x14ac:dyDescent="0.3">
      <c r="A436" t="s">
        <v>32</v>
      </c>
      <c r="B436" t="s">
        <v>190</v>
      </c>
      <c r="C436" t="s">
        <v>601</v>
      </c>
      <c r="D436" s="10">
        <f>(D288*inputs!$E$77)/(inputs!$E$31)^inputs!E108</f>
        <v>0</v>
      </c>
      <c r="E436" t="str">
        <f t="shared" ca="1" si="7"/>
        <v>=(D288*inputs!$E$77)/(inputs!$E$31)^inputs!E108</v>
      </c>
      <c r="F436"/>
      <c r="G436"/>
      <c r="H436"/>
      <c r="I436"/>
      <c r="J436"/>
      <c r="K436"/>
      <c r="L436"/>
      <c r="M436"/>
      <c r="N436"/>
      <c r="O436"/>
      <c r="P436"/>
      <c r="Q43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  <c r="AJ436"/>
      <c r="AK436"/>
      <c r="AL436"/>
      <c r="AM436"/>
      <c r="AN436"/>
      <c r="AO436"/>
      <c r="AP436"/>
      <c r="AQ436"/>
      <c r="AR436"/>
      <c r="AS436"/>
      <c r="AT436"/>
      <c r="AU436"/>
      <c r="AV436"/>
      <c r="AW436"/>
      <c r="AX436"/>
      <c r="AY436"/>
      <c r="AZ436"/>
      <c r="BA436"/>
      <c r="BB436"/>
      <c r="BC436"/>
      <c r="BD436"/>
      <c r="BE436"/>
      <c r="BF436"/>
      <c r="BG436"/>
      <c r="BH436"/>
      <c r="BI436"/>
      <c r="BJ436"/>
      <c r="BK436"/>
      <c r="BL436"/>
      <c r="BM436"/>
      <c r="BN436"/>
      <c r="BO436"/>
      <c r="BP436"/>
      <c r="BQ436"/>
      <c r="BR436"/>
      <c r="BS436"/>
      <c r="BT436"/>
      <c r="BU436"/>
      <c r="BV436"/>
      <c r="BW436"/>
      <c r="BX436"/>
      <c r="BY436"/>
      <c r="BZ436"/>
      <c r="CA436"/>
      <c r="CB436"/>
      <c r="CC436"/>
      <c r="CD436"/>
      <c r="CE436"/>
      <c r="CF436"/>
      <c r="CG436"/>
      <c r="CH436"/>
      <c r="CI436"/>
      <c r="CJ436"/>
      <c r="CK436"/>
      <c r="CL436"/>
      <c r="CM436"/>
      <c r="CN436"/>
      <c r="CO436"/>
      <c r="CP436"/>
      <c r="CQ436"/>
      <c r="CR436"/>
      <c r="CS436"/>
      <c r="CT436"/>
      <c r="CU436"/>
      <c r="CV436"/>
      <c r="CW436"/>
      <c r="CX436"/>
      <c r="CY436"/>
      <c r="CZ436"/>
      <c r="DA436"/>
      <c r="DB436"/>
      <c r="DC436"/>
      <c r="DD436"/>
      <c r="DE436"/>
      <c r="DF436"/>
    </row>
    <row r="437" spans="1:110" s="16" customFormat="1" x14ac:dyDescent="0.3">
      <c r="A437" t="s">
        <v>32</v>
      </c>
      <c r="B437" t="s">
        <v>190</v>
      </c>
      <c r="C437" t="s">
        <v>602</v>
      </c>
      <c r="D437" s="10">
        <f>(D289*inputs!$E$77)/(inputs!$E$31)^inputs!E109</f>
        <v>0</v>
      </c>
      <c r="E437" t="str">
        <f t="shared" ca="1" si="7"/>
        <v>=(D289*inputs!$E$77)/(inputs!$E$31)^inputs!E109</v>
      </c>
      <c r="F437"/>
      <c r="G437"/>
      <c r="H437"/>
      <c r="I437"/>
      <c r="J437"/>
      <c r="K437"/>
      <c r="L437"/>
      <c r="M437"/>
      <c r="N437"/>
      <c r="O437"/>
      <c r="P437"/>
      <c r="Q437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  <c r="AJ437"/>
      <c r="AK437"/>
      <c r="AL437"/>
      <c r="AM437"/>
      <c r="AN437"/>
      <c r="AO437"/>
      <c r="AP437"/>
      <c r="AQ437"/>
      <c r="AR437"/>
      <c r="AS437"/>
      <c r="AT437"/>
      <c r="AU437"/>
      <c r="AV437"/>
      <c r="AW437"/>
      <c r="AX437"/>
      <c r="AY437"/>
      <c r="AZ437"/>
      <c r="BA437"/>
      <c r="BB437"/>
      <c r="BC437"/>
      <c r="BD437"/>
      <c r="BE437"/>
      <c r="BF437"/>
      <c r="BG437"/>
      <c r="BH437"/>
      <c r="BI437"/>
      <c r="BJ437"/>
      <c r="BK437"/>
      <c r="BL437"/>
      <c r="BM437"/>
      <c r="BN437"/>
      <c r="BO437"/>
      <c r="BP437"/>
      <c r="BQ437"/>
      <c r="BR437"/>
      <c r="BS437"/>
      <c r="BT437"/>
      <c r="BU437"/>
      <c r="BV437"/>
      <c r="BW437"/>
      <c r="BX437"/>
      <c r="BY437"/>
      <c r="BZ437"/>
      <c r="CA437"/>
      <c r="CB437"/>
      <c r="CC437"/>
      <c r="CD437"/>
      <c r="CE437"/>
      <c r="CF437"/>
      <c r="CG437"/>
      <c r="CH437"/>
      <c r="CI437"/>
      <c r="CJ437"/>
      <c r="CK437"/>
      <c r="CL437"/>
      <c r="CM437"/>
      <c r="CN437"/>
      <c r="CO437"/>
      <c r="CP437"/>
      <c r="CQ437"/>
      <c r="CR437"/>
      <c r="CS437"/>
      <c r="CT437"/>
      <c r="CU437"/>
      <c r="CV437"/>
      <c r="CW437"/>
      <c r="CX437"/>
      <c r="CY437"/>
      <c r="CZ437"/>
      <c r="DA437"/>
      <c r="DB437"/>
      <c r="DC437"/>
      <c r="DD437"/>
      <c r="DE437"/>
      <c r="DF437"/>
    </row>
    <row r="438" spans="1:110" s="16" customFormat="1" x14ac:dyDescent="0.3">
      <c r="A438" t="s">
        <v>32</v>
      </c>
      <c r="B438" t="s">
        <v>190</v>
      </c>
      <c r="C438" t="s">
        <v>603</v>
      </c>
      <c r="D438" s="10">
        <f>(D290*inputs!$E$77)/(inputs!$E$31)^inputs!E110</f>
        <v>0</v>
      </c>
      <c r="E438" t="str">
        <f t="shared" ca="1" si="7"/>
        <v>=(D290*inputs!$E$77)/(inputs!$E$31)^inputs!E110</v>
      </c>
      <c r="F438"/>
      <c r="G438"/>
      <c r="H438"/>
      <c r="I438"/>
      <c r="J438"/>
      <c r="K438"/>
      <c r="L438"/>
      <c r="M438"/>
      <c r="N438"/>
      <c r="O438"/>
      <c r="P438"/>
      <c r="Q438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  <c r="AJ438"/>
      <c r="AK438"/>
      <c r="AL438"/>
      <c r="AM438"/>
      <c r="AN438"/>
      <c r="AO438"/>
      <c r="AP438"/>
      <c r="AQ438"/>
      <c r="AR438"/>
      <c r="AS438"/>
      <c r="AT438"/>
      <c r="AU438"/>
      <c r="AV438"/>
      <c r="AW438"/>
      <c r="AX438"/>
      <c r="AY438"/>
      <c r="AZ438"/>
      <c r="BA438"/>
      <c r="BB438"/>
      <c r="BC438"/>
      <c r="BD438"/>
      <c r="BE438"/>
      <c r="BF438"/>
      <c r="BG438"/>
      <c r="BH438"/>
      <c r="BI438"/>
      <c r="BJ438"/>
      <c r="BK438"/>
      <c r="BL438"/>
      <c r="BM438"/>
      <c r="BN438"/>
      <c r="BO438"/>
      <c r="BP438"/>
      <c r="BQ438"/>
      <c r="BR438"/>
      <c r="BS438"/>
      <c r="BT438"/>
      <c r="BU438"/>
      <c r="BV438"/>
      <c r="BW438"/>
      <c r="BX438"/>
      <c r="BY438"/>
      <c r="BZ438"/>
      <c r="CA438"/>
      <c r="CB438"/>
      <c r="CC438"/>
      <c r="CD438"/>
      <c r="CE438"/>
      <c r="CF438"/>
      <c r="CG438"/>
      <c r="CH438"/>
      <c r="CI438"/>
      <c r="CJ438"/>
      <c r="CK438"/>
      <c r="CL438"/>
      <c r="CM438"/>
      <c r="CN438"/>
      <c r="CO438"/>
      <c r="CP438"/>
      <c r="CQ438"/>
      <c r="CR438"/>
      <c r="CS438"/>
      <c r="CT438"/>
      <c r="CU438"/>
      <c r="CV438"/>
      <c r="CW438"/>
      <c r="CX438"/>
      <c r="CY438"/>
      <c r="CZ438"/>
      <c r="DA438"/>
      <c r="DB438"/>
      <c r="DC438"/>
      <c r="DD438"/>
      <c r="DE438"/>
      <c r="DF438"/>
    </row>
    <row r="439" spans="1:110" s="16" customFormat="1" x14ac:dyDescent="0.3">
      <c r="A439" t="s">
        <v>32</v>
      </c>
      <c r="B439" t="s">
        <v>190</v>
      </c>
      <c r="C439" t="s">
        <v>604</v>
      </c>
      <c r="D439" s="10">
        <f>(D291*inputs!$E$77)/(inputs!$E$31)^inputs!E111</f>
        <v>0</v>
      </c>
      <c r="E439" t="str">
        <f t="shared" ca="1" si="7"/>
        <v>=(D291*inputs!$E$77)/(inputs!$E$31)^inputs!E111</v>
      </c>
      <c r="F439"/>
      <c r="G439"/>
      <c r="H439"/>
      <c r="I439"/>
      <c r="J439"/>
      <c r="K439"/>
      <c r="L439"/>
      <c r="M439"/>
      <c r="N439"/>
      <c r="O439"/>
      <c r="P439"/>
      <c r="Q439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  <c r="AJ439"/>
      <c r="AK439"/>
      <c r="AL439"/>
      <c r="AM439"/>
      <c r="AN439"/>
      <c r="AO439"/>
      <c r="AP439"/>
      <c r="AQ439"/>
      <c r="AR439"/>
      <c r="AS439"/>
      <c r="AT439"/>
      <c r="AU439"/>
      <c r="AV439"/>
      <c r="AW439"/>
      <c r="AX439"/>
      <c r="AY439"/>
      <c r="AZ439"/>
      <c r="BA439"/>
      <c r="BB439"/>
      <c r="BC439"/>
      <c r="BD439"/>
      <c r="BE439"/>
      <c r="BF439"/>
      <c r="BG439"/>
      <c r="BH439"/>
      <c r="BI439"/>
      <c r="BJ439"/>
      <c r="BK439"/>
      <c r="BL439"/>
      <c r="BM439"/>
      <c r="BN439"/>
      <c r="BO439"/>
      <c r="BP439"/>
      <c r="BQ439"/>
      <c r="BR439"/>
      <c r="BS439"/>
      <c r="BT439"/>
      <c r="BU439"/>
      <c r="BV439"/>
      <c r="BW439"/>
      <c r="BX439"/>
      <c r="BY439"/>
      <c r="BZ439"/>
      <c r="CA439"/>
      <c r="CB439"/>
      <c r="CC439"/>
      <c r="CD439"/>
      <c r="CE439"/>
      <c r="CF439"/>
      <c r="CG439"/>
      <c r="CH439"/>
      <c r="CI439"/>
      <c r="CJ439"/>
      <c r="CK439"/>
      <c r="CL439"/>
      <c r="CM439"/>
      <c r="CN439"/>
      <c r="CO439"/>
      <c r="CP439"/>
      <c r="CQ439"/>
      <c r="CR439"/>
      <c r="CS439"/>
      <c r="CT439"/>
      <c r="CU439"/>
      <c r="CV439"/>
      <c r="CW439"/>
      <c r="CX439"/>
      <c r="CY439"/>
      <c r="CZ439"/>
      <c r="DA439"/>
      <c r="DB439"/>
      <c r="DC439"/>
      <c r="DD439"/>
      <c r="DE439"/>
      <c r="DF439"/>
    </row>
    <row r="440" spans="1:110" s="16" customFormat="1" x14ac:dyDescent="0.3">
      <c r="A440" t="s">
        <v>32</v>
      </c>
      <c r="B440" t="s">
        <v>190</v>
      </c>
      <c r="C440" t="s">
        <v>605</v>
      </c>
      <c r="D440" s="10">
        <f>(D292*inputs!$E$77)/(inputs!$E$31)^inputs!E112</f>
        <v>0</v>
      </c>
      <c r="E440" t="str">
        <f t="shared" ca="1" si="7"/>
        <v>=(D292*inputs!$E$77)/(inputs!$E$31)^inputs!E112</v>
      </c>
      <c r="F440"/>
      <c r="G440"/>
      <c r="H440"/>
      <c r="I440"/>
      <c r="J440"/>
      <c r="K440"/>
      <c r="L440"/>
      <c r="M440"/>
      <c r="N440"/>
      <c r="O440"/>
      <c r="P440"/>
      <c r="Q440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  <c r="AJ440"/>
      <c r="AK440"/>
      <c r="AL440"/>
      <c r="AM440"/>
      <c r="AN440"/>
      <c r="AO440"/>
      <c r="AP440"/>
      <c r="AQ440"/>
      <c r="AR440"/>
      <c r="AS440"/>
      <c r="AT440"/>
      <c r="AU440"/>
      <c r="AV440"/>
      <c r="AW440"/>
      <c r="AX440"/>
      <c r="AY440"/>
      <c r="AZ440"/>
      <c r="BA440"/>
      <c r="BB440"/>
      <c r="BC440"/>
      <c r="BD440"/>
      <c r="BE440"/>
      <c r="BF440"/>
      <c r="BG440"/>
      <c r="BH440"/>
      <c r="BI440"/>
      <c r="BJ440"/>
      <c r="BK440"/>
      <c r="BL440"/>
      <c r="BM440"/>
      <c r="BN440"/>
      <c r="BO440"/>
      <c r="BP440"/>
      <c r="BQ440"/>
      <c r="BR440"/>
      <c r="BS440"/>
      <c r="BT440"/>
      <c r="BU440"/>
      <c r="BV440"/>
      <c r="BW440"/>
      <c r="BX440"/>
      <c r="BY440"/>
      <c r="BZ440"/>
      <c r="CA440"/>
      <c r="CB440"/>
      <c r="CC440"/>
      <c r="CD440"/>
      <c r="CE440"/>
      <c r="CF440"/>
      <c r="CG440"/>
      <c r="CH440"/>
      <c r="CI440"/>
      <c r="CJ440"/>
      <c r="CK440"/>
      <c r="CL440"/>
      <c r="CM440"/>
      <c r="CN440"/>
      <c r="CO440"/>
      <c r="CP440"/>
      <c r="CQ440"/>
      <c r="CR440"/>
      <c r="CS440"/>
      <c r="CT440"/>
      <c r="CU440"/>
      <c r="CV440"/>
      <c r="CW440"/>
      <c r="CX440"/>
      <c r="CY440"/>
      <c r="CZ440"/>
      <c r="DA440"/>
      <c r="DB440"/>
      <c r="DC440"/>
      <c r="DD440"/>
      <c r="DE440"/>
      <c r="DF440"/>
    </row>
    <row r="441" spans="1:110" s="16" customFormat="1" x14ac:dyDescent="0.3">
      <c r="A441" t="s">
        <v>32</v>
      </c>
      <c r="B441" t="s">
        <v>190</v>
      </c>
      <c r="C441" t="s">
        <v>606</v>
      </c>
      <c r="D441" s="10">
        <f>(D293*inputs!$E$77)/(inputs!$E$31)^inputs!E113</f>
        <v>0</v>
      </c>
      <c r="E441" t="str">
        <f t="shared" ca="1" si="7"/>
        <v>=(D293*inputs!$E$77)/(inputs!$E$31)^inputs!E113</v>
      </c>
      <c r="F441"/>
      <c r="G441"/>
      <c r="H441"/>
      <c r="I441"/>
      <c r="J441"/>
      <c r="K441"/>
      <c r="L441"/>
      <c r="M441"/>
      <c r="N441"/>
      <c r="O441"/>
      <c r="P441"/>
      <c r="Q441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  <c r="AJ441"/>
      <c r="AK441"/>
      <c r="AL441"/>
      <c r="AM441"/>
      <c r="AN441"/>
      <c r="AO441"/>
      <c r="AP441"/>
      <c r="AQ441"/>
      <c r="AR441"/>
      <c r="AS441"/>
      <c r="AT441"/>
      <c r="AU441"/>
      <c r="AV441"/>
      <c r="AW441"/>
      <c r="AX441"/>
      <c r="AY441"/>
      <c r="AZ441"/>
      <c r="BA441"/>
      <c r="BB441"/>
      <c r="BC441"/>
      <c r="BD441"/>
      <c r="BE441"/>
      <c r="BF441"/>
      <c r="BG441"/>
      <c r="BH441"/>
      <c r="BI441"/>
      <c r="BJ441"/>
      <c r="BK441"/>
      <c r="BL441"/>
      <c r="BM441"/>
      <c r="BN441"/>
      <c r="BO441"/>
      <c r="BP441"/>
      <c r="BQ441"/>
      <c r="BR441"/>
      <c r="BS441"/>
      <c r="BT441"/>
      <c r="BU441"/>
      <c r="BV441"/>
      <c r="BW441"/>
      <c r="BX441"/>
      <c r="BY441"/>
      <c r="BZ441"/>
      <c r="CA441"/>
      <c r="CB441"/>
      <c r="CC441"/>
      <c r="CD441"/>
      <c r="CE441"/>
      <c r="CF441"/>
      <c r="CG441"/>
      <c r="CH441"/>
      <c r="CI441"/>
      <c r="CJ441"/>
      <c r="CK441"/>
      <c r="CL441"/>
      <c r="CM441"/>
      <c r="CN441"/>
      <c r="CO441"/>
      <c r="CP441"/>
      <c r="CQ441"/>
      <c r="CR441"/>
      <c r="CS441"/>
      <c r="CT441"/>
      <c r="CU441"/>
      <c r="CV441"/>
      <c r="CW441"/>
      <c r="CX441"/>
      <c r="CY441"/>
      <c r="CZ441"/>
      <c r="DA441"/>
      <c r="DB441"/>
      <c r="DC441"/>
      <c r="DD441"/>
      <c r="DE441"/>
      <c r="DF441"/>
    </row>
    <row r="442" spans="1:110" s="16" customFormat="1" x14ac:dyDescent="0.3">
      <c r="A442" t="s">
        <v>32</v>
      </c>
      <c r="B442" t="s">
        <v>190</v>
      </c>
      <c r="C442" t="s">
        <v>607</v>
      </c>
      <c r="D442" s="10">
        <f>(D294*inputs!$E$77)/(inputs!$E$31)^inputs!E114</f>
        <v>0</v>
      </c>
      <c r="E442" t="str">
        <f t="shared" ca="1" si="7"/>
        <v>=(D294*inputs!$E$77)/(inputs!$E$31)^inputs!E114</v>
      </c>
      <c r="F442"/>
      <c r="G442"/>
      <c r="H442"/>
      <c r="I442"/>
      <c r="J442"/>
      <c r="K442"/>
      <c r="L442"/>
      <c r="M442"/>
      <c r="N442"/>
      <c r="O442"/>
      <c r="P442"/>
      <c r="Q442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  <c r="AJ442"/>
      <c r="AK442"/>
      <c r="AL442"/>
      <c r="AM442"/>
      <c r="AN442"/>
      <c r="AO442"/>
      <c r="AP442"/>
      <c r="AQ442"/>
      <c r="AR442"/>
      <c r="AS442"/>
      <c r="AT442"/>
      <c r="AU442"/>
      <c r="AV442"/>
      <c r="AW442"/>
      <c r="AX442"/>
      <c r="AY442"/>
      <c r="AZ442"/>
      <c r="BA442"/>
      <c r="BB442"/>
      <c r="BC442"/>
      <c r="BD442"/>
      <c r="BE442"/>
      <c r="BF442"/>
      <c r="BG442"/>
      <c r="BH442"/>
      <c r="BI442"/>
      <c r="BJ442"/>
      <c r="BK442"/>
      <c r="BL442"/>
      <c r="BM442"/>
      <c r="BN442"/>
      <c r="BO442"/>
      <c r="BP442"/>
      <c r="BQ442"/>
      <c r="BR442"/>
      <c r="BS442"/>
      <c r="BT442"/>
      <c r="BU442"/>
      <c r="BV442"/>
      <c r="BW442"/>
      <c r="BX442"/>
      <c r="BY442"/>
      <c r="BZ442"/>
      <c r="CA442"/>
      <c r="CB442"/>
      <c r="CC442"/>
      <c r="CD442"/>
      <c r="CE442"/>
      <c r="CF442"/>
      <c r="CG442"/>
      <c r="CH442"/>
      <c r="CI442"/>
      <c r="CJ442"/>
      <c r="CK442"/>
      <c r="CL442"/>
      <c r="CM442"/>
      <c r="CN442"/>
      <c r="CO442"/>
      <c r="CP442"/>
      <c r="CQ442"/>
      <c r="CR442"/>
      <c r="CS442"/>
      <c r="CT442"/>
      <c r="CU442"/>
      <c r="CV442"/>
      <c r="CW442"/>
      <c r="CX442"/>
      <c r="CY442"/>
      <c r="CZ442"/>
      <c r="DA442"/>
      <c r="DB442"/>
      <c r="DC442"/>
      <c r="DD442"/>
      <c r="DE442"/>
      <c r="DF442"/>
    </row>
    <row r="443" spans="1:110" s="16" customFormat="1" x14ac:dyDescent="0.3">
      <c r="A443" t="s">
        <v>32</v>
      </c>
      <c r="B443" t="s">
        <v>190</v>
      </c>
      <c r="C443" t="s">
        <v>608</v>
      </c>
      <c r="D443" s="10">
        <f>(D295*inputs!$E$77)/(inputs!$E$31)^inputs!E115</f>
        <v>0</v>
      </c>
      <c r="E443" t="str">
        <f t="shared" ca="1" si="7"/>
        <v>=(D295*inputs!$E$77)/(inputs!$E$31)^inputs!E115</v>
      </c>
      <c r="F443"/>
      <c r="G443"/>
      <c r="H443"/>
      <c r="I443"/>
      <c r="J443"/>
      <c r="K443"/>
      <c r="L443"/>
      <c r="M443"/>
      <c r="N443"/>
      <c r="O443"/>
      <c r="P443"/>
      <c r="Q443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  <c r="AJ443"/>
      <c r="AK443"/>
      <c r="AL443"/>
      <c r="AM443"/>
      <c r="AN443"/>
      <c r="AO443"/>
      <c r="AP443"/>
      <c r="AQ443"/>
      <c r="AR443"/>
      <c r="AS443"/>
      <c r="AT443"/>
      <c r="AU443"/>
      <c r="AV443"/>
      <c r="AW443"/>
      <c r="AX443"/>
      <c r="AY443"/>
      <c r="AZ443"/>
      <c r="BA443"/>
      <c r="BB443"/>
      <c r="BC443"/>
      <c r="BD443"/>
      <c r="BE443"/>
      <c r="BF443"/>
      <c r="BG443"/>
      <c r="BH443"/>
      <c r="BI443"/>
      <c r="BJ443"/>
      <c r="BK443"/>
      <c r="BL443"/>
      <c r="BM443"/>
      <c r="BN443"/>
      <c r="BO443"/>
      <c r="BP443"/>
      <c r="BQ443"/>
      <c r="BR443"/>
      <c r="BS443"/>
      <c r="BT443"/>
      <c r="BU443"/>
      <c r="BV443"/>
      <c r="BW443"/>
      <c r="BX443"/>
      <c r="BY443"/>
      <c r="BZ443"/>
      <c r="CA443"/>
      <c r="CB443"/>
      <c r="CC443"/>
      <c r="CD443"/>
      <c r="CE443"/>
      <c r="CF443"/>
      <c r="CG443"/>
      <c r="CH443"/>
      <c r="CI443"/>
      <c r="CJ443"/>
      <c r="CK443"/>
      <c r="CL443"/>
      <c r="CM443"/>
      <c r="CN443"/>
      <c r="CO443"/>
      <c r="CP443"/>
      <c r="CQ443"/>
      <c r="CR443"/>
      <c r="CS443"/>
      <c r="CT443"/>
      <c r="CU443"/>
      <c r="CV443"/>
      <c r="CW443"/>
      <c r="CX443"/>
      <c r="CY443"/>
      <c r="CZ443"/>
      <c r="DA443"/>
      <c r="DB443"/>
      <c r="DC443"/>
      <c r="DD443"/>
      <c r="DE443"/>
      <c r="DF443"/>
    </row>
    <row r="444" spans="1:110" s="16" customFormat="1" x14ac:dyDescent="0.3">
      <c r="A444" t="s">
        <v>32</v>
      </c>
      <c r="B444" t="s">
        <v>190</v>
      </c>
      <c r="C444" t="s">
        <v>609</v>
      </c>
      <c r="D444" s="10">
        <f>(D296*inputs!$E$77)/(inputs!$E$31)^inputs!E116</f>
        <v>0</v>
      </c>
      <c r="E444" t="str">
        <f t="shared" ca="1" si="7"/>
        <v>=(D296*inputs!$E$77)/(inputs!$E$31)^inputs!E116</v>
      </c>
      <c r="F444"/>
      <c r="G444"/>
      <c r="H444"/>
      <c r="I444"/>
      <c r="J444"/>
      <c r="K444"/>
      <c r="L444"/>
      <c r="M444"/>
      <c r="N444"/>
      <c r="O444"/>
      <c r="P444"/>
      <c r="Q444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  <c r="AJ444"/>
      <c r="AK444"/>
      <c r="AL444"/>
      <c r="AM444"/>
      <c r="AN444"/>
      <c r="AO444"/>
      <c r="AP444"/>
      <c r="AQ444"/>
      <c r="AR444"/>
      <c r="AS444"/>
      <c r="AT444"/>
      <c r="AU444"/>
      <c r="AV444"/>
      <c r="AW444"/>
      <c r="AX444"/>
      <c r="AY444"/>
      <c r="AZ444"/>
      <c r="BA444"/>
      <c r="BB444"/>
      <c r="BC444"/>
      <c r="BD444"/>
      <c r="BE444"/>
      <c r="BF444"/>
      <c r="BG444"/>
      <c r="BH444"/>
      <c r="BI444"/>
      <c r="BJ444"/>
      <c r="BK444"/>
      <c r="BL444"/>
      <c r="BM444"/>
      <c r="BN444"/>
      <c r="BO444"/>
      <c r="BP444"/>
      <c r="BQ444"/>
      <c r="BR444"/>
      <c r="BS444"/>
      <c r="BT444"/>
      <c r="BU444"/>
      <c r="BV444"/>
      <c r="BW444"/>
      <c r="BX444"/>
      <c r="BY444"/>
      <c r="BZ444"/>
      <c r="CA444"/>
      <c r="CB444"/>
      <c r="CC444"/>
      <c r="CD444"/>
      <c r="CE444"/>
      <c r="CF444"/>
      <c r="CG444"/>
      <c r="CH444"/>
      <c r="CI444"/>
      <c r="CJ444"/>
      <c r="CK444"/>
      <c r="CL444"/>
      <c r="CM444"/>
      <c r="CN444"/>
      <c r="CO444"/>
      <c r="CP444"/>
      <c r="CQ444"/>
      <c r="CR444"/>
      <c r="CS444"/>
      <c r="CT444"/>
      <c r="CU444"/>
      <c r="CV444"/>
      <c r="CW444"/>
      <c r="CX444"/>
      <c r="CY444"/>
      <c r="CZ444"/>
      <c r="DA444"/>
      <c r="DB444"/>
      <c r="DC444"/>
      <c r="DD444"/>
      <c r="DE444"/>
      <c r="DF444"/>
    </row>
    <row r="445" spans="1:110" s="16" customFormat="1" x14ac:dyDescent="0.3">
      <c r="A445" t="s">
        <v>32</v>
      </c>
      <c r="B445" t="s">
        <v>190</v>
      </c>
      <c r="C445" t="s">
        <v>610</v>
      </c>
      <c r="D445" s="10">
        <f>(D297*inputs!$E$77)/(inputs!$E$31)^inputs!E117</f>
        <v>0</v>
      </c>
      <c r="E445" t="str">
        <f t="shared" ca="1" si="7"/>
        <v>=(D297*inputs!$E$77)/(inputs!$E$31)^inputs!E117</v>
      </c>
      <c r="F445"/>
      <c r="G445"/>
      <c r="H445"/>
      <c r="I445"/>
      <c r="J445"/>
      <c r="K445"/>
      <c r="L445"/>
      <c r="M445"/>
      <c r="N445"/>
      <c r="O445"/>
      <c r="P445"/>
      <c r="Q445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  <c r="AJ445"/>
      <c r="AK445"/>
      <c r="AL445"/>
      <c r="AM445"/>
      <c r="AN445"/>
      <c r="AO445"/>
      <c r="AP445"/>
      <c r="AQ445"/>
      <c r="AR445"/>
      <c r="AS445"/>
      <c r="AT445"/>
      <c r="AU445"/>
      <c r="AV445"/>
      <c r="AW445"/>
      <c r="AX445"/>
      <c r="AY445"/>
      <c r="AZ445"/>
      <c r="BA445"/>
      <c r="BB445"/>
      <c r="BC445"/>
      <c r="BD445"/>
      <c r="BE445"/>
      <c r="BF445"/>
      <c r="BG445"/>
      <c r="BH445"/>
      <c r="BI445"/>
      <c r="BJ445"/>
      <c r="BK445"/>
      <c r="BL445"/>
      <c r="BM445"/>
      <c r="BN445"/>
      <c r="BO445"/>
      <c r="BP445"/>
      <c r="BQ445"/>
      <c r="BR445"/>
      <c r="BS445"/>
      <c r="BT445"/>
      <c r="BU445"/>
      <c r="BV445"/>
      <c r="BW445"/>
      <c r="BX445"/>
      <c r="BY445"/>
      <c r="BZ445"/>
      <c r="CA445"/>
      <c r="CB445"/>
      <c r="CC445"/>
      <c r="CD445"/>
      <c r="CE445"/>
      <c r="CF445"/>
      <c r="CG445"/>
      <c r="CH445"/>
      <c r="CI445"/>
      <c r="CJ445"/>
      <c r="CK445"/>
      <c r="CL445"/>
      <c r="CM445"/>
      <c r="CN445"/>
      <c r="CO445"/>
      <c r="CP445"/>
      <c r="CQ445"/>
      <c r="CR445"/>
      <c r="CS445"/>
      <c r="CT445"/>
      <c r="CU445"/>
      <c r="CV445"/>
      <c r="CW445"/>
      <c r="CX445"/>
      <c r="CY445"/>
      <c r="CZ445"/>
      <c r="DA445"/>
      <c r="DB445"/>
      <c r="DC445"/>
      <c r="DD445"/>
      <c r="DE445"/>
      <c r="DF445"/>
    </row>
    <row r="446" spans="1:110" s="16" customFormat="1" x14ac:dyDescent="0.3">
      <c r="A446" t="s">
        <v>32</v>
      </c>
      <c r="B446" t="s">
        <v>190</v>
      </c>
      <c r="C446" t="s">
        <v>611</v>
      </c>
      <c r="D446" s="10">
        <f>(D298*inputs!$E$77)/(inputs!$E$31)^inputs!E118</f>
        <v>0</v>
      </c>
      <c r="E446" t="str">
        <f t="shared" ca="1" si="7"/>
        <v>=(D298*inputs!$E$77)/(inputs!$E$31)^inputs!E118</v>
      </c>
      <c r="F446"/>
      <c r="G446"/>
      <c r="H446"/>
      <c r="I446"/>
      <c r="J446"/>
      <c r="K446"/>
      <c r="L446"/>
      <c r="M446"/>
      <c r="N446"/>
      <c r="O446"/>
      <c r="P446"/>
      <c r="Q44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  <c r="AJ446"/>
      <c r="AK446"/>
      <c r="AL446"/>
      <c r="AM446"/>
      <c r="AN446"/>
      <c r="AO446"/>
      <c r="AP446"/>
      <c r="AQ446"/>
      <c r="AR446"/>
      <c r="AS446"/>
      <c r="AT446"/>
      <c r="AU446"/>
      <c r="AV446"/>
      <c r="AW446"/>
      <c r="AX446"/>
      <c r="AY446"/>
      <c r="AZ446"/>
      <c r="BA446"/>
      <c r="BB446"/>
      <c r="BC446"/>
      <c r="BD446"/>
      <c r="BE446"/>
      <c r="BF446"/>
      <c r="BG446"/>
      <c r="BH446"/>
      <c r="BI446"/>
      <c r="BJ446"/>
      <c r="BK446"/>
      <c r="BL446"/>
      <c r="BM446"/>
      <c r="BN446"/>
      <c r="BO446"/>
      <c r="BP446"/>
      <c r="BQ446"/>
      <c r="BR446"/>
      <c r="BS446"/>
      <c r="BT446"/>
      <c r="BU446"/>
      <c r="BV446"/>
      <c r="BW446"/>
      <c r="BX446"/>
      <c r="BY446"/>
      <c r="BZ446"/>
      <c r="CA446"/>
      <c r="CB446"/>
      <c r="CC446"/>
      <c r="CD446"/>
      <c r="CE446"/>
      <c r="CF446"/>
      <c r="CG446"/>
      <c r="CH446"/>
      <c r="CI446"/>
      <c r="CJ446"/>
      <c r="CK446"/>
      <c r="CL446"/>
      <c r="CM446"/>
      <c r="CN446"/>
      <c r="CO446"/>
      <c r="CP446"/>
      <c r="CQ446"/>
      <c r="CR446"/>
      <c r="CS446"/>
      <c r="CT446"/>
      <c r="CU446"/>
      <c r="CV446"/>
      <c r="CW446"/>
      <c r="CX446"/>
      <c r="CY446"/>
      <c r="CZ446"/>
      <c r="DA446"/>
      <c r="DB446"/>
      <c r="DC446"/>
      <c r="DD446"/>
      <c r="DE446"/>
      <c r="DF446"/>
    </row>
    <row r="447" spans="1:110" s="16" customFormat="1" x14ac:dyDescent="0.3">
      <c r="A447" t="s">
        <v>32</v>
      </c>
      <c r="B447" t="s">
        <v>190</v>
      </c>
      <c r="C447" t="s">
        <v>612</v>
      </c>
      <c r="D447" s="10">
        <f>(D299*inputs!$E$77)/(inputs!$E$31)^inputs!E119</f>
        <v>0</v>
      </c>
      <c r="E447" t="str">
        <f t="shared" ca="1" si="7"/>
        <v>=(D299*inputs!$E$77)/(inputs!$E$31)^inputs!E119</v>
      </c>
      <c r="F447"/>
      <c r="G447"/>
      <c r="H447"/>
      <c r="I447"/>
      <c r="J447"/>
      <c r="K447"/>
      <c r="L447"/>
      <c r="M447"/>
      <c r="N447"/>
      <c r="O447"/>
      <c r="P447"/>
      <c r="Q447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  <c r="AJ447"/>
      <c r="AK447"/>
      <c r="AL447"/>
      <c r="AM447"/>
      <c r="AN447"/>
      <c r="AO447"/>
      <c r="AP447"/>
      <c r="AQ447"/>
      <c r="AR447"/>
      <c r="AS447"/>
      <c r="AT447"/>
      <c r="AU447"/>
      <c r="AV447"/>
      <c r="AW447"/>
      <c r="AX447"/>
      <c r="AY447"/>
      <c r="AZ447"/>
      <c r="BA447"/>
      <c r="BB447"/>
      <c r="BC447"/>
      <c r="BD447"/>
      <c r="BE447"/>
      <c r="BF447"/>
      <c r="BG447"/>
      <c r="BH447"/>
      <c r="BI447"/>
      <c r="BJ447"/>
      <c r="BK447"/>
      <c r="BL447"/>
      <c r="BM447"/>
      <c r="BN447"/>
      <c r="BO447"/>
      <c r="BP447"/>
      <c r="BQ447"/>
      <c r="BR447"/>
      <c r="BS447"/>
      <c r="BT447"/>
      <c r="BU447"/>
      <c r="BV447"/>
      <c r="BW447"/>
      <c r="BX447"/>
      <c r="BY447"/>
      <c r="BZ447"/>
      <c r="CA447"/>
      <c r="CB447"/>
      <c r="CC447"/>
      <c r="CD447"/>
      <c r="CE447"/>
      <c r="CF447"/>
      <c r="CG447"/>
      <c r="CH447"/>
      <c r="CI447"/>
      <c r="CJ447"/>
      <c r="CK447"/>
      <c r="CL447"/>
      <c r="CM447"/>
      <c r="CN447"/>
      <c r="CO447"/>
      <c r="CP447"/>
      <c r="CQ447"/>
      <c r="CR447"/>
      <c r="CS447"/>
      <c r="CT447"/>
      <c r="CU447"/>
      <c r="CV447"/>
      <c r="CW447"/>
      <c r="CX447"/>
      <c r="CY447"/>
      <c r="CZ447"/>
      <c r="DA447"/>
      <c r="DB447"/>
      <c r="DC447"/>
      <c r="DD447"/>
      <c r="DE447"/>
      <c r="DF447"/>
    </row>
    <row r="448" spans="1:110" s="16" customFormat="1" x14ac:dyDescent="0.3">
      <c r="A448" t="s">
        <v>32</v>
      </c>
      <c r="B448" t="s">
        <v>190</v>
      </c>
      <c r="C448" t="s">
        <v>613</v>
      </c>
      <c r="D448" s="10">
        <f>(D300*inputs!$E$77)/(inputs!$E$31)^inputs!E120</f>
        <v>0</v>
      </c>
      <c r="E448" t="str">
        <f t="shared" ca="1" si="7"/>
        <v>=(D300*inputs!$E$77)/(inputs!$E$31)^inputs!E120</v>
      </c>
      <c r="F448"/>
      <c r="G448"/>
      <c r="H448"/>
      <c r="I448"/>
      <c r="J448"/>
      <c r="K448"/>
      <c r="L448"/>
      <c r="M448"/>
      <c r="N448"/>
      <c r="O448"/>
      <c r="P448"/>
      <c r="Q448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  <c r="AJ448"/>
      <c r="AK448"/>
      <c r="AL448"/>
      <c r="AM448"/>
      <c r="AN448"/>
      <c r="AO448"/>
      <c r="AP448"/>
      <c r="AQ448"/>
      <c r="AR448"/>
      <c r="AS448"/>
      <c r="AT448"/>
      <c r="AU448"/>
      <c r="AV448"/>
      <c r="AW448"/>
      <c r="AX448"/>
      <c r="AY448"/>
      <c r="AZ448"/>
      <c r="BA448"/>
      <c r="BB448"/>
      <c r="BC448"/>
      <c r="BD448"/>
      <c r="BE448"/>
      <c r="BF448"/>
      <c r="BG448"/>
      <c r="BH448"/>
      <c r="BI448"/>
      <c r="BJ448"/>
      <c r="BK448"/>
      <c r="BL448"/>
      <c r="BM448"/>
      <c r="BN448"/>
      <c r="BO448"/>
      <c r="BP448"/>
      <c r="BQ448"/>
      <c r="BR448"/>
      <c r="BS448"/>
      <c r="BT448"/>
      <c r="BU448"/>
      <c r="BV448"/>
      <c r="BW448"/>
      <c r="BX448"/>
      <c r="BY448"/>
      <c r="BZ448"/>
      <c r="CA448"/>
      <c r="CB448"/>
      <c r="CC448"/>
      <c r="CD448"/>
      <c r="CE448"/>
      <c r="CF448"/>
      <c r="CG448"/>
      <c r="CH448"/>
      <c r="CI448"/>
      <c r="CJ448"/>
      <c r="CK448"/>
      <c r="CL448"/>
      <c r="CM448"/>
      <c r="CN448"/>
      <c r="CO448"/>
      <c r="CP448"/>
      <c r="CQ448"/>
      <c r="CR448"/>
      <c r="CS448"/>
      <c r="CT448"/>
      <c r="CU448"/>
      <c r="CV448"/>
      <c r="CW448"/>
      <c r="CX448"/>
      <c r="CY448"/>
      <c r="CZ448"/>
      <c r="DA448"/>
      <c r="DB448"/>
      <c r="DC448"/>
      <c r="DD448"/>
      <c r="DE448"/>
      <c r="DF448"/>
    </row>
    <row r="449" spans="1:110" s="16" customFormat="1" x14ac:dyDescent="0.3">
      <c r="A449" t="s">
        <v>32</v>
      </c>
      <c r="B449" t="s">
        <v>190</v>
      </c>
      <c r="C449" t="s">
        <v>614</v>
      </c>
      <c r="D449" s="10">
        <f>(D301*inputs!$E$77)/(inputs!$E$31)^inputs!E121</f>
        <v>0</v>
      </c>
      <c r="E449" t="str">
        <f t="shared" ca="1" si="7"/>
        <v>=(D301*inputs!$E$77)/(inputs!$E$31)^inputs!E121</v>
      </c>
      <c r="F449"/>
      <c r="G449"/>
      <c r="H449"/>
      <c r="I449"/>
      <c r="J449"/>
      <c r="K449"/>
      <c r="L449"/>
      <c r="M449"/>
      <c r="N449"/>
      <c r="O449"/>
      <c r="P449"/>
      <c r="Q449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  <c r="AJ449"/>
      <c r="AK449"/>
      <c r="AL449"/>
      <c r="AM449"/>
      <c r="AN449"/>
      <c r="AO449"/>
      <c r="AP449"/>
      <c r="AQ449"/>
      <c r="AR449"/>
      <c r="AS449"/>
      <c r="AT449"/>
      <c r="AU449"/>
      <c r="AV449"/>
      <c r="AW449"/>
      <c r="AX449"/>
      <c r="AY449"/>
      <c r="AZ449"/>
      <c r="BA449"/>
      <c r="BB449"/>
      <c r="BC449"/>
      <c r="BD449"/>
      <c r="BE449"/>
      <c r="BF449"/>
      <c r="BG449"/>
      <c r="BH449"/>
      <c r="BI449"/>
      <c r="BJ449"/>
      <c r="BK449"/>
      <c r="BL449"/>
      <c r="BM449"/>
      <c r="BN449"/>
      <c r="BO449"/>
      <c r="BP449"/>
      <c r="BQ449"/>
      <c r="BR449"/>
      <c r="BS449"/>
      <c r="BT449"/>
      <c r="BU449"/>
      <c r="BV449"/>
      <c r="BW449"/>
      <c r="BX449"/>
      <c r="BY449"/>
      <c r="BZ449"/>
      <c r="CA449"/>
      <c r="CB449"/>
      <c r="CC449"/>
      <c r="CD449"/>
      <c r="CE449"/>
      <c r="CF449"/>
      <c r="CG449"/>
      <c r="CH449"/>
      <c r="CI449"/>
      <c r="CJ449"/>
      <c r="CK449"/>
      <c r="CL449"/>
      <c r="CM449"/>
      <c r="CN449"/>
      <c r="CO449"/>
      <c r="CP449"/>
      <c r="CQ449"/>
      <c r="CR449"/>
      <c r="CS449"/>
      <c r="CT449"/>
      <c r="CU449"/>
      <c r="CV449"/>
      <c r="CW449"/>
      <c r="CX449"/>
      <c r="CY449"/>
      <c r="CZ449"/>
      <c r="DA449"/>
      <c r="DB449"/>
      <c r="DC449"/>
      <c r="DD449"/>
      <c r="DE449"/>
      <c r="DF449"/>
    </row>
    <row r="450" spans="1:110" s="16" customFormat="1" x14ac:dyDescent="0.3">
      <c r="A450" t="s">
        <v>32</v>
      </c>
      <c r="B450" t="s">
        <v>190</v>
      </c>
      <c r="C450" t="s">
        <v>615</v>
      </c>
      <c r="D450" s="10">
        <f>(D302*inputs!$E$77)/(inputs!$E$31)^inputs!E122</f>
        <v>0</v>
      </c>
      <c r="E450" t="str">
        <f t="shared" ca="1" si="7"/>
        <v>=(D302*inputs!$E$77)/(inputs!$E$31)^inputs!E122</v>
      </c>
      <c r="F450"/>
      <c r="G450"/>
      <c r="H450"/>
      <c r="I450"/>
      <c r="J450"/>
      <c r="K450"/>
      <c r="L450"/>
      <c r="M450"/>
      <c r="N450"/>
      <c r="O450"/>
      <c r="P450"/>
      <c r="Q450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  <c r="AJ450"/>
      <c r="AK450"/>
      <c r="AL450"/>
      <c r="AM450"/>
      <c r="AN450"/>
      <c r="AO450"/>
      <c r="AP450"/>
      <c r="AQ450"/>
      <c r="AR450"/>
      <c r="AS450"/>
      <c r="AT450"/>
      <c r="AU450"/>
      <c r="AV450"/>
      <c r="AW450"/>
      <c r="AX450"/>
      <c r="AY450"/>
      <c r="AZ450"/>
      <c r="BA450"/>
      <c r="BB450"/>
      <c r="BC450"/>
      <c r="BD450"/>
      <c r="BE450"/>
      <c r="BF450"/>
      <c r="BG450"/>
      <c r="BH450"/>
      <c r="BI450"/>
      <c r="BJ450"/>
      <c r="BK450"/>
      <c r="BL450"/>
      <c r="BM450"/>
      <c r="BN450"/>
      <c r="BO450"/>
      <c r="BP450"/>
      <c r="BQ450"/>
      <c r="BR450"/>
      <c r="BS450"/>
      <c r="BT450"/>
      <c r="BU450"/>
      <c r="BV450"/>
      <c r="BW450"/>
      <c r="BX450"/>
      <c r="BY450"/>
      <c r="BZ450"/>
      <c r="CA450"/>
      <c r="CB450"/>
      <c r="CC450"/>
      <c r="CD450"/>
      <c r="CE450"/>
      <c r="CF450"/>
      <c r="CG450"/>
      <c r="CH450"/>
      <c r="CI450"/>
      <c r="CJ450"/>
      <c r="CK450"/>
      <c r="CL450"/>
      <c r="CM450"/>
      <c r="CN450"/>
      <c r="CO450"/>
      <c r="CP450"/>
      <c r="CQ450"/>
      <c r="CR450"/>
      <c r="CS450"/>
      <c r="CT450"/>
      <c r="CU450"/>
      <c r="CV450"/>
      <c r="CW450"/>
      <c r="CX450"/>
      <c r="CY450"/>
      <c r="CZ450"/>
      <c r="DA450"/>
      <c r="DB450"/>
      <c r="DC450"/>
      <c r="DD450"/>
      <c r="DE450"/>
      <c r="DF450"/>
    </row>
    <row r="451" spans="1:110" s="16" customFormat="1" x14ac:dyDescent="0.3">
      <c r="A451" t="s">
        <v>32</v>
      </c>
      <c r="B451" t="s">
        <v>190</v>
      </c>
      <c r="C451" t="s">
        <v>616</v>
      </c>
      <c r="D451" s="10">
        <f>(D303*inputs!$E$77)/(inputs!$E$31)^inputs!E123</f>
        <v>0</v>
      </c>
      <c r="E451" t="str">
        <f t="shared" ca="1" si="7"/>
        <v>=(D303*inputs!$E$77)/(inputs!$E$31)^inputs!E123</v>
      </c>
      <c r="F451"/>
      <c r="G451"/>
      <c r="H451"/>
      <c r="I451"/>
      <c r="J451"/>
      <c r="K451"/>
      <c r="L451"/>
      <c r="M451"/>
      <c r="N451"/>
      <c r="O451"/>
      <c r="P451"/>
      <c r="Q451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  <c r="AJ451"/>
      <c r="AK451"/>
      <c r="AL451"/>
      <c r="AM451"/>
      <c r="AN451"/>
      <c r="AO451"/>
      <c r="AP451"/>
      <c r="AQ451"/>
      <c r="AR451"/>
      <c r="AS451"/>
      <c r="AT451"/>
      <c r="AU451"/>
      <c r="AV451"/>
      <c r="AW451"/>
      <c r="AX451"/>
      <c r="AY451"/>
      <c r="AZ451"/>
      <c r="BA451"/>
      <c r="BB451"/>
      <c r="BC451"/>
      <c r="BD451"/>
      <c r="BE451"/>
      <c r="BF451"/>
      <c r="BG451"/>
      <c r="BH451"/>
      <c r="BI451"/>
      <c r="BJ451"/>
      <c r="BK451"/>
      <c r="BL451"/>
      <c r="BM451"/>
      <c r="BN451"/>
      <c r="BO451"/>
      <c r="BP451"/>
      <c r="BQ451"/>
      <c r="BR451"/>
      <c r="BS451"/>
      <c r="BT451"/>
      <c r="BU451"/>
      <c r="BV451"/>
      <c r="BW451"/>
      <c r="BX451"/>
      <c r="BY451"/>
      <c r="BZ451"/>
      <c r="CA451"/>
      <c r="CB451"/>
      <c r="CC451"/>
      <c r="CD451"/>
      <c r="CE451"/>
      <c r="CF451"/>
      <c r="CG451"/>
      <c r="CH451"/>
      <c r="CI451"/>
      <c r="CJ451"/>
      <c r="CK451"/>
      <c r="CL451"/>
      <c r="CM451"/>
      <c r="CN451"/>
      <c r="CO451"/>
      <c r="CP451"/>
      <c r="CQ451"/>
      <c r="CR451"/>
      <c r="CS451"/>
      <c r="CT451"/>
      <c r="CU451"/>
      <c r="CV451"/>
      <c r="CW451"/>
      <c r="CX451"/>
      <c r="CY451"/>
      <c r="CZ451"/>
      <c r="DA451"/>
      <c r="DB451"/>
      <c r="DC451"/>
      <c r="DD451"/>
      <c r="DE451"/>
      <c r="DF451"/>
    </row>
    <row r="452" spans="1:110" s="16" customFormat="1" x14ac:dyDescent="0.3">
      <c r="A452" t="s">
        <v>32</v>
      </c>
      <c r="B452" t="s">
        <v>190</v>
      </c>
      <c r="C452" t="s">
        <v>617</v>
      </c>
      <c r="D452" s="10">
        <f>(D304*inputs!$E$77)/(inputs!$E$31)^inputs!E124</f>
        <v>0</v>
      </c>
      <c r="E452" t="str">
        <f t="shared" ca="1" si="7"/>
        <v>=(D304*inputs!$E$77)/(inputs!$E$31)^inputs!E124</v>
      </c>
      <c r="F452"/>
      <c r="G452"/>
      <c r="H452"/>
      <c r="I452"/>
      <c r="J452"/>
      <c r="K452"/>
      <c r="L452"/>
      <c r="M452"/>
      <c r="N452"/>
      <c r="O452"/>
      <c r="P452"/>
      <c r="Q452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  <c r="AJ452"/>
      <c r="AK452"/>
      <c r="AL452"/>
      <c r="AM452"/>
      <c r="AN452"/>
      <c r="AO452"/>
      <c r="AP452"/>
      <c r="AQ452"/>
      <c r="AR452"/>
      <c r="AS452"/>
      <c r="AT452"/>
      <c r="AU452"/>
      <c r="AV452"/>
      <c r="AW452"/>
      <c r="AX452"/>
      <c r="AY452"/>
      <c r="AZ452"/>
      <c r="BA452"/>
      <c r="BB452"/>
      <c r="BC452"/>
      <c r="BD452"/>
      <c r="BE452"/>
      <c r="BF452"/>
      <c r="BG452"/>
      <c r="BH452"/>
      <c r="BI452"/>
      <c r="BJ452"/>
      <c r="BK452"/>
      <c r="BL452"/>
      <c r="BM452"/>
      <c r="BN452"/>
      <c r="BO452"/>
      <c r="BP452"/>
      <c r="BQ452"/>
      <c r="BR452"/>
      <c r="BS452"/>
      <c r="BT452"/>
      <c r="BU452"/>
      <c r="BV452"/>
      <c r="BW452"/>
      <c r="BX452"/>
      <c r="BY452"/>
      <c r="BZ452"/>
      <c r="CA452"/>
      <c r="CB452"/>
      <c r="CC452"/>
      <c r="CD452"/>
      <c r="CE452"/>
      <c r="CF452"/>
      <c r="CG452"/>
      <c r="CH452"/>
      <c r="CI452"/>
      <c r="CJ452"/>
      <c r="CK452"/>
      <c r="CL452"/>
      <c r="CM452"/>
      <c r="CN452"/>
      <c r="CO452"/>
      <c r="CP452"/>
      <c r="CQ452"/>
      <c r="CR452"/>
      <c r="CS452"/>
      <c r="CT452"/>
      <c r="CU452"/>
      <c r="CV452"/>
      <c r="CW452"/>
      <c r="CX452"/>
      <c r="CY452"/>
      <c r="CZ452"/>
      <c r="DA452"/>
      <c r="DB452"/>
      <c r="DC452"/>
      <c r="DD452"/>
      <c r="DE452"/>
      <c r="DF452"/>
    </row>
    <row r="453" spans="1:110" s="16" customFormat="1" x14ac:dyDescent="0.3">
      <c r="A453" t="s">
        <v>32</v>
      </c>
      <c r="B453" t="s">
        <v>190</v>
      </c>
      <c r="C453" t="s">
        <v>618</v>
      </c>
      <c r="D453" s="10">
        <f>(D305*inputs!$E$77)/(inputs!$E$31)^inputs!E125</f>
        <v>0</v>
      </c>
      <c r="E453" t="str">
        <f t="shared" ca="1" si="7"/>
        <v>=(D305*inputs!$E$77)/(inputs!$E$31)^inputs!E125</v>
      </c>
      <c r="F453"/>
      <c r="G453"/>
      <c r="H453"/>
      <c r="I453"/>
      <c r="J453"/>
      <c r="K453"/>
      <c r="L453"/>
      <c r="M453"/>
      <c r="N453"/>
      <c r="O453"/>
      <c r="P453"/>
      <c r="Q453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  <c r="AJ453"/>
      <c r="AK453"/>
      <c r="AL453"/>
      <c r="AM453"/>
      <c r="AN453"/>
      <c r="AO453"/>
      <c r="AP453"/>
      <c r="AQ453"/>
      <c r="AR453"/>
      <c r="AS453"/>
      <c r="AT453"/>
      <c r="AU453"/>
      <c r="AV453"/>
      <c r="AW453"/>
      <c r="AX453"/>
      <c r="AY453"/>
      <c r="AZ453"/>
      <c r="BA453"/>
      <c r="BB453"/>
      <c r="BC453"/>
      <c r="BD453"/>
      <c r="BE453"/>
      <c r="BF453"/>
      <c r="BG453"/>
      <c r="BH453"/>
      <c r="BI453"/>
      <c r="BJ453"/>
      <c r="BK453"/>
      <c r="BL453"/>
      <c r="BM453"/>
      <c r="BN453"/>
      <c r="BO453"/>
      <c r="BP453"/>
      <c r="BQ453"/>
      <c r="BR453"/>
      <c r="BS453"/>
      <c r="BT453"/>
      <c r="BU453"/>
      <c r="BV453"/>
      <c r="BW453"/>
      <c r="BX453"/>
      <c r="BY453"/>
      <c r="BZ453"/>
      <c r="CA453"/>
      <c r="CB453"/>
      <c r="CC453"/>
      <c r="CD453"/>
      <c r="CE453"/>
      <c r="CF453"/>
      <c r="CG453"/>
      <c r="CH453"/>
      <c r="CI453"/>
      <c r="CJ453"/>
      <c r="CK453"/>
      <c r="CL453"/>
      <c r="CM453"/>
      <c r="CN453"/>
      <c r="CO453"/>
      <c r="CP453"/>
      <c r="CQ453"/>
      <c r="CR453"/>
      <c r="CS453"/>
      <c r="CT453"/>
      <c r="CU453"/>
      <c r="CV453"/>
      <c r="CW453"/>
      <c r="CX453"/>
      <c r="CY453"/>
      <c r="CZ453"/>
      <c r="DA453"/>
      <c r="DB453"/>
      <c r="DC453"/>
      <c r="DD453"/>
      <c r="DE453"/>
      <c r="DF453"/>
    </row>
    <row r="454" spans="1:110" s="16" customFormat="1" x14ac:dyDescent="0.3">
      <c r="A454" t="s">
        <v>32</v>
      </c>
      <c r="B454" t="s">
        <v>190</v>
      </c>
      <c r="C454" t="s">
        <v>619</v>
      </c>
      <c r="D454" s="10">
        <f>(D306*inputs!$E$77)/(inputs!$E$31)^inputs!E126</f>
        <v>0</v>
      </c>
      <c r="E454" t="str">
        <f t="shared" ca="1" si="7"/>
        <v>=(D306*inputs!$E$77)/(inputs!$E$31)^inputs!E126</v>
      </c>
      <c r="F454"/>
      <c r="G454"/>
      <c r="H454"/>
      <c r="I454"/>
      <c r="J454"/>
      <c r="K454"/>
      <c r="L454"/>
      <c r="M454"/>
      <c r="N454"/>
      <c r="O454"/>
      <c r="P454"/>
      <c r="Q454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  <c r="AJ454"/>
      <c r="AK454"/>
      <c r="AL454"/>
      <c r="AM454"/>
      <c r="AN454"/>
      <c r="AO454"/>
      <c r="AP454"/>
      <c r="AQ454"/>
      <c r="AR454"/>
      <c r="AS454"/>
      <c r="AT454"/>
      <c r="AU454"/>
      <c r="AV454"/>
      <c r="AW454"/>
      <c r="AX454"/>
      <c r="AY454"/>
      <c r="AZ454"/>
      <c r="BA454"/>
      <c r="BB454"/>
      <c r="BC454"/>
      <c r="BD454"/>
      <c r="BE454"/>
      <c r="BF454"/>
      <c r="BG454"/>
      <c r="BH454"/>
      <c r="BI454"/>
      <c r="BJ454"/>
      <c r="BK454"/>
      <c r="BL454"/>
      <c r="BM454"/>
      <c r="BN454"/>
      <c r="BO454"/>
      <c r="BP454"/>
      <c r="BQ454"/>
      <c r="BR454"/>
      <c r="BS454"/>
      <c r="BT454"/>
      <c r="BU454"/>
      <c r="BV454"/>
      <c r="BW454"/>
      <c r="BX454"/>
      <c r="BY454"/>
      <c r="BZ454"/>
      <c r="CA454"/>
      <c r="CB454"/>
      <c r="CC454"/>
      <c r="CD454"/>
      <c r="CE454"/>
      <c r="CF454"/>
      <c r="CG454"/>
      <c r="CH454"/>
      <c r="CI454"/>
      <c r="CJ454"/>
      <c r="CK454"/>
      <c r="CL454"/>
      <c r="CM454"/>
      <c r="CN454"/>
      <c r="CO454"/>
      <c r="CP454"/>
      <c r="CQ454"/>
      <c r="CR454"/>
      <c r="CS454"/>
      <c r="CT454"/>
      <c r="CU454"/>
      <c r="CV454"/>
      <c r="CW454"/>
      <c r="CX454"/>
      <c r="CY454"/>
      <c r="CZ454"/>
      <c r="DA454"/>
      <c r="DB454"/>
      <c r="DC454"/>
      <c r="DD454"/>
      <c r="DE454"/>
      <c r="DF454"/>
    </row>
    <row r="455" spans="1:110" s="16" customFormat="1" x14ac:dyDescent="0.3">
      <c r="A455" t="s">
        <v>32</v>
      </c>
      <c r="B455" t="s">
        <v>190</v>
      </c>
      <c r="C455" t="s">
        <v>620</v>
      </c>
      <c r="D455" s="10">
        <f>(D307*inputs!$E$77)/(inputs!$E$31)^inputs!E127</f>
        <v>0</v>
      </c>
      <c r="E455" t="str">
        <f t="shared" ca="1" si="7"/>
        <v>=(D307*inputs!$E$77)/(inputs!$E$31)^inputs!E127</v>
      </c>
      <c r="F455"/>
      <c r="G455"/>
      <c r="H455"/>
      <c r="I455"/>
      <c r="J455"/>
      <c r="K455"/>
      <c r="L455"/>
      <c r="M455"/>
      <c r="N455"/>
      <c r="O455"/>
      <c r="P455"/>
      <c r="Q455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  <c r="AJ455"/>
      <c r="AK455"/>
      <c r="AL455"/>
      <c r="AM455"/>
      <c r="AN455"/>
      <c r="AO455"/>
      <c r="AP455"/>
      <c r="AQ455"/>
      <c r="AR455"/>
      <c r="AS455"/>
      <c r="AT455"/>
      <c r="AU455"/>
      <c r="AV455"/>
      <c r="AW455"/>
      <c r="AX455"/>
      <c r="AY455"/>
      <c r="AZ455"/>
      <c r="BA455"/>
      <c r="BB455"/>
      <c r="BC455"/>
      <c r="BD455"/>
      <c r="BE455"/>
      <c r="BF455"/>
      <c r="BG455"/>
      <c r="BH455"/>
      <c r="BI455"/>
      <c r="BJ455"/>
      <c r="BK455"/>
      <c r="BL455"/>
      <c r="BM455"/>
      <c r="BN455"/>
      <c r="BO455"/>
      <c r="BP455"/>
      <c r="BQ455"/>
      <c r="BR455"/>
      <c r="BS455"/>
      <c r="BT455"/>
      <c r="BU455"/>
      <c r="BV455"/>
      <c r="BW455"/>
      <c r="BX455"/>
      <c r="BY455"/>
      <c r="BZ455"/>
      <c r="CA455"/>
      <c r="CB455"/>
      <c r="CC455"/>
      <c r="CD455"/>
      <c r="CE455"/>
      <c r="CF455"/>
      <c r="CG455"/>
      <c r="CH455"/>
      <c r="CI455"/>
      <c r="CJ455"/>
      <c r="CK455"/>
      <c r="CL455"/>
      <c r="CM455"/>
      <c r="CN455"/>
      <c r="CO455"/>
      <c r="CP455"/>
      <c r="CQ455"/>
      <c r="CR455"/>
      <c r="CS455"/>
      <c r="CT455"/>
      <c r="CU455"/>
      <c r="CV455"/>
      <c r="CW455"/>
      <c r="CX455"/>
      <c r="CY455"/>
      <c r="CZ455"/>
      <c r="DA455"/>
      <c r="DB455"/>
      <c r="DC455"/>
      <c r="DD455"/>
      <c r="DE455"/>
      <c r="DF455"/>
    </row>
    <row r="456" spans="1:110" s="16" customFormat="1" x14ac:dyDescent="0.3">
      <c r="A456" t="s">
        <v>32</v>
      </c>
      <c r="B456" t="s">
        <v>190</v>
      </c>
      <c r="C456" t="s">
        <v>621</v>
      </c>
      <c r="D456" s="10">
        <f>(D308*inputs!$E$77)/(inputs!$E$31)^inputs!E128</f>
        <v>0</v>
      </c>
      <c r="E456" t="str">
        <f t="shared" ca="1" si="7"/>
        <v>=(D308*inputs!$E$77)/(inputs!$E$31)^inputs!E128</v>
      </c>
      <c r="F456"/>
      <c r="G456"/>
      <c r="H456"/>
      <c r="I456"/>
      <c r="J456"/>
      <c r="K456"/>
      <c r="L456"/>
      <c r="M456"/>
      <c r="N456"/>
      <c r="O456"/>
      <c r="P456"/>
      <c r="Q45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  <c r="AJ456"/>
      <c r="AK456"/>
      <c r="AL456"/>
      <c r="AM456"/>
      <c r="AN456"/>
      <c r="AO456"/>
      <c r="AP456"/>
      <c r="AQ456"/>
      <c r="AR456"/>
      <c r="AS456"/>
      <c r="AT456"/>
      <c r="AU456"/>
      <c r="AV456"/>
      <c r="AW456"/>
      <c r="AX456"/>
      <c r="AY456"/>
      <c r="AZ456"/>
      <c r="BA456"/>
      <c r="BB456"/>
      <c r="BC456"/>
      <c r="BD456"/>
      <c r="BE456"/>
      <c r="BF456"/>
      <c r="BG456"/>
      <c r="BH456"/>
      <c r="BI456"/>
      <c r="BJ456"/>
      <c r="BK456"/>
      <c r="BL456"/>
      <c r="BM456"/>
      <c r="BN456"/>
      <c r="BO456"/>
      <c r="BP456"/>
      <c r="BQ456"/>
      <c r="BR456"/>
      <c r="BS456"/>
      <c r="BT456"/>
      <c r="BU456"/>
      <c r="BV456"/>
      <c r="BW456"/>
      <c r="BX456"/>
      <c r="BY456"/>
      <c r="BZ456"/>
      <c r="CA456"/>
      <c r="CB456"/>
      <c r="CC456"/>
      <c r="CD456"/>
      <c r="CE456"/>
      <c r="CF456"/>
      <c r="CG456"/>
      <c r="CH456"/>
      <c r="CI456"/>
      <c r="CJ456"/>
      <c r="CK456"/>
      <c r="CL456"/>
      <c r="CM456"/>
      <c r="CN456"/>
      <c r="CO456"/>
      <c r="CP456"/>
      <c r="CQ456"/>
      <c r="CR456"/>
      <c r="CS456"/>
      <c r="CT456"/>
      <c r="CU456"/>
      <c r="CV456"/>
      <c r="CW456"/>
      <c r="CX456"/>
      <c r="CY456"/>
      <c r="CZ456"/>
      <c r="DA456"/>
      <c r="DB456"/>
      <c r="DC456"/>
      <c r="DD456"/>
      <c r="DE456"/>
      <c r="DF456"/>
    </row>
    <row r="457" spans="1:110" s="16" customFormat="1" x14ac:dyDescent="0.3">
      <c r="A457" t="s">
        <v>32</v>
      </c>
      <c r="B457" t="s">
        <v>190</v>
      </c>
      <c r="C457" t="s">
        <v>622</v>
      </c>
      <c r="D457" s="10">
        <f>(D309*inputs!$E$77)/(inputs!$E$31)^inputs!E129</f>
        <v>0</v>
      </c>
      <c r="E457" t="str">
        <f t="shared" ca="1" si="7"/>
        <v>=(D309*inputs!$E$77)/(inputs!$E$31)^inputs!E129</v>
      </c>
      <c r="F457"/>
      <c r="G457"/>
      <c r="H457"/>
      <c r="I457"/>
      <c r="J457"/>
      <c r="K457"/>
      <c r="L457"/>
      <c r="M457"/>
      <c r="N457"/>
      <c r="O457"/>
      <c r="P457"/>
      <c r="Q457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  <c r="AJ457"/>
      <c r="AK457"/>
      <c r="AL457"/>
      <c r="AM457"/>
      <c r="AN457"/>
      <c r="AO457"/>
      <c r="AP457"/>
      <c r="AQ457"/>
      <c r="AR457"/>
      <c r="AS457"/>
      <c r="AT457"/>
      <c r="AU457"/>
      <c r="AV457"/>
      <c r="AW457"/>
      <c r="AX457"/>
      <c r="AY457"/>
      <c r="AZ457"/>
      <c r="BA457"/>
      <c r="BB457"/>
      <c r="BC457"/>
      <c r="BD457"/>
      <c r="BE457"/>
      <c r="BF457"/>
      <c r="BG457"/>
      <c r="BH457"/>
      <c r="BI457"/>
      <c r="BJ457"/>
      <c r="BK457"/>
      <c r="BL457"/>
      <c r="BM457"/>
      <c r="BN457"/>
      <c r="BO457"/>
      <c r="BP457"/>
      <c r="BQ457"/>
      <c r="BR457"/>
      <c r="BS457"/>
      <c r="BT457"/>
      <c r="BU457"/>
      <c r="BV457"/>
      <c r="BW457"/>
      <c r="BX457"/>
      <c r="BY457"/>
      <c r="BZ457"/>
      <c r="CA457"/>
      <c r="CB457"/>
      <c r="CC457"/>
      <c r="CD457"/>
      <c r="CE457"/>
      <c r="CF457"/>
      <c r="CG457"/>
      <c r="CH457"/>
      <c r="CI457"/>
      <c r="CJ457"/>
      <c r="CK457"/>
      <c r="CL457"/>
      <c r="CM457"/>
      <c r="CN457"/>
      <c r="CO457"/>
      <c r="CP457"/>
      <c r="CQ457"/>
      <c r="CR457"/>
      <c r="CS457"/>
      <c r="CT457"/>
      <c r="CU457"/>
      <c r="CV457"/>
      <c r="CW457"/>
      <c r="CX457"/>
      <c r="CY457"/>
      <c r="CZ457"/>
      <c r="DA457"/>
      <c r="DB457"/>
      <c r="DC457"/>
      <c r="DD457"/>
      <c r="DE457"/>
      <c r="DF457"/>
    </row>
    <row r="458" spans="1:110" s="16" customFormat="1" x14ac:dyDescent="0.3">
      <c r="A458" t="s">
        <v>32</v>
      </c>
      <c r="B458" t="s">
        <v>190</v>
      </c>
      <c r="C458" t="s">
        <v>623</v>
      </c>
      <c r="D458" s="10">
        <f>(D310*inputs!$E$77)/(inputs!$E$31)^inputs!E130</f>
        <v>0</v>
      </c>
      <c r="E458" t="str">
        <f t="shared" ca="1" si="7"/>
        <v>=(D310*inputs!$E$77)/(inputs!$E$31)^inputs!E130</v>
      </c>
      <c r="F458"/>
      <c r="G458"/>
      <c r="H458"/>
      <c r="I458"/>
      <c r="J458"/>
      <c r="K458"/>
      <c r="L458"/>
      <c r="M458"/>
      <c r="N458"/>
      <c r="O458"/>
      <c r="P458"/>
      <c r="Q458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  <c r="AJ458"/>
      <c r="AK458"/>
      <c r="AL458"/>
      <c r="AM458"/>
      <c r="AN458"/>
      <c r="AO458"/>
      <c r="AP458"/>
      <c r="AQ458"/>
      <c r="AR458"/>
      <c r="AS458"/>
      <c r="AT458"/>
      <c r="AU458"/>
      <c r="AV458"/>
      <c r="AW458"/>
      <c r="AX458"/>
      <c r="AY458"/>
      <c r="AZ458"/>
      <c r="BA458"/>
      <c r="BB458"/>
      <c r="BC458"/>
      <c r="BD458"/>
      <c r="BE458"/>
      <c r="BF458"/>
      <c r="BG458"/>
      <c r="BH458"/>
      <c r="BI458"/>
      <c r="BJ458"/>
      <c r="BK458"/>
      <c r="BL458"/>
      <c r="BM458"/>
      <c r="BN458"/>
      <c r="BO458"/>
      <c r="BP458"/>
      <c r="BQ458"/>
      <c r="BR458"/>
      <c r="BS458"/>
      <c r="BT458"/>
      <c r="BU458"/>
      <c r="BV458"/>
      <c r="BW458"/>
      <c r="BX458"/>
      <c r="BY458"/>
      <c r="BZ458"/>
      <c r="CA458"/>
      <c r="CB458"/>
      <c r="CC458"/>
      <c r="CD458"/>
      <c r="CE458"/>
      <c r="CF458"/>
      <c r="CG458"/>
      <c r="CH458"/>
      <c r="CI458"/>
      <c r="CJ458"/>
      <c r="CK458"/>
      <c r="CL458"/>
      <c r="CM458"/>
      <c r="CN458"/>
      <c r="CO458"/>
      <c r="CP458"/>
      <c r="CQ458"/>
      <c r="CR458"/>
      <c r="CS458"/>
      <c r="CT458"/>
      <c r="CU458"/>
      <c r="CV458"/>
      <c r="CW458"/>
      <c r="CX458"/>
      <c r="CY458"/>
      <c r="CZ458"/>
      <c r="DA458"/>
      <c r="DB458"/>
      <c r="DC458"/>
      <c r="DD458"/>
      <c r="DE458"/>
      <c r="DF458"/>
    </row>
    <row r="459" spans="1:110" s="16" customFormat="1" x14ac:dyDescent="0.3">
      <c r="A459" t="s">
        <v>32</v>
      </c>
      <c r="B459" t="s">
        <v>190</v>
      </c>
      <c r="C459" t="s">
        <v>624</v>
      </c>
      <c r="D459" s="10">
        <f>(D311*inputs!$E$77)/(inputs!$E$31)^inputs!E131</f>
        <v>0</v>
      </c>
      <c r="E459" t="str">
        <f t="shared" ca="1" si="7"/>
        <v>=(D311*inputs!$E$77)/(inputs!$E$31)^inputs!E131</v>
      </c>
      <c r="F459"/>
      <c r="G459"/>
      <c r="H459"/>
      <c r="I459"/>
      <c r="J459"/>
      <c r="K459"/>
      <c r="L459"/>
      <c r="M459"/>
      <c r="N459"/>
      <c r="O459"/>
      <c r="P459"/>
      <c r="Q459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  <c r="AJ459"/>
      <c r="AK459"/>
      <c r="AL459"/>
      <c r="AM459"/>
      <c r="AN459"/>
      <c r="AO459"/>
      <c r="AP459"/>
      <c r="AQ459"/>
      <c r="AR459"/>
      <c r="AS459"/>
      <c r="AT459"/>
      <c r="AU459"/>
      <c r="AV459"/>
      <c r="AW459"/>
      <c r="AX459"/>
      <c r="AY459"/>
      <c r="AZ459"/>
      <c r="BA459"/>
      <c r="BB459"/>
      <c r="BC459"/>
      <c r="BD459"/>
      <c r="BE459"/>
      <c r="BF459"/>
      <c r="BG459"/>
      <c r="BH459"/>
      <c r="BI459"/>
      <c r="BJ459"/>
      <c r="BK459"/>
      <c r="BL459"/>
      <c r="BM459"/>
      <c r="BN459"/>
      <c r="BO459"/>
      <c r="BP459"/>
      <c r="BQ459"/>
      <c r="BR459"/>
      <c r="BS459"/>
      <c r="BT459"/>
      <c r="BU459"/>
      <c r="BV459"/>
      <c r="BW459"/>
      <c r="BX459"/>
      <c r="BY459"/>
      <c r="BZ459"/>
      <c r="CA459"/>
      <c r="CB459"/>
      <c r="CC459"/>
      <c r="CD459"/>
      <c r="CE459"/>
      <c r="CF459"/>
      <c r="CG459"/>
      <c r="CH459"/>
      <c r="CI459"/>
      <c r="CJ459"/>
      <c r="CK459"/>
      <c r="CL459"/>
      <c r="CM459"/>
      <c r="CN459"/>
      <c r="CO459"/>
      <c r="CP459"/>
      <c r="CQ459"/>
      <c r="CR459"/>
      <c r="CS459"/>
      <c r="CT459"/>
      <c r="CU459"/>
      <c r="CV459"/>
      <c r="CW459"/>
      <c r="CX459"/>
      <c r="CY459"/>
      <c r="CZ459"/>
      <c r="DA459"/>
      <c r="DB459"/>
      <c r="DC459"/>
      <c r="DD459"/>
      <c r="DE459"/>
      <c r="DF459"/>
    </row>
    <row r="460" spans="1:110" s="16" customFormat="1" x14ac:dyDescent="0.3">
      <c r="A460" t="s">
        <v>32</v>
      </c>
      <c r="B460" t="s">
        <v>190</v>
      </c>
      <c r="C460" t="s">
        <v>625</v>
      </c>
      <c r="D460" s="10">
        <f>(D312*inputs!$E$77)/(inputs!$E$31)^inputs!E132</f>
        <v>0</v>
      </c>
      <c r="E460" t="str">
        <f t="shared" ca="1" si="7"/>
        <v>=(D312*inputs!$E$77)/(inputs!$E$31)^inputs!E132</v>
      </c>
      <c r="F460"/>
      <c r="G460"/>
      <c r="H460"/>
      <c r="I460"/>
      <c r="J460"/>
      <c r="K460"/>
      <c r="L460"/>
      <c r="M460"/>
      <c r="N460"/>
      <c r="O460"/>
      <c r="P460"/>
      <c r="Q460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  <c r="AJ460"/>
      <c r="AK460"/>
      <c r="AL460"/>
      <c r="AM460"/>
      <c r="AN460"/>
      <c r="AO460"/>
      <c r="AP460"/>
      <c r="AQ460"/>
      <c r="AR460"/>
      <c r="AS460"/>
      <c r="AT460"/>
      <c r="AU460"/>
      <c r="AV460"/>
      <c r="AW460"/>
      <c r="AX460"/>
      <c r="AY460"/>
      <c r="AZ460"/>
      <c r="BA460"/>
      <c r="BB460"/>
      <c r="BC460"/>
      <c r="BD460"/>
      <c r="BE460"/>
      <c r="BF460"/>
      <c r="BG460"/>
      <c r="BH460"/>
      <c r="BI460"/>
      <c r="BJ460"/>
      <c r="BK460"/>
      <c r="BL460"/>
      <c r="BM460"/>
      <c r="BN460"/>
      <c r="BO460"/>
      <c r="BP460"/>
      <c r="BQ460"/>
      <c r="BR460"/>
      <c r="BS460"/>
      <c r="BT460"/>
      <c r="BU460"/>
      <c r="BV460"/>
      <c r="BW460"/>
      <c r="BX460"/>
      <c r="BY460"/>
      <c r="BZ460"/>
      <c r="CA460"/>
      <c r="CB460"/>
      <c r="CC460"/>
      <c r="CD460"/>
      <c r="CE460"/>
      <c r="CF460"/>
      <c r="CG460"/>
      <c r="CH460"/>
      <c r="CI460"/>
      <c r="CJ460"/>
      <c r="CK460"/>
      <c r="CL460"/>
      <c r="CM460"/>
      <c r="CN460"/>
      <c r="CO460"/>
      <c r="CP460"/>
      <c r="CQ460"/>
      <c r="CR460"/>
      <c r="CS460"/>
      <c r="CT460"/>
      <c r="CU460"/>
      <c r="CV460"/>
      <c r="CW460"/>
      <c r="CX460"/>
      <c r="CY460"/>
      <c r="CZ460"/>
      <c r="DA460"/>
      <c r="DB460"/>
      <c r="DC460"/>
      <c r="DD460"/>
      <c r="DE460"/>
      <c r="DF460"/>
    </row>
    <row r="461" spans="1:110" s="16" customFormat="1" x14ac:dyDescent="0.3">
      <c r="A461" t="s">
        <v>32</v>
      </c>
      <c r="B461" t="s">
        <v>190</v>
      </c>
      <c r="C461" t="s">
        <v>626</v>
      </c>
      <c r="D461" s="10">
        <f>(D313*inputs!$E$77)/(inputs!$E$31)^inputs!E133</f>
        <v>0</v>
      </c>
      <c r="E461" t="str">
        <f t="shared" ca="1" si="7"/>
        <v>=(D313*inputs!$E$77)/(inputs!$E$31)^inputs!E133</v>
      </c>
      <c r="F461"/>
      <c r="G461"/>
      <c r="H461"/>
      <c r="I461"/>
      <c r="J461"/>
      <c r="K461"/>
      <c r="L461"/>
      <c r="M461"/>
      <c r="N461"/>
      <c r="O461"/>
      <c r="P461"/>
      <c r="Q461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  <c r="AJ461"/>
      <c r="AK461"/>
      <c r="AL461"/>
      <c r="AM461"/>
      <c r="AN461"/>
      <c r="AO461"/>
      <c r="AP461"/>
      <c r="AQ461"/>
      <c r="AR461"/>
      <c r="AS461"/>
      <c r="AT461"/>
      <c r="AU461"/>
      <c r="AV461"/>
      <c r="AW461"/>
      <c r="AX461"/>
      <c r="AY461"/>
      <c r="AZ461"/>
      <c r="BA461"/>
      <c r="BB461"/>
      <c r="BC461"/>
      <c r="BD461"/>
      <c r="BE461"/>
      <c r="BF461"/>
      <c r="BG461"/>
      <c r="BH461"/>
      <c r="BI461"/>
      <c r="BJ461"/>
      <c r="BK461"/>
      <c r="BL461"/>
      <c r="BM461"/>
      <c r="BN461"/>
      <c r="BO461"/>
      <c r="BP461"/>
      <c r="BQ461"/>
      <c r="BR461"/>
      <c r="BS461"/>
      <c r="BT461"/>
      <c r="BU461"/>
      <c r="BV461"/>
      <c r="BW461"/>
      <c r="BX461"/>
      <c r="BY461"/>
      <c r="BZ461"/>
      <c r="CA461"/>
      <c r="CB461"/>
      <c r="CC461"/>
      <c r="CD461"/>
      <c r="CE461"/>
      <c r="CF461"/>
      <c r="CG461"/>
      <c r="CH461"/>
      <c r="CI461"/>
      <c r="CJ461"/>
      <c r="CK461"/>
      <c r="CL461"/>
      <c r="CM461"/>
      <c r="CN461"/>
      <c r="CO461"/>
      <c r="CP461"/>
      <c r="CQ461"/>
      <c r="CR461"/>
      <c r="CS461"/>
      <c r="CT461"/>
      <c r="CU461"/>
      <c r="CV461"/>
      <c r="CW461"/>
      <c r="CX461"/>
      <c r="CY461"/>
      <c r="CZ461"/>
      <c r="DA461"/>
      <c r="DB461"/>
      <c r="DC461"/>
      <c r="DD461"/>
      <c r="DE461"/>
      <c r="DF461"/>
    </row>
    <row r="462" spans="1:110" s="16" customFormat="1" x14ac:dyDescent="0.3">
      <c r="A462" t="s">
        <v>32</v>
      </c>
      <c r="B462" t="s">
        <v>190</v>
      </c>
      <c r="C462" t="s">
        <v>627</v>
      </c>
      <c r="D462" s="10">
        <f>(D314*inputs!$E$77)/(inputs!$E$31)^inputs!E134</f>
        <v>0</v>
      </c>
      <c r="E462" t="str">
        <f t="shared" ca="1" si="7"/>
        <v>=(D314*inputs!$E$77)/(inputs!$E$31)^inputs!E134</v>
      </c>
      <c r="F462"/>
      <c r="G462"/>
      <c r="H462"/>
      <c r="I462"/>
      <c r="J462"/>
      <c r="K462"/>
      <c r="L462"/>
      <c r="M462"/>
      <c r="N462"/>
      <c r="O462"/>
      <c r="P462"/>
      <c r="Q462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  <c r="AJ462"/>
      <c r="AK462"/>
      <c r="AL462"/>
      <c r="AM462"/>
      <c r="AN462"/>
      <c r="AO462"/>
      <c r="AP462"/>
      <c r="AQ462"/>
      <c r="AR462"/>
      <c r="AS462"/>
      <c r="AT462"/>
      <c r="AU462"/>
      <c r="AV462"/>
      <c r="AW462"/>
      <c r="AX462"/>
      <c r="AY462"/>
      <c r="AZ462"/>
      <c r="BA462"/>
      <c r="BB462"/>
      <c r="BC462"/>
      <c r="BD462"/>
      <c r="BE462"/>
      <c r="BF462"/>
      <c r="BG462"/>
      <c r="BH462"/>
      <c r="BI462"/>
      <c r="BJ462"/>
      <c r="BK462"/>
      <c r="BL462"/>
      <c r="BM462"/>
      <c r="BN462"/>
      <c r="BO462"/>
      <c r="BP462"/>
      <c r="BQ462"/>
      <c r="BR462"/>
      <c r="BS462"/>
      <c r="BT462"/>
      <c r="BU462"/>
      <c r="BV462"/>
      <c r="BW462"/>
      <c r="BX462"/>
      <c r="BY462"/>
      <c r="BZ462"/>
      <c r="CA462"/>
      <c r="CB462"/>
      <c r="CC462"/>
      <c r="CD462"/>
      <c r="CE462"/>
      <c r="CF462"/>
      <c r="CG462"/>
      <c r="CH462"/>
      <c r="CI462"/>
      <c r="CJ462"/>
      <c r="CK462"/>
      <c r="CL462"/>
      <c r="CM462"/>
      <c r="CN462"/>
      <c r="CO462"/>
      <c r="CP462"/>
      <c r="CQ462"/>
      <c r="CR462"/>
      <c r="CS462"/>
      <c r="CT462"/>
      <c r="CU462"/>
      <c r="CV462"/>
      <c r="CW462"/>
      <c r="CX462"/>
      <c r="CY462"/>
      <c r="CZ462"/>
      <c r="DA462"/>
      <c r="DB462"/>
      <c r="DC462"/>
      <c r="DD462"/>
      <c r="DE462"/>
      <c r="DF462"/>
    </row>
    <row r="463" spans="1:110" s="16" customFormat="1" x14ac:dyDescent="0.3">
      <c r="A463" t="s">
        <v>32</v>
      </c>
      <c r="B463" t="s">
        <v>190</v>
      </c>
      <c r="C463" t="s">
        <v>628</v>
      </c>
      <c r="D463" s="10">
        <f>(D315*inputs!$E$77)/(inputs!$E$31)^inputs!E135</f>
        <v>0</v>
      </c>
      <c r="E463" t="str">
        <f t="shared" ca="1" si="7"/>
        <v>=(D315*inputs!$E$77)/(inputs!$E$31)^inputs!E135</v>
      </c>
      <c r="F463"/>
      <c r="G463"/>
      <c r="H463"/>
      <c r="I463"/>
      <c r="J463"/>
      <c r="K463"/>
      <c r="L463"/>
      <c r="M463"/>
      <c r="N463"/>
      <c r="O463"/>
      <c r="P463"/>
      <c r="Q463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  <c r="AJ463"/>
      <c r="AK463"/>
      <c r="AL463"/>
      <c r="AM463"/>
      <c r="AN463"/>
      <c r="AO463"/>
      <c r="AP463"/>
      <c r="AQ463"/>
      <c r="AR463"/>
      <c r="AS463"/>
      <c r="AT463"/>
      <c r="AU463"/>
      <c r="AV463"/>
      <c r="AW463"/>
      <c r="AX463"/>
      <c r="AY463"/>
      <c r="AZ463"/>
      <c r="BA463"/>
      <c r="BB463"/>
      <c r="BC463"/>
      <c r="BD463"/>
      <c r="BE463"/>
      <c r="BF463"/>
      <c r="BG463"/>
      <c r="BH463"/>
      <c r="BI463"/>
      <c r="BJ463"/>
      <c r="BK463"/>
      <c r="BL463"/>
      <c r="BM463"/>
      <c r="BN463"/>
      <c r="BO463"/>
      <c r="BP463"/>
      <c r="BQ463"/>
      <c r="BR463"/>
      <c r="BS463"/>
      <c r="BT463"/>
      <c r="BU463"/>
      <c r="BV463"/>
      <c r="BW463"/>
      <c r="BX463"/>
      <c r="BY463"/>
      <c r="BZ463"/>
      <c r="CA463"/>
      <c r="CB463"/>
      <c r="CC463"/>
      <c r="CD463"/>
      <c r="CE463"/>
      <c r="CF463"/>
      <c r="CG463"/>
      <c r="CH463"/>
      <c r="CI463"/>
      <c r="CJ463"/>
      <c r="CK463"/>
      <c r="CL463"/>
      <c r="CM463"/>
      <c r="CN463"/>
      <c r="CO463"/>
      <c r="CP463"/>
      <c r="CQ463"/>
      <c r="CR463"/>
      <c r="CS463"/>
      <c r="CT463"/>
      <c r="CU463"/>
      <c r="CV463"/>
      <c r="CW463"/>
      <c r="CX463"/>
      <c r="CY463"/>
      <c r="CZ463"/>
      <c r="DA463"/>
      <c r="DB463"/>
      <c r="DC463"/>
      <c r="DD463"/>
      <c r="DE463"/>
      <c r="DF463"/>
    </row>
    <row r="464" spans="1:110" s="16" customFormat="1" x14ac:dyDescent="0.3">
      <c r="A464" t="s">
        <v>32</v>
      </c>
      <c r="B464" t="s">
        <v>190</v>
      </c>
      <c r="C464" t="s">
        <v>630</v>
      </c>
      <c r="D464" s="10">
        <f>(D319*inputs!$E$78)/(inputs!$E$31)^inputs!E100</f>
        <v>0</v>
      </c>
      <c r="E464" t="str">
        <f t="shared" ca="1" si="7"/>
        <v>=(D319*inputs!$E$78)/(inputs!$E$31)^inputs!E100</v>
      </c>
      <c r="F464"/>
      <c r="G464"/>
      <c r="H464"/>
      <c r="I464"/>
      <c r="J464"/>
      <c r="K464"/>
      <c r="L464"/>
      <c r="M464"/>
      <c r="N464"/>
      <c r="O464"/>
      <c r="P464"/>
      <c r="Q464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  <c r="AJ464"/>
      <c r="AK464"/>
      <c r="AL464"/>
      <c r="AM464"/>
      <c r="AN464"/>
      <c r="AO464"/>
      <c r="AP464"/>
      <c r="AQ464"/>
      <c r="AR464"/>
      <c r="AS464"/>
      <c r="AT464"/>
      <c r="AU464"/>
      <c r="AV464"/>
      <c r="AW464"/>
      <c r="AX464"/>
      <c r="AY464"/>
      <c r="AZ464"/>
      <c r="BA464"/>
      <c r="BB464"/>
      <c r="BC464"/>
      <c r="BD464"/>
      <c r="BE464"/>
      <c r="BF464"/>
      <c r="BG464"/>
      <c r="BH464"/>
      <c r="BI464"/>
      <c r="BJ464"/>
      <c r="BK464"/>
      <c r="BL464"/>
      <c r="BM464"/>
      <c r="BN464"/>
      <c r="BO464"/>
      <c r="BP464"/>
      <c r="BQ464"/>
      <c r="BR464"/>
      <c r="BS464"/>
      <c r="BT464"/>
      <c r="BU464"/>
      <c r="BV464"/>
      <c r="BW464"/>
      <c r="BX464"/>
      <c r="BY464"/>
      <c r="BZ464"/>
      <c r="CA464"/>
      <c r="CB464"/>
      <c r="CC464"/>
      <c r="CD464"/>
      <c r="CE464"/>
      <c r="CF464"/>
      <c r="CG464"/>
      <c r="CH464"/>
      <c r="CI464"/>
      <c r="CJ464"/>
      <c r="CK464"/>
      <c r="CL464"/>
      <c r="CM464"/>
      <c r="CN464"/>
      <c r="CO464"/>
      <c r="CP464"/>
      <c r="CQ464"/>
      <c r="CR464"/>
      <c r="CS464"/>
      <c r="CT464"/>
      <c r="CU464"/>
      <c r="CV464"/>
      <c r="CW464"/>
      <c r="CX464"/>
      <c r="CY464"/>
      <c r="CZ464"/>
      <c r="DA464"/>
      <c r="DB464"/>
      <c r="DC464"/>
      <c r="DD464"/>
      <c r="DE464"/>
      <c r="DF464"/>
    </row>
    <row r="465" spans="1:110" s="16" customFormat="1" x14ac:dyDescent="0.3">
      <c r="A465" t="s">
        <v>32</v>
      </c>
      <c r="B465" t="s">
        <v>190</v>
      </c>
      <c r="C465" t="s">
        <v>631</v>
      </c>
      <c r="D465" s="10">
        <f>(D320*inputs!$E$78)/(inputs!$E$31)^inputs!E101</f>
        <v>0</v>
      </c>
      <c r="E465" t="str">
        <f t="shared" ca="1" si="7"/>
        <v>=(D320*inputs!$E$78)/(inputs!$E$31)^inputs!E101</v>
      </c>
      <c r="F465"/>
      <c r="G465"/>
      <c r="H465"/>
      <c r="I465"/>
      <c r="J465"/>
      <c r="K465"/>
      <c r="L465"/>
      <c r="M465"/>
      <c r="N465"/>
      <c r="O465"/>
      <c r="P465"/>
      <c r="Q465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  <c r="AJ465"/>
      <c r="AK465"/>
      <c r="AL465"/>
      <c r="AM465"/>
      <c r="AN465"/>
      <c r="AO465"/>
      <c r="AP465"/>
      <c r="AQ465"/>
      <c r="AR465"/>
      <c r="AS465"/>
      <c r="AT465"/>
      <c r="AU465"/>
      <c r="AV465"/>
      <c r="AW465"/>
      <c r="AX465"/>
      <c r="AY465"/>
      <c r="AZ465"/>
      <c r="BA465"/>
      <c r="BB465"/>
      <c r="BC465"/>
      <c r="BD465"/>
      <c r="BE465"/>
      <c r="BF465"/>
      <c r="BG465"/>
      <c r="BH465"/>
      <c r="BI465"/>
      <c r="BJ465"/>
      <c r="BK465"/>
      <c r="BL465"/>
      <c r="BM465"/>
      <c r="BN465"/>
      <c r="BO465"/>
      <c r="BP465"/>
      <c r="BQ465"/>
      <c r="BR465"/>
      <c r="BS465"/>
      <c r="BT465"/>
      <c r="BU465"/>
      <c r="BV465"/>
      <c r="BW465"/>
      <c r="BX465"/>
      <c r="BY465"/>
      <c r="BZ465"/>
      <c r="CA465"/>
      <c r="CB465"/>
      <c r="CC465"/>
      <c r="CD465"/>
      <c r="CE465"/>
      <c r="CF465"/>
      <c r="CG465"/>
      <c r="CH465"/>
      <c r="CI465"/>
      <c r="CJ465"/>
      <c r="CK465"/>
      <c r="CL465"/>
      <c r="CM465"/>
      <c r="CN465"/>
      <c r="CO465"/>
      <c r="CP465"/>
      <c r="CQ465"/>
      <c r="CR465"/>
      <c r="CS465"/>
      <c r="CT465"/>
      <c r="CU465"/>
      <c r="CV465"/>
      <c r="CW465"/>
      <c r="CX465"/>
      <c r="CY465"/>
      <c r="CZ465"/>
      <c r="DA465"/>
      <c r="DB465"/>
      <c r="DC465"/>
      <c r="DD465"/>
      <c r="DE465"/>
      <c r="DF465"/>
    </row>
    <row r="466" spans="1:110" s="16" customFormat="1" x14ac:dyDescent="0.3">
      <c r="A466" t="s">
        <v>32</v>
      </c>
      <c r="B466" t="s">
        <v>190</v>
      </c>
      <c r="C466" t="s">
        <v>632</v>
      </c>
      <c r="D466" s="10">
        <f>(D321*inputs!$E$78)/(inputs!$E$31)^inputs!E102</f>
        <v>0</v>
      </c>
      <c r="E466" t="str">
        <f t="shared" ca="1" si="7"/>
        <v>=(D321*inputs!$E$78)/(inputs!$E$31)^inputs!E102</v>
      </c>
      <c r="F466"/>
      <c r="G466"/>
      <c r="H466"/>
      <c r="I466"/>
      <c r="J466"/>
      <c r="K466"/>
      <c r="L466"/>
      <c r="M466"/>
      <c r="N466"/>
      <c r="O466"/>
      <c r="P466"/>
      <c r="Q46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  <c r="AJ466"/>
      <c r="AK466"/>
      <c r="AL466"/>
      <c r="AM466"/>
      <c r="AN466"/>
      <c r="AO466"/>
      <c r="AP466"/>
      <c r="AQ466"/>
      <c r="AR466"/>
      <c r="AS466"/>
      <c r="AT466"/>
      <c r="AU466"/>
      <c r="AV466"/>
      <c r="AW466"/>
      <c r="AX466"/>
      <c r="AY466"/>
      <c r="AZ466"/>
      <c r="BA466"/>
      <c r="BB466"/>
      <c r="BC466"/>
      <c r="BD466"/>
      <c r="BE466"/>
      <c r="BF466"/>
      <c r="BG466"/>
      <c r="BH466"/>
      <c r="BI466"/>
      <c r="BJ466"/>
      <c r="BK466"/>
      <c r="BL466"/>
      <c r="BM466"/>
      <c r="BN466"/>
      <c r="BO466"/>
      <c r="BP466"/>
      <c r="BQ466"/>
      <c r="BR466"/>
      <c r="BS466"/>
      <c r="BT466"/>
      <c r="BU466"/>
      <c r="BV466"/>
      <c r="BW466"/>
      <c r="BX466"/>
      <c r="BY466"/>
      <c r="BZ466"/>
      <c r="CA466"/>
      <c r="CB466"/>
      <c r="CC466"/>
      <c r="CD466"/>
      <c r="CE466"/>
      <c r="CF466"/>
      <c r="CG466"/>
      <c r="CH466"/>
      <c r="CI466"/>
      <c r="CJ466"/>
      <c r="CK466"/>
      <c r="CL466"/>
      <c r="CM466"/>
      <c r="CN466"/>
      <c r="CO466"/>
      <c r="CP466"/>
      <c r="CQ466"/>
      <c r="CR466"/>
      <c r="CS466"/>
      <c r="CT466"/>
      <c r="CU466"/>
      <c r="CV466"/>
      <c r="CW466"/>
      <c r="CX466"/>
      <c r="CY466"/>
      <c r="CZ466"/>
      <c r="DA466"/>
      <c r="DB466"/>
      <c r="DC466"/>
      <c r="DD466"/>
      <c r="DE466"/>
      <c r="DF466"/>
    </row>
    <row r="467" spans="1:110" s="16" customFormat="1" x14ac:dyDescent="0.3">
      <c r="A467" t="s">
        <v>32</v>
      </c>
      <c r="B467" t="s">
        <v>190</v>
      </c>
      <c r="C467" t="s">
        <v>633</v>
      </c>
      <c r="D467" s="10">
        <f>(D322*inputs!$E$78)/(inputs!$E$31)^inputs!E103</f>
        <v>0</v>
      </c>
      <c r="E467" t="str">
        <f t="shared" ca="1" si="7"/>
        <v>=(D322*inputs!$E$78)/(inputs!$E$31)^inputs!E103</v>
      </c>
      <c r="F467"/>
      <c r="G467"/>
      <c r="H467"/>
      <c r="I467"/>
      <c r="J467"/>
      <c r="K467"/>
      <c r="L467"/>
      <c r="M467"/>
      <c r="N467"/>
      <c r="O467"/>
      <c r="P467"/>
      <c r="Q467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  <c r="AJ467"/>
      <c r="AK467"/>
      <c r="AL467"/>
      <c r="AM467"/>
      <c r="AN467"/>
      <c r="AO467"/>
      <c r="AP467"/>
      <c r="AQ467"/>
      <c r="AR467"/>
      <c r="AS467"/>
      <c r="AT467"/>
      <c r="AU467"/>
      <c r="AV467"/>
      <c r="AW467"/>
      <c r="AX467"/>
      <c r="AY467"/>
      <c r="AZ467"/>
      <c r="BA467"/>
      <c r="BB467"/>
      <c r="BC467"/>
      <c r="BD467"/>
      <c r="BE467"/>
      <c r="BF467"/>
      <c r="BG467"/>
      <c r="BH467"/>
      <c r="BI467"/>
      <c r="BJ467"/>
      <c r="BK467"/>
      <c r="BL467"/>
      <c r="BM467"/>
      <c r="BN467"/>
      <c r="BO467"/>
      <c r="BP467"/>
      <c r="BQ467"/>
      <c r="BR467"/>
      <c r="BS467"/>
      <c r="BT467"/>
      <c r="BU467"/>
      <c r="BV467"/>
      <c r="BW467"/>
      <c r="BX467"/>
      <c r="BY467"/>
      <c r="BZ467"/>
      <c r="CA467"/>
      <c r="CB467"/>
      <c r="CC467"/>
      <c r="CD467"/>
      <c r="CE467"/>
      <c r="CF467"/>
      <c r="CG467"/>
      <c r="CH467"/>
      <c r="CI467"/>
      <c r="CJ467"/>
      <c r="CK467"/>
      <c r="CL467"/>
      <c r="CM467"/>
      <c r="CN467"/>
      <c r="CO467"/>
      <c r="CP467"/>
      <c r="CQ467"/>
      <c r="CR467"/>
      <c r="CS467"/>
      <c r="CT467"/>
      <c r="CU467"/>
      <c r="CV467"/>
      <c r="CW467"/>
      <c r="CX467"/>
      <c r="CY467"/>
      <c r="CZ467"/>
      <c r="DA467"/>
      <c r="DB467"/>
      <c r="DC467"/>
      <c r="DD467"/>
      <c r="DE467"/>
      <c r="DF467"/>
    </row>
    <row r="468" spans="1:110" s="16" customFormat="1" x14ac:dyDescent="0.3">
      <c r="A468" t="s">
        <v>32</v>
      </c>
      <c r="B468" t="s">
        <v>190</v>
      </c>
      <c r="C468" t="s">
        <v>634</v>
      </c>
      <c r="D468" s="10">
        <f>(D323*inputs!$E$78)/(inputs!$E$31)^inputs!E104</f>
        <v>0</v>
      </c>
      <c r="E468" t="str">
        <f t="shared" ca="1" si="7"/>
        <v>=(D323*inputs!$E$78)/(inputs!$E$31)^inputs!E104</v>
      </c>
      <c r="F468"/>
      <c r="G468"/>
      <c r="H468"/>
      <c r="I468"/>
      <c r="J468"/>
      <c r="K468"/>
      <c r="L468"/>
      <c r="M468"/>
      <c r="N468"/>
      <c r="O468"/>
      <c r="P468"/>
      <c r="Q468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  <c r="AJ468"/>
      <c r="AK468"/>
      <c r="AL468"/>
      <c r="AM468"/>
      <c r="AN468"/>
      <c r="AO468"/>
      <c r="AP468"/>
      <c r="AQ468"/>
      <c r="AR468"/>
      <c r="AS468"/>
      <c r="AT468"/>
      <c r="AU468"/>
      <c r="AV468"/>
      <c r="AW468"/>
      <c r="AX468"/>
      <c r="AY468"/>
      <c r="AZ468"/>
      <c r="BA468"/>
      <c r="BB468"/>
      <c r="BC468"/>
      <c r="BD468"/>
      <c r="BE468"/>
      <c r="BF468"/>
      <c r="BG468"/>
      <c r="BH468"/>
      <c r="BI468"/>
      <c r="BJ468"/>
      <c r="BK468"/>
      <c r="BL468"/>
      <c r="BM468"/>
      <c r="BN468"/>
      <c r="BO468"/>
      <c r="BP468"/>
      <c r="BQ468"/>
      <c r="BR468"/>
      <c r="BS468"/>
      <c r="BT468"/>
      <c r="BU468"/>
      <c r="BV468"/>
      <c r="BW468"/>
      <c r="BX468"/>
      <c r="BY468"/>
      <c r="BZ468"/>
      <c r="CA468"/>
      <c r="CB468"/>
      <c r="CC468"/>
      <c r="CD468"/>
      <c r="CE468"/>
      <c r="CF468"/>
      <c r="CG468"/>
      <c r="CH468"/>
      <c r="CI468"/>
      <c r="CJ468"/>
      <c r="CK468"/>
      <c r="CL468"/>
      <c r="CM468"/>
      <c r="CN468"/>
      <c r="CO468"/>
      <c r="CP468"/>
      <c r="CQ468"/>
      <c r="CR468"/>
      <c r="CS468"/>
      <c r="CT468"/>
      <c r="CU468"/>
      <c r="CV468"/>
      <c r="CW468"/>
      <c r="CX468"/>
      <c r="CY468"/>
      <c r="CZ468"/>
      <c r="DA468"/>
      <c r="DB468"/>
      <c r="DC468"/>
      <c r="DD468"/>
      <c r="DE468"/>
      <c r="DF468"/>
    </row>
    <row r="469" spans="1:110" s="16" customFormat="1" x14ac:dyDescent="0.3">
      <c r="A469" t="s">
        <v>32</v>
      </c>
      <c r="B469" t="s">
        <v>190</v>
      </c>
      <c r="C469" t="s">
        <v>635</v>
      </c>
      <c r="D469" s="10">
        <f>(D324*inputs!$E$78)/(inputs!$E$31)^inputs!E105</f>
        <v>0</v>
      </c>
      <c r="E469" t="str">
        <f t="shared" ca="1" si="7"/>
        <v>=(D324*inputs!$E$78)/(inputs!$E$31)^inputs!E105</v>
      </c>
      <c r="F469"/>
      <c r="G469"/>
      <c r="H469"/>
      <c r="I469"/>
      <c r="J469"/>
      <c r="K469"/>
      <c r="L469"/>
      <c r="M469"/>
      <c r="N469"/>
      <c r="O469"/>
      <c r="P469"/>
      <c r="Q469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  <c r="AJ469"/>
      <c r="AK469"/>
      <c r="AL469"/>
      <c r="AM469"/>
      <c r="AN469"/>
      <c r="AO469"/>
      <c r="AP469"/>
      <c r="AQ469"/>
      <c r="AR469"/>
      <c r="AS469"/>
      <c r="AT469"/>
      <c r="AU469"/>
      <c r="AV469"/>
      <c r="AW469"/>
      <c r="AX469"/>
      <c r="AY469"/>
      <c r="AZ469"/>
      <c r="BA469"/>
      <c r="BB469"/>
      <c r="BC469"/>
      <c r="BD469"/>
      <c r="BE469"/>
      <c r="BF469"/>
      <c r="BG469"/>
      <c r="BH469"/>
      <c r="BI469"/>
      <c r="BJ469"/>
      <c r="BK469"/>
      <c r="BL469"/>
      <c r="BM469"/>
      <c r="BN469"/>
      <c r="BO469"/>
      <c r="BP469"/>
      <c r="BQ469"/>
      <c r="BR469"/>
      <c r="BS469"/>
      <c r="BT469"/>
      <c r="BU469"/>
      <c r="BV469"/>
      <c r="BW469"/>
      <c r="BX469"/>
      <c r="BY469"/>
      <c r="BZ469"/>
      <c r="CA469"/>
      <c r="CB469"/>
      <c r="CC469"/>
      <c r="CD469"/>
      <c r="CE469"/>
      <c r="CF469"/>
      <c r="CG469"/>
      <c r="CH469"/>
      <c r="CI469"/>
      <c r="CJ469"/>
      <c r="CK469"/>
      <c r="CL469"/>
      <c r="CM469"/>
      <c r="CN469"/>
      <c r="CO469"/>
      <c r="CP469"/>
      <c r="CQ469"/>
      <c r="CR469"/>
      <c r="CS469"/>
      <c r="CT469"/>
      <c r="CU469"/>
      <c r="CV469"/>
      <c r="CW469"/>
      <c r="CX469"/>
      <c r="CY469"/>
      <c r="CZ469"/>
      <c r="DA469"/>
      <c r="DB469"/>
      <c r="DC469"/>
      <c r="DD469"/>
      <c r="DE469"/>
      <c r="DF469"/>
    </row>
    <row r="470" spans="1:110" s="16" customFormat="1" x14ac:dyDescent="0.3">
      <c r="A470" t="s">
        <v>32</v>
      </c>
      <c r="B470" t="s">
        <v>190</v>
      </c>
      <c r="C470" t="s">
        <v>636</v>
      </c>
      <c r="D470" s="10">
        <f>(D325*inputs!$E$78)/(inputs!$E$31)^inputs!E106</f>
        <v>0</v>
      </c>
      <c r="E470" t="str">
        <f t="shared" ca="1" si="7"/>
        <v>=(D325*inputs!$E$78)/(inputs!$E$31)^inputs!E106</v>
      </c>
      <c r="F470"/>
      <c r="G470"/>
      <c r="H470"/>
      <c r="I470"/>
      <c r="J470"/>
      <c r="K470"/>
      <c r="L470"/>
      <c r="M470"/>
      <c r="N470"/>
      <c r="O470"/>
      <c r="P470"/>
      <c r="Q470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  <c r="AJ470"/>
      <c r="AK470"/>
      <c r="AL470"/>
      <c r="AM470"/>
      <c r="AN470"/>
      <c r="AO470"/>
      <c r="AP470"/>
      <c r="AQ470"/>
      <c r="AR470"/>
      <c r="AS470"/>
      <c r="AT470"/>
      <c r="AU470"/>
      <c r="AV470"/>
      <c r="AW470"/>
      <c r="AX470"/>
      <c r="AY470"/>
      <c r="AZ470"/>
      <c r="BA470"/>
      <c r="BB470"/>
      <c r="BC470"/>
      <c r="BD470"/>
      <c r="BE470"/>
      <c r="BF470"/>
      <c r="BG470"/>
      <c r="BH470"/>
      <c r="BI470"/>
      <c r="BJ470"/>
      <c r="BK470"/>
      <c r="BL470"/>
      <c r="BM470"/>
      <c r="BN470"/>
      <c r="BO470"/>
      <c r="BP470"/>
      <c r="BQ470"/>
      <c r="BR470"/>
      <c r="BS470"/>
      <c r="BT470"/>
      <c r="BU470"/>
      <c r="BV470"/>
      <c r="BW470"/>
      <c r="BX470"/>
      <c r="BY470"/>
      <c r="BZ470"/>
      <c r="CA470"/>
      <c r="CB470"/>
      <c r="CC470"/>
      <c r="CD470"/>
      <c r="CE470"/>
      <c r="CF470"/>
      <c r="CG470"/>
      <c r="CH470"/>
      <c r="CI470"/>
      <c r="CJ470"/>
      <c r="CK470"/>
      <c r="CL470"/>
      <c r="CM470"/>
      <c r="CN470"/>
      <c r="CO470"/>
      <c r="CP470"/>
      <c r="CQ470"/>
      <c r="CR470"/>
      <c r="CS470"/>
      <c r="CT470"/>
      <c r="CU470"/>
      <c r="CV470"/>
      <c r="CW470"/>
      <c r="CX470"/>
      <c r="CY470"/>
      <c r="CZ470"/>
      <c r="DA470"/>
      <c r="DB470"/>
      <c r="DC470"/>
      <c r="DD470"/>
      <c r="DE470"/>
      <c r="DF470"/>
    </row>
    <row r="471" spans="1:110" s="16" customFormat="1" x14ac:dyDescent="0.3">
      <c r="A471" t="s">
        <v>32</v>
      </c>
      <c r="B471" t="s">
        <v>190</v>
      </c>
      <c r="C471" t="s">
        <v>637</v>
      </c>
      <c r="D471" s="10">
        <f>(D326*inputs!$E$78)/(inputs!$E$31)^inputs!E107</f>
        <v>0</v>
      </c>
      <c r="E471" t="str">
        <f t="shared" ca="1" si="7"/>
        <v>=(D326*inputs!$E$78)/(inputs!$E$31)^inputs!E107</v>
      </c>
      <c r="F471"/>
      <c r="G471"/>
      <c r="H471"/>
      <c r="I471"/>
      <c r="J471"/>
      <c r="K471"/>
      <c r="L471"/>
      <c r="M471"/>
      <c r="N471"/>
      <c r="O471"/>
      <c r="P471"/>
      <c r="Q471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  <c r="AJ471"/>
      <c r="AK471"/>
      <c r="AL471"/>
      <c r="AM471"/>
      <c r="AN471"/>
      <c r="AO471"/>
      <c r="AP471"/>
      <c r="AQ471"/>
      <c r="AR471"/>
      <c r="AS471"/>
      <c r="AT471"/>
      <c r="AU471"/>
      <c r="AV471"/>
      <c r="AW471"/>
      <c r="AX471"/>
      <c r="AY471"/>
      <c r="AZ471"/>
      <c r="BA471"/>
      <c r="BB471"/>
      <c r="BC471"/>
      <c r="BD471"/>
      <c r="BE471"/>
      <c r="BF471"/>
      <c r="BG471"/>
      <c r="BH471"/>
      <c r="BI471"/>
      <c r="BJ471"/>
      <c r="BK471"/>
      <c r="BL471"/>
      <c r="BM471"/>
      <c r="BN471"/>
      <c r="BO471"/>
      <c r="BP471"/>
      <c r="BQ471"/>
      <c r="BR471"/>
      <c r="BS471"/>
      <c r="BT471"/>
      <c r="BU471"/>
      <c r="BV471"/>
      <c r="BW471"/>
      <c r="BX471"/>
      <c r="BY471"/>
      <c r="BZ471"/>
      <c r="CA471"/>
      <c r="CB471"/>
      <c r="CC471"/>
      <c r="CD471"/>
      <c r="CE471"/>
      <c r="CF471"/>
      <c r="CG471"/>
      <c r="CH471"/>
      <c r="CI471"/>
      <c r="CJ471"/>
      <c r="CK471"/>
      <c r="CL471"/>
      <c r="CM471"/>
      <c r="CN471"/>
      <c r="CO471"/>
      <c r="CP471"/>
      <c r="CQ471"/>
      <c r="CR471"/>
      <c r="CS471"/>
      <c r="CT471"/>
      <c r="CU471"/>
      <c r="CV471"/>
      <c r="CW471"/>
      <c r="CX471"/>
      <c r="CY471"/>
      <c r="CZ471"/>
      <c r="DA471"/>
      <c r="DB471"/>
      <c r="DC471"/>
      <c r="DD471"/>
      <c r="DE471"/>
      <c r="DF471"/>
    </row>
    <row r="472" spans="1:110" s="16" customFormat="1" x14ac:dyDescent="0.3">
      <c r="A472" t="s">
        <v>32</v>
      </c>
      <c r="B472" t="s">
        <v>190</v>
      </c>
      <c r="C472" t="s">
        <v>638</v>
      </c>
      <c r="D472" s="10">
        <f>(D327*inputs!$E$78)/(inputs!$E$31)^inputs!E108</f>
        <v>0</v>
      </c>
      <c r="E472" t="str">
        <f t="shared" ref="E472:E535" ca="1" si="8">_xlfn.FORMULATEXT(D472)</f>
        <v>=(D327*inputs!$E$78)/(inputs!$E$31)^inputs!E108</v>
      </c>
      <c r="F472"/>
      <c r="G472"/>
      <c r="H472"/>
      <c r="I472"/>
      <c r="J472"/>
      <c r="K472"/>
      <c r="L472"/>
      <c r="M472"/>
      <c r="N472"/>
      <c r="O472"/>
      <c r="P472"/>
      <c r="Q472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  <c r="AJ472"/>
      <c r="AK472"/>
      <c r="AL472"/>
      <c r="AM472"/>
      <c r="AN472"/>
      <c r="AO472"/>
      <c r="AP472"/>
      <c r="AQ472"/>
      <c r="AR472"/>
      <c r="AS472"/>
      <c r="AT472"/>
      <c r="AU472"/>
      <c r="AV472"/>
      <c r="AW472"/>
      <c r="AX472"/>
      <c r="AY472"/>
      <c r="AZ472"/>
      <c r="BA472"/>
      <c r="BB472"/>
      <c r="BC472"/>
      <c r="BD472"/>
      <c r="BE472"/>
      <c r="BF472"/>
      <c r="BG472"/>
      <c r="BH472"/>
      <c r="BI472"/>
      <c r="BJ472"/>
      <c r="BK472"/>
      <c r="BL472"/>
      <c r="BM472"/>
      <c r="BN472"/>
      <c r="BO472"/>
      <c r="BP472"/>
      <c r="BQ472"/>
      <c r="BR472"/>
      <c r="BS472"/>
      <c r="BT472"/>
      <c r="BU472"/>
      <c r="BV472"/>
      <c r="BW472"/>
      <c r="BX472"/>
      <c r="BY472"/>
      <c r="BZ472"/>
      <c r="CA472"/>
      <c r="CB472"/>
      <c r="CC472"/>
      <c r="CD472"/>
      <c r="CE472"/>
      <c r="CF472"/>
      <c r="CG472"/>
      <c r="CH472"/>
      <c r="CI472"/>
      <c r="CJ472"/>
      <c r="CK472"/>
      <c r="CL472"/>
      <c r="CM472"/>
      <c r="CN472"/>
      <c r="CO472"/>
      <c r="CP472"/>
      <c r="CQ472"/>
      <c r="CR472"/>
      <c r="CS472"/>
      <c r="CT472"/>
      <c r="CU472"/>
      <c r="CV472"/>
      <c r="CW472"/>
      <c r="CX472"/>
      <c r="CY472"/>
      <c r="CZ472"/>
      <c r="DA472"/>
      <c r="DB472"/>
      <c r="DC472"/>
      <c r="DD472"/>
      <c r="DE472"/>
      <c r="DF472"/>
    </row>
    <row r="473" spans="1:110" s="16" customFormat="1" x14ac:dyDescent="0.3">
      <c r="A473" t="s">
        <v>32</v>
      </c>
      <c r="B473" t="s">
        <v>190</v>
      </c>
      <c r="C473" t="s">
        <v>639</v>
      </c>
      <c r="D473" s="10">
        <f>(D328*inputs!$E$78)/(inputs!$E$31)^inputs!E109</f>
        <v>0</v>
      </c>
      <c r="E473" t="str">
        <f t="shared" ca="1" si="8"/>
        <v>=(D328*inputs!$E$78)/(inputs!$E$31)^inputs!E109</v>
      </c>
      <c r="F473"/>
      <c r="G473"/>
      <c r="H473"/>
      <c r="I473"/>
      <c r="J473"/>
      <c r="K473"/>
      <c r="L473"/>
      <c r="M473"/>
      <c r="N473"/>
      <c r="O473"/>
      <c r="P473"/>
      <c r="Q473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  <c r="AJ473"/>
      <c r="AK473"/>
      <c r="AL473"/>
      <c r="AM473"/>
      <c r="AN473"/>
      <c r="AO473"/>
      <c r="AP473"/>
      <c r="AQ473"/>
      <c r="AR473"/>
      <c r="AS473"/>
      <c r="AT473"/>
      <c r="AU473"/>
      <c r="AV473"/>
      <c r="AW473"/>
      <c r="AX473"/>
      <c r="AY473"/>
      <c r="AZ473"/>
      <c r="BA473"/>
      <c r="BB473"/>
      <c r="BC473"/>
      <c r="BD473"/>
      <c r="BE473"/>
      <c r="BF473"/>
      <c r="BG473"/>
      <c r="BH473"/>
      <c r="BI473"/>
      <c r="BJ473"/>
      <c r="BK473"/>
      <c r="BL473"/>
      <c r="BM473"/>
      <c r="BN473"/>
      <c r="BO473"/>
      <c r="BP473"/>
      <c r="BQ473"/>
      <c r="BR473"/>
      <c r="BS473"/>
      <c r="BT473"/>
      <c r="BU473"/>
      <c r="BV473"/>
      <c r="BW473"/>
      <c r="BX473"/>
      <c r="BY473"/>
      <c r="BZ473"/>
      <c r="CA473"/>
      <c r="CB473"/>
      <c r="CC473"/>
      <c r="CD473"/>
      <c r="CE473"/>
      <c r="CF473"/>
      <c r="CG473"/>
      <c r="CH473"/>
      <c r="CI473"/>
      <c r="CJ473"/>
      <c r="CK473"/>
      <c r="CL473"/>
      <c r="CM473"/>
      <c r="CN473"/>
      <c r="CO473"/>
      <c r="CP473"/>
      <c r="CQ473"/>
      <c r="CR473"/>
      <c r="CS473"/>
      <c r="CT473"/>
      <c r="CU473"/>
      <c r="CV473"/>
      <c r="CW473"/>
      <c r="CX473"/>
      <c r="CY473"/>
      <c r="CZ473"/>
      <c r="DA473"/>
      <c r="DB473"/>
      <c r="DC473"/>
      <c r="DD473"/>
      <c r="DE473"/>
      <c r="DF473"/>
    </row>
    <row r="474" spans="1:110" s="16" customFormat="1" x14ac:dyDescent="0.3">
      <c r="A474" t="s">
        <v>32</v>
      </c>
      <c r="B474" t="s">
        <v>190</v>
      </c>
      <c r="C474" t="s">
        <v>640</v>
      </c>
      <c r="D474" s="10">
        <f>(D329*inputs!$E$78)/(inputs!$E$31)^inputs!E110</f>
        <v>0</v>
      </c>
      <c r="E474" t="str">
        <f t="shared" ca="1" si="8"/>
        <v>=(D329*inputs!$E$78)/(inputs!$E$31)^inputs!E110</v>
      </c>
      <c r="F474"/>
      <c r="G474"/>
      <c r="H474"/>
      <c r="I474"/>
      <c r="J474"/>
      <c r="K474"/>
      <c r="L474"/>
      <c r="M474"/>
      <c r="N474"/>
      <c r="O474"/>
      <c r="P474"/>
      <c r="Q474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  <c r="AJ474"/>
      <c r="AK474"/>
      <c r="AL474"/>
      <c r="AM474"/>
      <c r="AN474"/>
      <c r="AO474"/>
      <c r="AP474"/>
      <c r="AQ474"/>
      <c r="AR474"/>
      <c r="AS474"/>
      <c r="AT474"/>
      <c r="AU474"/>
      <c r="AV474"/>
      <c r="AW474"/>
      <c r="AX474"/>
      <c r="AY474"/>
      <c r="AZ474"/>
      <c r="BA474"/>
      <c r="BB474"/>
      <c r="BC474"/>
      <c r="BD474"/>
      <c r="BE474"/>
      <c r="BF474"/>
      <c r="BG474"/>
      <c r="BH474"/>
      <c r="BI474"/>
      <c r="BJ474"/>
      <c r="BK474"/>
      <c r="BL474"/>
      <c r="BM474"/>
      <c r="BN474"/>
      <c r="BO474"/>
      <c r="BP474"/>
      <c r="BQ474"/>
      <c r="BR474"/>
      <c r="BS474"/>
      <c r="BT474"/>
      <c r="BU474"/>
      <c r="BV474"/>
      <c r="BW474"/>
      <c r="BX474"/>
      <c r="BY474"/>
      <c r="BZ474"/>
      <c r="CA474"/>
      <c r="CB474"/>
      <c r="CC474"/>
      <c r="CD474"/>
      <c r="CE474"/>
      <c r="CF474"/>
      <c r="CG474"/>
      <c r="CH474"/>
      <c r="CI474"/>
      <c r="CJ474"/>
      <c r="CK474"/>
      <c r="CL474"/>
      <c r="CM474"/>
      <c r="CN474"/>
      <c r="CO474"/>
      <c r="CP474"/>
      <c r="CQ474"/>
      <c r="CR474"/>
      <c r="CS474"/>
      <c r="CT474"/>
      <c r="CU474"/>
      <c r="CV474"/>
      <c r="CW474"/>
      <c r="CX474"/>
      <c r="CY474"/>
      <c r="CZ474"/>
      <c r="DA474"/>
      <c r="DB474"/>
      <c r="DC474"/>
      <c r="DD474"/>
      <c r="DE474"/>
      <c r="DF474"/>
    </row>
    <row r="475" spans="1:110" s="16" customFormat="1" x14ac:dyDescent="0.3">
      <c r="A475" t="s">
        <v>32</v>
      </c>
      <c r="B475" t="s">
        <v>190</v>
      </c>
      <c r="C475" t="s">
        <v>641</v>
      </c>
      <c r="D475" s="10">
        <f>(D330*inputs!$E$78)/(inputs!$E$31)^inputs!E111</f>
        <v>0</v>
      </c>
      <c r="E475" t="str">
        <f t="shared" ca="1" si="8"/>
        <v>=(D330*inputs!$E$78)/(inputs!$E$31)^inputs!E111</v>
      </c>
      <c r="F475"/>
      <c r="G475"/>
      <c r="H475"/>
      <c r="I475"/>
      <c r="J475"/>
      <c r="K475"/>
      <c r="L475"/>
      <c r="M475"/>
      <c r="N475"/>
      <c r="O475"/>
      <c r="P475"/>
      <c r="Q475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  <c r="AJ475"/>
      <c r="AK475"/>
      <c r="AL475"/>
      <c r="AM475"/>
      <c r="AN475"/>
      <c r="AO475"/>
      <c r="AP475"/>
      <c r="AQ475"/>
      <c r="AR475"/>
      <c r="AS475"/>
      <c r="AT475"/>
      <c r="AU475"/>
      <c r="AV475"/>
      <c r="AW475"/>
      <c r="AX475"/>
      <c r="AY475"/>
      <c r="AZ475"/>
      <c r="BA475"/>
      <c r="BB475"/>
      <c r="BC475"/>
      <c r="BD475"/>
      <c r="BE475"/>
      <c r="BF475"/>
      <c r="BG475"/>
      <c r="BH475"/>
      <c r="BI475"/>
      <c r="BJ475"/>
      <c r="BK475"/>
      <c r="BL475"/>
      <c r="BM475"/>
      <c r="BN475"/>
      <c r="BO475"/>
      <c r="BP475"/>
      <c r="BQ475"/>
      <c r="BR475"/>
      <c r="BS475"/>
      <c r="BT475"/>
      <c r="BU475"/>
      <c r="BV475"/>
      <c r="BW475"/>
      <c r="BX475"/>
      <c r="BY475"/>
      <c r="BZ475"/>
      <c r="CA475"/>
      <c r="CB475"/>
      <c r="CC475"/>
      <c r="CD475"/>
      <c r="CE475"/>
      <c r="CF475"/>
      <c r="CG475"/>
      <c r="CH475"/>
      <c r="CI475"/>
      <c r="CJ475"/>
      <c r="CK475"/>
      <c r="CL475"/>
      <c r="CM475"/>
      <c r="CN475"/>
      <c r="CO475"/>
      <c r="CP475"/>
      <c r="CQ475"/>
      <c r="CR475"/>
      <c r="CS475"/>
      <c r="CT475"/>
      <c r="CU475"/>
      <c r="CV475"/>
      <c r="CW475"/>
      <c r="CX475"/>
      <c r="CY475"/>
      <c r="CZ475"/>
      <c r="DA475"/>
      <c r="DB475"/>
      <c r="DC475"/>
      <c r="DD475"/>
      <c r="DE475"/>
      <c r="DF475"/>
    </row>
    <row r="476" spans="1:110" s="16" customFormat="1" x14ac:dyDescent="0.3">
      <c r="A476" t="s">
        <v>32</v>
      </c>
      <c r="B476" t="s">
        <v>190</v>
      </c>
      <c r="C476" t="s">
        <v>642</v>
      </c>
      <c r="D476" s="10">
        <f>(D331*inputs!$E$78)/(inputs!$E$31)^inputs!E112</f>
        <v>0</v>
      </c>
      <c r="E476" t="str">
        <f t="shared" ca="1" si="8"/>
        <v>=(D331*inputs!$E$78)/(inputs!$E$31)^inputs!E112</v>
      </c>
      <c r="F476"/>
      <c r="G476"/>
      <c r="H476"/>
      <c r="I476"/>
      <c r="J476"/>
      <c r="K476"/>
      <c r="L476"/>
      <c r="M476"/>
      <c r="N476"/>
      <c r="O476"/>
      <c r="P476"/>
      <c r="Q47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  <c r="AJ476"/>
      <c r="AK476"/>
      <c r="AL476"/>
      <c r="AM476"/>
      <c r="AN476"/>
      <c r="AO476"/>
      <c r="AP476"/>
      <c r="AQ476"/>
      <c r="AR476"/>
      <c r="AS476"/>
      <c r="AT476"/>
      <c r="AU476"/>
      <c r="AV476"/>
      <c r="AW476"/>
      <c r="AX476"/>
      <c r="AY476"/>
      <c r="AZ476"/>
      <c r="BA476"/>
      <c r="BB476"/>
      <c r="BC476"/>
      <c r="BD476"/>
      <c r="BE476"/>
      <c r="BF476"/>
      <c r="BG476"/>
      <c r="BH476"/>
      <c r="BI476"/>
      <c r="BJ476"/>
      <c r="BK476"/>
      <c r="BL476"/>
      <c r="BM476"/>
      <c r="BN476"/>
      <c r="BO476"/>
      <c r="BP476"/>
      <c r="BQ476"/>
      <c r="BR476"/>
      <c r="BS476"/>
      <c r="BT476"/>
      <c r="BU476"/>
      <c r="BV476"/>
      <c r="BW476"/>
      <c r="BX476"/>
      <c r="BY476"/>
      <c r="BZ476"/>
      <c r="CA476"/>
      <c r="CB476"/>
      <c r="CC476"/>
      <c r="CD476"/>
      <c r="CE476"/>
      <c r="CF476"/>
      <c r="CG476"/>
      <c r="CH476"/>
      <c r="CI476"/>
      <c r="CJ476"/>
      <c r="CK476"/>
      <c r="CL476"/>
      <c r="CM476"/>
      <c r="CN476"/>
      <c r="CO476"/>
      <c r="CP476"/>
      <c r="CQ476"/>
      <c r="CR476"/>
      <c r="CS476"/>
      <c r="CT476"/>
      <c r="CU476"/>
      <c r="CV476"/>
      <c r="CW476"/>
      <c r="CX476"/>
      <c r="CY476"/>
      <c r="CZ476"/>
      <c r="DA476"/>
      <c r="DB476"/>
      <c r="DC476"/>
      <c r="DD476"/>
      <c r="DE476"/>
      <c r="DF476"/>
    </row>
    <row r="477" spans="1:110" s="16" customFormat="1" x14ac:dyDescent="0.3">
      <c r="A477" t="s">
        <v>32</v>
      </c>
      <c r="B477" t="s">
        <v>190</v>
      </c>
      <c r="C477" t="s">
        <v>643</v>
      </c>
      <c r="D477" s="10">
        <f>(D332*inputs!$E$78)/(inputs!$E$31)^inputs!E113</f>
        <v>0</v>
      </c>
      <c r="E477" t="str">
        <f t="shared" ca="1" si="8"/>
        <v>=(D332*inputs!$E$78)/(inputs!$E$31)^inputs!E113</v>
      </c>
      <c r="F477"/>
      <c r="G477"/>
      <c r="H477"/>
      <c r="I477"/>
      <c r="J477"/>
      <c r="K477"/>
      <c r="L477"/>
      <c r="M477"/>
      <c r="N477"/>
      <c r="O477"/>
      <c r="P477"/>
      <c r="Q477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  <c r="AJ477"/>
      <c r="AK477"/>
      <c r="AL477"/>
      <c r="AM477"/>
      <c r="AN477"/>
      <c r="AO477"/>
      <c r="AP477"/>
      <c r="AQ477"/>
      <c r="AR477"/>
      <c r="AS477"/>
      <c r="AT477"/>
      <c r="AU477"/>
      <c r="AV477"/>
      <c r="AW477"/>
      <c r="AX477"/>
      <c r="AY477"/>
      <c r="AZ477"/>
      <c r="BA477"/>
      <c r="BB477"/>
      <c r="BC477"/>
      <c r="BD477"/>
      <c r="BE477"/>
      <c r="BF477"/>
      <c r="BG477"/>
      <c r="BH477"/>
      <c r="BI477"/>
      <c r="BJ477"/>
      <c r="BK477"/>
      <c r="BL477"/>
      <c r="BM477"/>
      <c r="BN477"/>
      <c r="BO477"/>
      <c r="BP477"/>
      <c r="BQ477"/>
      <c r="BR477"/>
      <c r="BS477"/>
      <c r="BT477"/>
      <c r="BU477"/>
      <c r="BV477"/>
      <c r="BW477"/>
      <c r="BX477"/>
      <c r="BY477"/>
      <c r="BZ477"/>
      <c r="CA477"/>
      <c r="CB477"/>
      <c r="CC477"/>
      <c r="CD477"/>
      <c r="CE477"/>
      <c r="CF477"/>
      <c r="CG477"/>
      <c r="CH477"/>
      <c r="CI477"/>
      <c r="CJ477"/>
      <c r="CK477"/>
      <c r="CL477"/>
      <c r="CM477"/>
      <c r="CN477"/>
      <c r="CO477"/>
      <c r="CP477"/>
      <c r="CQ477"/>
      <c r="CR477"/>
      <c r="CS477"/>
      <c r="CT477"/>
      <c r="CU477"/>
      <c r="CV477"/>
      <c r="CW477"/>
      <c r="CX477"/>
      <c r="CY477"/>
      <c r="CZ477"/>
      <c r="DA477"/>
      <c r="DB477"/>
      <c r="DC477"/>
      <c r="DD477"/>
      <c r="DE477"/>
      <c r="DF477"/>
    </row>
    <row r="478" spans="1:110" s="16" customFormat="1" x14ac:dyDescent="0.3">
      <c r="A478" t="s">
        <v>32</v>
      </c>
      <c r="B478" t="s">
        <v>190</v>
      </c>
      <c r="C478" t="s">
        <v>644</v>
      </c>
      <c r="D478" s="10">
        <f>(D333*inputs!$E$78)/(inputs!$E$31)^inputs!E114</f>
        <v>0</v>
      </c>
      <c r="E478" t="str">
        <f t="shared" ca="1" si="8"/>
        <v>=(D333*inputs!$E$78)/(inputs!$E$31)^inputs!E114</v>
      </c>
      <c r="F478"/>
      <c r="G478"/>
      <c r="H478"/>
      <c r="I478"/>
      <c r="J478"/>
      <c r="K478"/>
      <c r="L478"/>
      <c r="M478"/>
      <c r="N478"/>
      <c r="O478"/>
      <c r="P478"/>
      <c r="Q478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  <c r="AJ478"/>
      <c r="AK478"/>
      <c r="AL478"/>
      <c r="AM478"/>
      <c r="AN478"/>
      <c r="AO478"/>
      <c r="AP478"/>
      <c r="AQ478"/>
      <c r="AR478"/>
      <c r="AS478"/>
      <c r="AT478"/>
      <c r="AU478"/>
      <c r="AV478"/>
      <c r="AW478"/>
      <c r="AX478"/>
      <c r="AY478"/>
      <c r="AZ478"/>
      <c r="BA478"/>
      <c r="BB478"/>
      <c r="BC478"/>
      <c r="BD478"/>
      <c r="BE478"/>
      <c r="BF478"/>
      <c r="BG478"/>
      <c r="BH478"/>
      <c r="BI478"/>
      <c r="BJ478"/>
      <c r="BK478"/>
      <c r="BL478"/>
      <c r="BM478"/>
      <c r="BN478"/>
      <c r="BO478"/>
      <c r="BP478"/>
      <c r="BQ478"/>
      <c r="BR478"/>
      <c r="BS478"/>
      <c r="BT478"/>
      <c r="BU478"/>
      <c r="BV478"/>
      <c r="BW478"/>
      <c r="BX478"/>
      <c r="BY478"/>
      <c r="BZ478"/>
      <c r="CA478"/>
      <c r="CB478"/>
      <c r="CC478"/>
      <c r="CD478"/>
      <c r="CE478"/>
      <c r="CF478"/>
      <c r="CG478"/>
      <c r="CH478"/>
      <c r="CI478"/>
      <c r="CJ478"/>
      <c r="CK478"/>
      <c r="CL478"/>
      <c r="CM478"/>
      <c r="CN478"/>
      <c r="CO478"/>
      <c r="CP478"/>
      <c r="CQ478"/>
      <c r="CR478"/>
      <c r="CS478"/>
      <c r="CT478"/>
      <c r="CU478"/>
      <c r="CV478"/>
      <c r="CW478"/>
      <c r="CX478"/>
      <c r="CY478"/>
      <c r="CZ478"/>
      <c r="DA478"/>
      <c r="DB478"/>
      <c r="DC478"/>
      <c r="DD478"/>
      <c r="DE478"/>
      <c r="DF478"/>
    </row>
    <row r="479" spans="1:110" s="16" customFormat="1" x14ac:dyDescent="0.3">
      <c r="A479" t="s">
        <v>32</v>
      </c>
      <c r="B479" t="s">
        <v>190</v>
      </c>
      <c r="C479" t="s">
        <v>645</v>
      </c>
      <c r="D479" s="10">
        <f>(D334*inputs!$E$78)/(inputs!$E$31)^inputs!E115</f>
        <v>0</v>
      </c>
      <c r="E479" t="str">
        <f t="shared" ca="1" si="8"/>
        <v>=(D334*inputs!$E$78)/(inputs!$E$31)^inputs!E115</v>
      </c>
      <c r="F479"/>
      <c r="G479"/>
      <c r="H479"/>
      <c r="I479"/>
      <c r="J479"/>
      <c r="K479"/>
      <c r="L479"/>
      <c r="M479"/>
      <c r="N479"/>
      <c r="O479"/>
      <c r="P479"/>
      <c r="Q479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  <c r="AJ479"/>
      <c r="AK479"/>
      <c r="AL479"/>
      <c r="AM479"/>
      <c r="AN479"/>
      <c r="AO479"/>
      <c r="AP479"/>
      <c r="AQ479"/>
      <c r="AR479"/>
      <c r="AS479"/>
      <c r="AT479"/>
      <c r="AU479"/>
      <c r="AV479"/>
      <c r="AW479"/>
      <c r="AX479"/>
      <c r="AY479"/>
      <c r="AZ479"/>
      <c r="BA479"/>
      <c r="BB479"/>
      <c r="BC479"/>
      <c r="BD479"/>
      <c r="BE479"/>
      <c r="BF479"/>
      <c r="BG479"/>
      <c r="BH479"/>
      <c r="BI479"/>
      <c r="BJ479"/>
      <c r="BK479"/>
      <c r="BL479"/>
      <c r="BM479"/>
      <c r="BN479"/>
      <c r="BO479"/>
      <c r="BP479"/>
      <c r="BQ479"/>
      <c r="BR479"/>
      <c r="BS479"/>
      <c r="BT479"/>
      <c r="BU479"/>
      <c r="BV479"/>
      <c r="BW479"/>
      <c r="BX479"/>
      <c r="BY479"/>
      <c r="BZ479"/>
      <c r="CA479"/>
      <c r="CB479"/>
      <c r="CC479"/>
      <c r="CD479"/>
      <c r="CE479"/>
      <c r="CF479"/>
      <c r="CG479"/>
      <c r="CH479"/>
      <c r="CI479"/>
      <c r="CJ479"/>
      <c r="CK479"/>
      <c r="CL479"/>
      <c r="CM479"/>
      <c r="CN479"/>
      <c r="CO479"/>
      <c r="CP479"/>
      <c r="CQ479"/>
      <c r="CR479"/>
      <c r="CS479"/>
      <c r="CT479"/>
      <c r="CU479"/>
      <c r="CV479"/>
      <c r="CW479"/>
      <c r="CX479"/>
      <c r="CY479"/>
      <c r="CZ479"/>
      <c r="DA479"/>
      <c r="DB479"/>
      <c r="DC479"/>
      <c r="DD479"/>
      <c r="DE479"/>
      <c r="DF479"/>
    </row>
    <row r="480" spans="1:110" s="16" customFormat="1" x14ac:dyDescent="0.3">
      <c r="A480" t="s">
        <v>32</v>
      </c>
      <c r="B480" t="s">
        <v>190</v>
      </c>
      <c r="C480" t="s">
        <v>646</v>
      </c>
      <c r="D480" s="10">
        <f>(D335*inputs!$E$78)/(inputs!$E$31)^inputs!E116</f>
        <v>0</v>
      </c>
      <c r="E480" t="str">
        <f t="shared" ca="1" si="8"/>
        <v>=(D335*inputs!$E$78)/(inputs!$E$31)^inputs!E116</v>
      </c>
      <c r="F480"/>
      <c r="G480"/>
      <c r="H480"/>
      <c r="I480"/>
      <c r="J480"/>
      <c r="K480"/>
      <c r="L480"/>
      <c r="M480"/>
      <c r="N480"/>
      <c r="O480"/>
      <c r="P480"/>
      <c r="Q480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  <c r="AJ480"/>
      <c r="AK480"/>
      <c r="AL480"/>
      <c r="AM480"/>
      <c r="AN480"/>
      <c r="AO480"/>
      <c r="AP480"/>
      <c r="AQ480"/>
      <c r="AR480"/>
      <c r="AS480"/>
      <c r="AT480"/>
      <c r="AU480"/>
      <c r="AV480"/>
      <c r="AW480"/>
      <c r="AX480"/>
      <c r="AY480"/>
      <c r="AZ480"/>
      <c r="BA480"/>
      <c r="BB480"/>
      <c r="BC480"/>
      <c r="BD480"/>
      <c r="BE480"/>
      <c r="BF480"/>
      <c r="BG480"/>
      <c r="BH480"/>
      <c r="BI480"/>
      <c r="BJ480"/>
      <c r="BK480"/>
      <c r="BL480"/>
      <c r="BM480"/>
      <c r="BN480"/>
      <c r="BO480"/>
      <c r="BP480"/>
      <c r="BQ480"/>
      <c r="BR480"/>
      <c r="BS480"/>
      <c r="BT480"/>
      <c r="BU480"/>
      <c r="BV480"/>
      <c r="BW480"/>
      <c r="BX480"/>
      <c r="BY480"/>
      <c r="BZ480"/>
      <c r="CA480"/>
      <c r="CB480"/>
      <c r="CC480"/>
      <c r="CD480"/>
      <c r="CE480"/>
      <c r="CF480"/>
      <c r="CG480"/>
      <c r="CH480"/>
      <c r="CI480"/>
      <c r="CJ480"/>
      <c r="CK480"/>
      <c r="CL480"/>
      <c r="CM480"/>
      <c r="CN480"/>
      <c r="CO480"/>
      <c r="CP480"/>
      <c r="CQ480"/>
      <c r="CR480"/>
      <c r="CS480"/>
      <c r="CT480"/>
      <c r="CU480"/>
      <c r="CV480"/>
      <c r="CW480"/>
      <c r="CX480"/>
      <c r="CY480"/>
      <c r="CZ480"/>
      <c r="DA480"/>
      <c r="DB480"/>
      <c r="DC480"/>
      <c r="DD480"/>
      <c r="DE480"/>
      <c r="DF480"/>
    </row>
    <row r="481" spans="1:110" s="16" customFormat="1" x14ac:dyDescent="0.3">
      <c r="A481" t="s">
        <v>32</v>
      </c>
      <c r="B481" t="s">
        <v>190</v>
      </c>
      <c r="C481" t="s">
        <v>647</v>
      </c>
      <c r="D481" s="10">
        <f>(D336*inputs!$E$78)/(inputs!$E$31)^inputs!E117</f>
        <v>0</v>
      </c>
      <c r="E481" t="str">
        <f t="shared" ca="1" si="8"/>
        <v>=(D336*inputs!$E$78)/(inputs!$E$31)^inputs!E117</v>
      </c>
      <c r="F481"/>
      <c r="G481"/>
      <c r="H481"/>
      <c r="I481"/>
      <c r="J481"/>
      <c r="K481"/>
      <c r="L481"/>
      <c r="M481"/>
      <c r="N481"/>
      <c r="O481"/>
      <c r="P481"/>
      <c r="Q481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  <c r="AJ481"/>
      <c r="AK481"/>
      <c r="AL481"/>
      <c r="AM481"/>
      <c r="AN481"/>
      <c r="AO481"/>
      <c r="AP481"/>
      <c r="AQ481"/>
      <c r="AR481"/>
      <c r="AS481"/>
      <c r="AT481"/>
      <c r="AU481"/>
      <c r="AV481"/>
      <c r="AW481"/>
      <c r="AX481"/>
      <c r="AY481"/>
      <c r="AZ481"/>
      <c r="BA481"/>
      <c r="BB481"/>
      <c r="BC481"/>
      <c r="BD481"/>
      <c r="BE481"/>
      <c r="BF481"/>
      <c r="BG481"/>
      <c r="BH481"/>
      <c r="BI481"/>
      <c r="BJ481"/>
      <c r="BK481"/>
      <c r="BL481"/>
      <c r="BM481"/>
      <c r="BN481"/>
      <c r="BO481"/>
      <c r="BP481"/>
      <c r="BQ481"/>
      <c r="BR481"/>
      <c r="BS481"/>
      <c r="BT481"/>
      <c r="BU481"/>
      <c r="BV481"/>
      <c r="BW481"/>
      <c r="BX481"/>
      <c r="BY481"/>
      <c r="BZ481"/>
      <c r="CA481"/>
      <c r="CB481"/>
      <c r="CC481"/>
      <c r="CD481"/>
      <c r="CE481"/>
      <c r="CF481"/>
      <c r="CG481"/>
      <c r="CH481"/>
      <c r="CI481"/>
      <c r="CJ481"/>
      <c r="CK481"/>
      <c r="CL481"/>
      <c r="CM481"/>
      <c r="CN481"/>
      <c r="CO481"/>
      <c r="CP481"/>
      <c r="CQ481"/>
      <c r="CR481"/>
      <c r="CS481"/>
      <c r="CT481"/>
      <c r="CU481"/>
      <c r="CV481"/>
      <c r="CW481"/>
      <c r="CX481"/>
      <c r="CY481"/>
      <c r="CZ481"/>
      <c r="DA481"/>
      <c r="DB481"/>
      <c r="DC481"/>
      <c r="DD481"/>
      <c r="DE481"/>
      <c r="DF481"/>
    </row>
    <row r="482" spans="1:110" s="16" customFormat="1" x14ac:dyDescent="0.3">
      <c r="A482" t="s">
        <v>32</v>
      </c>
      <c r="B482" t="s">
        <v>190</v>
      </c>
      <c r="C482" t="s">
        <v>648</v>
      </c>
      <c r="D482" s="10">
        <f>(D337*inputs!$E$78)/(inputs!$E$31)^inputs!E118</f>
        <v>0</v>
      </c>
      <c r="E482" t="str">
        <f t="shared" ca="1" si="8"/>
        <v>=(D337*inputs!$E$78)/(inputs!$E$31)^inputs!E118</v>
      </c>
      <c r="F482"/>
      <c r="G482"/>
      <c r="H482"/>
      <c r="I482"/>
      <c r="J482"/>
      <c r="K482"/>
      <c r="L482"/>
      <c r="M482"/>
      <c r="N482"/>
      <c r="O482"/>
      <c r="P482"/>
      <c r="Q482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  <c r="AJ482"/>
      <c r="AK482"/>
      <c r="AL482"/>
      <c r="AM482"/>
      <c r="AN482"/>
      <c r="AO482"/>
      <c r="AP482"/>
      <c r="AQ482"/>
      <c r="AR482"/>
      <c r="AS482"/>
      <c r="AT482"/>
      <c r="AU482"/>
      <c r="AV482"/>
      <c r="AW482"/>
      <c r="AX482"/>
      <c r="AY482"/>
      <c r="AZ482"/>
      <c r="BA482"/>
      <c r="BB482"/>
      <c r="BC482"/>
      <c r="BD482"/>
      <c r="BE482"/>
      <c r="BF482"/>
      <c r="BG482"/>
      <c r="BH482"/>
      <c r="BI482"/>
      <c r="BJ482"/>
      <c r="BK482"/>
      <c r="BL482"/>
      <c r="BM482"/>
      <c r="BN482"/>
      <c r="BO482"/>
      <c r="BP482"/>
      <c r="BQ482"/>
      <c r="BR482"/>
      <c r="BS482"/>
      <c r="BT482"/>
      <c r="BU482"/>
      <c r="BV482"/>
      <c r="BW482"/>
      <c r="BX482"/>
      <c r="BY482"/>
      <c r="BZ482"/>
      <c r="CA482"/>
      <c r="CB482"/>
      <c r="CC482"/>
      <c r="CD482"/>
      <c r="CE482"/>
      <c r="CF482"/>
      <c r="CG482"/>
      <c r="CH482"/>
      <c r="CI482"/>
      <c r="CJ482"/>
      <c r="CK482"/>
      <c r="CL482"/>
      <c r="CM482"/>
      <c r="CN482"/>
      <c r="CO482"/>
      <c r="CP482"/>
      <c r="CQ482"/>
      <c r="CR482"/>
      <c r="CS482"/>
      <c r="CT482"/>
      <c r="CU482"/>
      <c r="CV482"/>
      <c r="CW482"/>
      <c r="CX482"/>
      <c r="CY482"/>
      <c r="CZ482"/>
      <c r="DA482"/>
      <c r="DB482"/>
      <c r="DC482"/>
      <c r="DD482"/>
      <c r="DE482"/>
      <c r="DF482"/>
    </row>
    <row r="483" spans="1:110" s="16" customFormat="1" x14ac:dyDescent="0.3">
      <c r="A483" t="s">
        <v>32</v>
      </c>
      <c r="B483" t="s">
        <v>190</v>
      </c>
      <c r="C483" t="s">
        <v>649</v>
      </c>
      <c r="D483" s="10">
        <f>(D338*inputs!$E$78)/(inputs!$E$31)^inputs!E119</f>
        <v>0</v>
      </c>
      <c r="E483" t="str">
        <f t="shared" ca="1" si="8"/>
        <v>=(D338*inputs!$E$78)/(inputs!$E$31)^inputs!E119</v>
      </c>
      <c r="F483"/>
      <c r="G483"/>
      <c r="H483"/>
      <c r="I483"/>
      <c r="J483"/>
      <c r="K483"/>
      <c r="L483"/>
      <c r="M483"/>
      <c r="N483"/>
      <c r="O483"/>
      <c r="P483"/>
      <c r="Q483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  <c r="AJ483"/>
      <c r="AK483"/>
      <c r="AL483"/>
      <c r="AM483"/>
      <c r="AN483"/>
      <c r="AO483"/>
      <c r="AP483"/>
      <c r="AQ483"/>
      <c r="AR483"/>
      <c r="AS483"/>
      <c r="AT483"/>
      <c r="AU483"/>
      <c r="AV483"/>
      <c r="AW483"/>
      <c r="AX483"/>
      <c r="AY483"/>
      <c r="AZ483"/>
      <c r="BA483"/>
      <c r="BB483"/>
      <c r="BC483"/>
      <c r="BD483"/>
      <c r="BE483"/>
      <c r="BF483"/>
      <c r="BG483"/>
      <c r="BH483"/>
      <c r="BI483"/>
      <c r="BJ483"/>
      <c r="BK483"/>
      <c r="BL483"/>
      <c r="BM483"/>
      <c r="BN483"/>
      <c r="BO483"/>
      <c r="BP483"/>
      <c r="BQ483"/>
      <c r="BR483"/>
      <c r="BS483"/>
      <c r="BT483"/>
      <c r="BU483"/>
      <c r="BV483"/>
      <c r="BW483"/>
      <c r="BX483"/>
      <c r="BY483"/>
      <c r="BZ483"/>
      <c r="CA483"/>
      <c r="CB483"/>
      <c r="CC483"/>
      <c r="CD483"/>
      <c r="CE483"/>
      <c r="CF483"/>
      <c r="CG483"/>
      <c r="CH483"/>
      <c r="CI483"/>
      <c r="CJ483"/>
      <c r="CK483"/>
      <c r="CL483"/>
      <c r="CM483"/>
      <c r="CN483"/>
      <c r="CO483"/>
      <c r="CP483"/>
      <c r="CQ483"/>
      <c r="CR483"/>
      <c r="CS483"/>
      <c r="CT483"/>
      <c r="CU483"/>
      <c r="CV483"/>
      <c r="CW483"/>
      <c r="CX483"/>
      <c r="CY483"/>
      <c r="CZ483"/>
      <c r="DA483"/>
      <c r="DB483"/>
      <c r="DC483"/>
      <c r="DD483"/>
      <c r="DE483"/>
      <c r="DF483"/>
    </row>
    <row r="484" spans="1:110" s="16" customFormat="1" x14ac:dyDescent="0.3">
      <c r="A484" t="s">
        <v>32</v>
      </c>
      <c r="B484" t="s">
        <v>190</v>
      </c>
      <c r="C484" t="s">
        <v>650</v>
      </c>
      <c r="D484" s="10">
        <f>(D339*inputs!$E$78)/(inputs!$E$31)^inputs!E120</f>
        <v>0</v>
      </c>
      <c r="E484" t="str">
        <f t="shared" ca="1" si="8"/>
        <v>=(D339*inputs!$E$78)/(inputs!$E$31)^inputs!E120</v>
      </c>
      <c r="F484"/>
      <c r="G484"/>
      <c r="H484"/>
      <c r="I484"/>
      <c r="J484"/>
      <c r="K484"/>
      <c r="L484"/>
      <c r="M484"/>
      <c r="N484"/>
      <c r="O484"/>
      <c r="P484"/>
      <c r="Q484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  <c r="AJ484"/>
      <c r="AK484"/>
      <c r="AL484"/>
      <c r="AM484"/>
      <c r="AN484"/>
      <c r="AO484"/>
      <c r="AP484"/>
      <c r="AQ484"/>
      <c r="AR484"/>
      <c r="AS484"/>
      <c r="AT484"/>
      <c r="AU484"/>
      <c r="AV484"/>
      <c r="AW484"/>
      <c r="AX484"/>
      <c r="AY484"/>
      <c r="AZ484"/>
      <c r="BA484"/>
      <c r="BB484"/>
      <c r="BC484"/>
      <c r="BD484"/>
      <c r="BE484"/>
      <c r="BF484"/>
      <c r="BG484"/>
      <c r="BH484"/>
      <c r="BI484"/>
      <c r="BJ484"/>
      <c r="BK484"/>
      <c r="BL484"/>
      <c r="BM484"/>
      <c r="BN484"/>
      <c r="BO484"/>
      <c r="BP484"/>
      <c r="BQ484"/>
      <c r="BR484"/>
      <c r="BS484"/>
      <c r="BT484"/>
      <c r="BU484"/>
      <c r="BV484"/>
      <c r="BW484"/>
      <c r="BX484"/>
      <c r="BY484"/>
      <c r="BZ484"/>
      <c r="CA484"/>
      <c r="CB484"/>
      <c r="CC484"/>
      <c r="CD484"/>
      <c r="CE484"/>
      <c r="CF484"/>
      <c r="CG484"/>
      <c r="CH484"/>
      <c r="CI484"/>
      <c r="CJ484"/>
      <c r="CK484"/>
      <c r="CL484"/>
      <c r="CM484"/>
      <c r="CN484"/>
      <c r="CO484"/>
      <c r="CP484"/>
      <c r="CQ484"/>
      <c r="CR484"/>
      <c r="CS484"/>
      <c r="CT484"/>
      <c r="CU484"/>
      <c r="CV484"/>
      <c r="CW484"/>
      <c r="CX484"/>
      <c r="CY484"/>
      <c r="CZ484"/>
      <c r="DA484"/>
      <c r="DB484"/>
      <c r="DC484"/>
      <c r="DD484"/>
      <c r="DE484"/>
      <c r="DF484"/>
    </row>
    <row r="485" spans="1:110" s="16" customFormat="1" x14ac:dyDescent="0.3">
      <c r="A485" t="s">
        <v>32</v>
      </c>
      <c r="B485" t="s">
        <v>190</v>
      </c>
      <c r="C485" t="s">
        <v>651</v>
      </c>
      <c r="D485" s="10">
        <f>(D340*inputs!$E$78)/(inputs!$E$31)^inputs!E121</f>
        <v>0</v>
      </c>
      <c r="E485" t="str">
        <f t="shared" ca="1" si="8"/>
        <v>=(D340*inputs!$E$78)/(inputs!$E$31)^inputs!E121</v>
      </c>
      <c r="F485"/>
      <c r="G485"/>
      <c r="H485"/>
      <c r="I485"/>
      <c r="J485"/>
      <c r="K485"/>
      <c r="L485"/>
      <c r="M485"/>
      <c r="N485"/>
      <c r="O485"/>
      <c r="P485"/>
      <c r="Q485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  <c r="AJ485"/>
      <c r="AK485"/>
      <c r="AL485"/>
      <c r="AM485"/>
      <c r="AN485"/>
      <c r="AO485"/>
      <c r="AP485"/>
      <c r="AQ485"/>
      <c r="AR485"/>
      <c r="AS485"/>
      <c r="AT485"/>
      <c r="AU485"/>
      <c r="AV485"/>
      <c r="AW485"/>
      <c r="AX485"/>
      <c r="AY485"/>
      <c r="AZ485"/>
      <c r="BA485"/>
      <c r="BB485"/>
      <c r="BC485"/>
      <c r="BD485"/>
      <c r="BE485"/>
      <c r="BF485"/>
      <c r="BG485"/>
      <c r="BH485"/>
      <c r="BI485"/>
      <c r="BJ485"/>
      <c r="BK485"/>
      <c r="BL485"/>
      <c r="BM485"/>
      <c r="BN485"/>
      <c r="BO485"/>
      <c r="BP485"/>
      <c r="BQ485"/>
      <c r="BR485"/>
      <c r="BS485"/>
      <c r="BT485"/>
      <c r="BU485"/>
      <c r="BV485"/>
      <c r="BW485"/>
      <c r="BX485"/>
      <c r="BY485"/>
      <c r="BZ485"/>
      <c r="CA485"/>
      <c r="CB485"/>
      <c r="CC485"/>
      <c r="CD485"/>
      <c r="CE485"/>
      <c r="CF485"/>
      <c r="CG485"/>
      <c r="CH485"/>
      <c r="CI485"/>
      <c r="CJ485"/>
      <c r="CK485"/>
      <c r="CL485"/>
      <c r="CM485"/>
      <c r="CN485"/>
      <c r="CO485"/>
      <c r="CP485"/>
      <c r="CQ485"/>
      <c r="CR485"/>
      <c r="CS485"/>
      <c r="CT485"/>
      <c r="CU485"/>
      <c r="CV485"/>
      <c r="CW485"/>
      <c r="CX485"/>
      <c r="CY485"/>
      <c r="CZ485"/>
      <c r="DA485"/>
      <c r="DB485"/>
      <c r="DC485"/>
      <c r="DD485"/>
      <c r="DE485"/>
      <c r="DF485"/>
    </row>
    <row r="486" spans="1:110" s="16" customFormat="1" x14ac:dyDescent="0.3">
      <c r="A486" t="s">
        <v>32</v>
      </c>
      <c r="B486" t="s">
        <v>190</v>
      </c>
      <c r="C486" t="s">
        <v>652</v>
      </c>
      <c r="D486" s="10">
        <f>(D341*inputs!$E$78)/(inputs!$E$31)^inputs!E122</f>
        <v>0</v>
      </c>
      <c r="E486" t="str">
        <f t="shared" ca="1" si="8"/>
        <v>=(D341*inputs!$E$78)/(inputs!$E$31)^inputs!E122</v>
      </c>
      <c r="F486"/>
      <c r="G486"/>
      <c r="H486"/>
      <c r="I486"/>
      <c r="J486"/>
      <c r="K486"/>
      <c r="L486"/>
      <c r="M486"/>
      <c r="N486"/>
      <c r="O486"/>
      <c r="P486"/>
      <c r="Q48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  <c r="AJ486"/>
      <c r="AK486"/>
      <c r="AL486"/>
      <c r="AM486"/>
      <c r="AN486"/>
      <c r="AO486"/>
      <c r="AP486"/>
      <c r="AQ486"/>
      <c r="AR486"/>
      <c r="AS486"/>
      <c r="AT486"/>
      <c r="AU486"/>
      <c r="AV486"/>
      <c r="AW486"/>
      <c r="AX486"/>
      <c r="AY486"/>
      <c r="AZ486"/>
      <c r="BA486"/>
      <c r="BB486"/>
      <c r="BC486"/>
      <c r="BD486"/>
      <c r="BE486"/>
      <c r="BF486"/>
      <c r="BG486"/>
      <c r="BH486"/>
      <c r="BI486"/>
      <c r="BJ486"/>
      <c r="BK486"/>
      <c r="BL486"/>
      <c r="BM486"/>
      <c r="BN486"/>
      <c r="BO486"/>
      <c r="BP486"/>
      <c r="BQ486"/>
      <c r="BR486"/>
      <c r="BS486"/>
      <c r="BT486"/>
      <c r="BU486"/>
      <c r="BV486"/>
      <c r="BW486"/>
      <c r="BX486"/>
      <c r="BY486"/>
      <c r="BZ486"/>
      <c r="CA486"/>
      <c r="CB486"/>
      <c r="CC486"/>
      <c r="CD486"/>
      <c r="CE486"/>
      <c r="CF486"/>
      <c r="CG486"/>
      <c r="CH486"/>
      <c r="CI486"/>
      <c r="CJ486"/>
      <c r="CK486"/>
      <c r="CL486"/>
      <c r="CM486"/>
      <c r="CN486"/>
      <c r="CO486"/>
      <c r="CP486"/>
      <c r="CQ486"/>
      <c r="CR486"/>
      <c r="CS486"/>
      <c r="CT486"/>
      <c r="CU486"/>
      <c r="CV486"/>
      <c r="CW486"/>
      <c r="CX486"/>
      <c r="CY486"/>
      <c r="CZ486"/>
      <c r="DA486"/>
      <c r="DB486"/>
      <c r="DC486"/>
      <c r="DD486"/>
      <c r="DE486"/>
      <c r="DF486"/>
    </row>
    <row r="487" spans="1:110" s="16" customFormat="1" x14ac:dyDescent="0.3">
      <c r="A487" t="s">
        <v>32</v>
      </c>
      <c r="B487" t="s">
        <v>190</v>
      </c>
      <c r="C487" t="s">
        <v>653</v>
      </c>
      <c r="D487" s="10">
        <f>(D342*inputs!$E$78)/(inputs!$E$31)^inputs!E123</f>
        <v>0</v>
      </c>
      <c r="E487" t="str">
        <f t="shared" ca="1" si="8"/>
        <v>=(D342*inputs!$E$78)/(inputs!$E$31)^inputs!E123</v>
      </c>
      <c r="F487"/>
      <c r="G487"/>
      <c r="H487"/>
      <c r="I487"/>
      <c r="J487"/>
      <c r="K487"/>
      <c r="L487"/>
      <c r="M487"/>
      <c r="N487"/>
      <c r="O487"/>
      <c r="P487"/>
      <c r="Q487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  <c r="AJ487"/>
      <c r="AK487"/>
      <c r="AL487"/>
      <c r="AM487"/>
      <c r="AN487"/>
      <c r="AO487"/>
      <c r="AP487"/>
      <c r="AQ487"/>
      <c r="AR487"/>
      <c r="AS487"/>
      <c r="AT487"/>
      <c r="AU487"/>
      <c r="AV487"/>
      <c r="AW487"/>
      <c r="AX487"/>
      <c r="AY487"/>
      <c r="AZ487"/>
      <c r="BA487"/>
      <c r="BB487"/>
      <c r="BC487"/>
      <c r="BD487"/>
      <c r="BE487"/>
      <c r="BF487"/>
      <c r="BG487"/>
      <c r="BH487"/>
      <c r="BI487"/>
      <c r="BJ487"/>
      <c r="BK487"/>
      <c r="BL487"/>
      <c r="BM487"/>
      <c r="BN487"/>
      <c r="BO487"/>
      <c r="BP487"/>
      <c r="BQ487"/>
      <c r="BR487"/>
      <c r="BS487"/>
      <c r="BT487"/>
      <c r="BU487"/>
      <c r="BV487"/>
      <c r="BW487"/>
      <c r="BX487"/>
      <c r="BY487"/>
      <c r="BZ487"/>
      <c r="CA487"/>
      <c r="CB487"/>
      <c r="CC487"/>
      <c r="CD487"/>
      <c r="CE487"/>
      <c r="CF487"/>
      <c r="CG487"/>
      <c r="CH487"/>
      <c r="CI487"/>
      <c r="CJ487"/>
      <c r="CK487"/>
      <c r="CL487"/>
      <c r="CM487"/>
      <c r="CN487"/>
      <c r="CO487"/>
      <c r="CP487"/>
      <c r="CQ487"/>
      <c r="CR487"/>
      <c r="CS487"/>
      <c r="CT487"/>
      <c r="CU487"/>
      <c r="CV487"/>
      <c r="CW487"/>
      <c r="CX487"/>
      <c r="CY487"/>
      <c r="CZ487"/>
      <c r="DA487"/>
      <c r="DB487"/>
      <c r="DC487"/>
      <c r="DD487"/>
      <c r="DE487"/>
      <c r="DF487"/>
    </row>
    <row r="488" spans="1:110" s="16" customFormat="1" x14ac:dyDescent="0.3">
      <c r="A488" t="s">
        <v>32</v>
      </c>
      <c r="B488" t="s">
        <v>190</v>
      </c>
      <c r="C488" t="s">
        <v>654</v>
      </c>
      <c r="D488" s="10">
        <f>(D343*inputs!$E$78)/(inputs!$E$31)^inputs!E124</f>
        <v>0</v>
      </c>
      <c r="E488" t="str">
        <f t="shared" ca="1" si="8"/>
        <v>=(D343*inputs!$E$78)/(inputs!$E$31)^inputs!E124</v>
      </c>
      <c r="F488"/>
      <c r="G488"/>
      <c r="H488"/>
      <c r="I488"/>
      <c r="J488"/>
      <c r="K488"/>
      <c r="L488"/>
      <c r="M488"/>
      <c r="N488"/>
      <c r="O488"/>
      <c r="P488"/>
      <c r="Q488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  <c r="AJ488"/>
      <c r="AK488"/>
      <c r="AL488"/>
      <c r="AM488"/>
      <c r="AN488"/>
      <c r="AO488"/>
      <c r="AP488"/>
      <c r="AQ488"/>
      <c r="AR488"/>
      <c r="AS488"/>
      <c r="AT488"/>
      <c r="AU488"/>
      <c r="AV488"/>
      <c r="AW488"/>
      <c r="AX488"/>
      <c r="AY488"/>
      <c r="AZ488"/>
      <c r="BA488"/>
      <c r="BB488"/>
      <c r="BC488"/>
      <c r="BD488"/>
      <c r="BE488"/>
      <c r="BF488"/>
      <c r="BG488"/>
      <c r="BH488"/>
      <c r="BI488"/>
      <c r="BJ488"/>
      <c r="BK488"/>
      <c r="BL488"/>
      <c r="BM488"/>
      <c r="BN488"/>
      <c r="BO488"/>
      <c r="BP488"/>
      <c r="BQ488"/>
      <c r="BR488"/>
      <c r="BS488"/>
      <c r="BT488"/>
      <c r="BU488"/>
      <c r="BV488"/>
      <c r="BW488"/>
      <c r="BX488"/>
      <c r="BY488"/>
      <c r="BZ488"/>
      <c r="CA488"/>
      <c r="CB488"/>
      <c r="CC488"/>
      <c r="CD488"/>
      <c r="CE488"/>
      <c r="CF488"/>
      <c r="CG488"/>
      <c r="CH488"/>
      <c r="CI488"/>
      <c r="CJ488"/>
      <c r="CK488"/>
      <c r="CL488"/>
      <c r="CM488"/>
      <c r="CN488"/>
      <c r="CO488"/>
      <c r="CP488"/>
      <c r="CQ488"/>
      <c r="CR488"/>
      <c r="CS488"/>
      <c r="CT488"/>
      <c r="CU488"/>
      <c r="CV488"/>
      <c r="CW488"/>
      <c r="CX488"/>
      <c r="CY488"/>
      <c r="CZ488"/>
      <c r="DA488"/>
      <c r="DB488"/>
      <c r="DC488"/>
      <c r="DD488"/>
      <c r="DE488"/>
      <c r="DF488"/>
    </row>
    <row r="489" spans="1:110" s="16" customFormat="1" x14ac:dyDescent="0.3">
      <c r="A489" t="s">
        <v>32</v>
      </c>
      <c r="B489" t="s">
        <v>190</v>
      </c>
      <c r="C489" t="s">
        <v>655</v>
      </c>
      <c r="D489" s="10">
        <f>(D344*inputs!$E$78)/(inputs!$E$31)^inputs!E125</f>
        <v>0</v>
      </c>
      <c r="E489" t="str">
        <f t="shared" ca="1" si="8"/>
        <v>=(D344*inputs!$E$78)/(inputs!$E$31)^inputs!E125</v>
      </c>
      <c r="F489"/>
      <c r="G489"/>
      <c r="H489"/>
      <c r="I489"/>
      <c r="J489"/>
      <c r="K489"/>
      <c r="L489"/>
      <c r="M489"/>
      <c r="N489"/>
      <c r="O489"/>
      <c r="P489"/>
      <c r="Q489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  <c r="AJ489"/>
      <c r="AK489"/>
      <c r="AL489"/>
      <c r="AM489"/>
      <c r="AN489"/>
      <c r="AO489"/>
      <c r="AP489"/>
      <c r="AQ489"/>
      <c r="AR489"/>
      <c r="AS489"/>
      <c r="AT489"/>
      <c r="AU489"/>
      <c r="AV489"/>
      <c r="AW489"/>
      <c r="AX489"/>
      <c r="AY489"/>
      <c r="AZ489"/>
      <c r="BA489"/>
      <c r="BB489"/>
      <c r="BC489"/>
      <c r="BD489"/>
      <c r="BE489"/>
      <c r="BF489"/>
      <c r="BG489"/>
      <c r="BH489"/>
      <c r="BI489"/>
      <c r="BJ489"/>
      <c r="BK489"/>
      <c r="BL489"/>
      <c r="BM489"/>
      <c r="BN489"/>
      <c r="BO489"/>
      <c r="BP489"/>
      <c r="BQ489"/>
      <c r="BR489"/>
      <c r="BS489"/>
      <c r="BT489"/>
      <c r="BU489"/>
      <c r="BV489"/>
      <c r="BW489"/>
      <c r="BX489"/>
      <c r="BY489"/>
      <c r="BZ489"/>
      <c r="CA489"/>
      <c r="CB489"/>
      <c r="CC489"/>
      <c r="CD489"/>
      <c r="CE489"/>
      <c r="CF489"/>
      <c r="CG489"/>
      <c r="CH489"/>
      <c r="CI489"/>
      <c r="CJ489"/>
      <c r="CK489"/>
      <c r="CL489"/>
      <c r="CM489"/>
      <c r="CN489"/>
      <c r="CO489"/>
      <c r="CP489"/>
      <c r="CQ489"/>
      <c r="CR489"/>
      <c r="CS489"/>
      <c r="CT489"/>
      <c r="CU489"/>
      <c r="CV489"/>
      <c r="CW489"/>
      <c r="CX489"/>
      <c r="CY489"/>
      <c r="CZ489"/>
      <c r="DA489"/>
      <c r="DB489"/>
      <c r="DC489"/>
      <c r="DD489"/>
      <c r="DE489"/>
      <c r="DF489"/>
    </row>
    <row r="490" spans="1:110" s="16" customFormat="1" x14ac:dyDescent="0.3">
      <c r="A490" t="s">
        <v>32</v>
      </c>
      <c r="B490" t="s">
        <v>190</v>
      </c>
      <c r="C490" t="s">
        <v>656</v>
      </c>
      <c r="D490" s="10">
        <f>(D345*inputs!$E$78)/(inputs!$E$31)^inputs!E126</f>
        <v>0</v>
      </c>
      <c r="E490" t="str">
        <f t="shared" ca="1" si="8"/>
        <v>=(D345*inputs!$E$78)/(inputs!$E$31)^inputs!E126</v>
      </c>
      <c r="F490"/>
      <c r="G490"/>
      <c r="H490"/>
      <c r="I490"/>
      <c r="J490"/>
      <c r="K490"/>
      <c r="L490"/>
      <c r="M490"/>
      <c r="N490"/>
      <c r="O490"/>
      <c r="P490"/>
      <c r="Q490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  <c r="AJ490"/>
      <c r="AK490"/>
      <c r="AL490"/>
      <c r="AM490"/>
      <c r="AN490"/>
      <c r="AO490"/>
      <c r="AP490"/>
      <c r="AQ490"/>
      <c r="AR490"/>
      <c r="AS490"/>
      <c r="AT490"/>
      <c r="AU490"/>
      <c r="AV490"/>
      <c r="AW490"/>
      <c r="AX490"/>
      <c r="AY490"/>
      <c r="AZ490"/>
      <c r="BA490"/>
      <c r="BB490"/>
      <c r="BC490"/>
      <c r="BD490"/>
      <c r="BE490"/>
      <c r="BF490"/>
      <c r="BG490"/>
      <c r="BH490"/>
      <c r="BI490"/>
      <c r="BJ490"/>
      <c r="BK490"/>
      <c r="BL490"/>
      <c r="BM490"/>
      <c r="BN490"/>
      <c r="BO490"/>
      <c r="BP490"/>
      <c r="BQ490"/>
      <c r="BR490"/>
      <c r="BS490"/>
      <c r="BT490"/>
      <c r="BU490"/>
      <c r="BV490"/>
      <c r="BW490"/>
      <c r="BX490"/>
      <c r="BY490"/>
      <c r="BZ490"/>
      <c r="CA490"/>
      <c r="CB490"/>
      <c r="CC490"/>
      <c r="CD490"/>
      <c r="CE490"/>
      <c r="CF490"/>
      <c r="CG490"/>
      <c r="CH490"/>
      <c r="CI490"/>
      <c r="CJ490"/>
      <c r="CK490"/>
      <c r="CL490"/>
      <c r="CM490"/>
      <c r="CN490"/>
      <c r="CO490"/>
      <c r="CP490"/>
      <c r="CQ490"/>
      <c r="CR490"/>
      <c r="CS490"/>
      <c r="CT490"/>
      <c r="CU490"/>
      <c r="CV490"/>
      <c r="CW490"/>
      <c r="CX490"/>
      <c r="CY490"/>
      <c r="CZ490"/>
      <c r="DA490"/>
      <c r="DB490"/>
      <c r="DC490"/>
      <c r="DD490"/>
      <c r="DE490"/>
      <c r="DF490"/>
    </row>
    <row r="491" spans="1:110" s="16" customFormat="1" x14ac:dyDescent="0.3">
      <c r="A491" t="s">
        <v>32</v>
      </c>
      <c r="B491" t="s">
        <v>190</v>
      </c>
      <c r="C491" t="s">
        <v>657</v>
      </c>
      <c r="D491" s="10">
        <f>(D346*inputs!$E$78)/(inputs!$E$31)^inputs!E127</f>
        <v>0</v>
      </c>
      <c r="E491" t="str">
        <f t="shared" ca="1" si="8"/>
        <v>=(D346*inputs!$E$78)/(inputs!$E$31)^inputs!E127</v>
      </c>
      <c r="F491"/>
      <c r="G491"/>
      <c r="H491"/>
      <c r="I491"/>
      <c r="J491"/>
      <c r="K491"/>
      <c r="L491"/>
      <c r="M491"/>
      <c r="N491"/>
      <c r="O491"/>
      <c r="P491"/>
      <c r="Q491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  <c r="AJ491"/>
      <c r="AK491"/>
      <c r="AL491"/>
      <c r="AM491"/>
      <c r="AN491"/>
      <c r="AO491"/>
      <c r="AP491"/>
      <c r="AQ491"/>
      <c r="AR491"/>
      <c r="AS491"/>
      <c r="AT491"/>
      <c r="AU491"/>
      <c r="AV491"/>
      <c r="AW491"/>
      <c r="AX491"/>
      <c r="AY491"/>
      <c r="AZ491"/>
      <c r="BA491"/>
      <c r="BB491"/>
      <c r="BC491"/>
      <c r="BD491"/>
      <c r="BE491"/>
      <c r="BF491"/>
      <c r="BG491"/>
      <c r="BH491"/>
      <c r="BI491"/>
      <c r="BJ491"/>
      <c r="BK491"/>
      <c r="BL491"/>
      <c r="BM491"/>
      <c r="BN491"/>
      <c r="BO491"/>
      <c r="BP491"/>
      <c r="BQ491"/>
      <c r="BR491"/>
      <c r="BS491"/>
      <c r="BT491"/>
      <c r="BU491"/>
      <c r="BV491"/>
      <c r="BW491"/>
      <c r="BX491"/>
      <c r="BY491"/>
      <c r="BZ491"/>
      <c r="CA491"/>
      <c r="CB491"/>
      <c r="CC491"/>
      <c r="CD491"/>
      <c r="CE491"/>
      <c r="CF491"/>
      <c r="CG491"/>
      <c r="CH491"/>
      <c r="CI491"/>
      <c r="CJ491"/>
      <c r="CK491"/>
      <c r="CL491"/>
      <c r="CM491"/>
      <c r="CN491"/>
      <c r="CO491"/>
      <c r="CP491"/>
      <c r="CQ491"/>
      <c r="CR491"/>
      <c r="CS491"/>
      <c r="CT491"/>
      <c r="CU491"/>
      <c r="CV491"/>
      <c r="CW491"/>
      <c r="CX491"/>
      <c r="CY491"/>
      <c r="CZ491"/>
      <c r="DA491"/>
      <c r="DB491"/>
      <c r="DC491"/>
      <c r="DD491"/>
      <c r="DE491"/>
      <c r="DF491"/>
    </row>
    <row r="492" spans="1:110" s="16" customFormat="1" x14ac:dyDescent="0.3">
      <c r="A492" t="s">
        <v>32</v>
      </c>
      <c r="B492" t="s">
        <v>190</v>
      </c>
      <c r="C492" t="s">
        <v>658</v>
      </c>
      <c r="D492" s="10">
        <f>(D347*inputs!$E$78)/(inputs!$E$31)^inputs!E128</f>
        <v>0</v>
      </c>
      <c r="E492" t="str">
        <f t="shared" ca="1" si="8"/>
        <v>=(D347*inputs!$E$78)/(inputs!$E$31)^inputs!E128</v>
      </c>
      <c r="F492"/>
      <c r="G492"/>
      <c r="H492"/>
      <c r="I492"/>
      <c r="J492"/>
      <c r="K492"/>
      <c r="L492"/>
      <c r="M492"/>
      <c r="N492"/>
      <c r="O492"/>
      <c r="P492"/>
      <c r="Q492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  <c r="AJ492"/>
      <c r="AK492"/>
      <c r="AL492"/>
      <c r="AM492"/>
      <c r="AN492"/>
      <c r="AO492"/>
      <c r="AP492"/>
      <c r="AQ492"/>
      <c r="AR492"/>
      <c r="AS492"/>
      <c r="AT492"/>
      <c r="AU492"/>
      <c r="AV492"/>
      <c r="AW492"/>
      <c r="AX492"/>
      <c r="AY492"/>
      <c r="AZ492"/>
      <c r="BA492"/>
      <c r="BB492"/>
      <c r="BC492"/>
      <c r="BD492"/>
      <c r="BE492"/>
      <c r="BF492"/>
      <c r="BG492"/>
      <c r="BH492"/>
      <c r="BI492"/>
      <c r="BJ492"/>
      <c r="BK492"/>
      <c r="BL492"/>
      <c r="BM492"/>
      <c r="BN492"/>
      <c r="BO492"/>
      <c r="BP492"/>
      <c r="BQ492"/>
      <c r="BR492"/>
      <c r="BS492"/>
      <c r="BT492"/>
      <c r="BU492"/>
      <c r="BV492"/>
      <c r="BW492"/>
      <c r="BX492"/>
      <c r="BY492"/>
      <c r="BZ492"/>
      <c r="CA492"/>
      <c r="CB492"/>
      <c r="CC492"/>
      <c r="CD492"/>
      <c r="CE492"/>
      <c r="CF492"/>
      <c r="CG492"/>
      <c r="CH492"/>
      <c r="CI492"/>
      <c r="CJ492"/>
      <c r="CK492"/>
      <c r="CL492"/>
      <c r="CM492"/>
      <c r="CN492"/>
      <c r="CO492"/>
      <c r="CP492"/>
      <c r="CQ492"/>
      <c r="CR492"/>
      <c r="CS492"/>
      <c r="CT492"/>
      <c r="CU492"/>
      <c r="CV492"/>
      <c r="CW492"/>
      <c r="CX492"/>
      <c r="CY492"/>
      <c r="CZ492"/>
      <c r="DA492"/>
      <c r="DB492"/>
      <c r="DC492"/>
      <c r="DD492"/>
      <c r="DE492"/>
      <c r="DF492"/>
    </row>
    <row r="493" spans="1:110" s="16" customFormat="1" x14ac:dyDescent="0.3">
      <c r="A493" t="s">
        <v>32</v>
      </c>
      <c r="B493" t="s">
        <v>190</v>
      </c>
      <c r="C493" t="s">
        <v>659</v>
      </c>
      <c r="D493" s="10">
        <f>(D348*inputs!$E$78)/(inputs!$E$31)^inputs!E129</f>
        <v>0</v>
      </c>
      <c r="E493" t="str">
        <f t="shared" ca="1" si="8"/>
        <v>=(D348*inputs!$E$78)/(inputs!$E$31)^inputs!E129</v>
      </c>
      <c r="F493"/>
      <c r="G493"/>
      <c r="H493"/>
      <c r="I493"/>
      <c r="J493"/>
      <c r="K493"/>
      <c r="L493"/>
      <c r="M493"/>
      <c r="N493"/>
      <c r="O493"/>
      <c r="P493"/>
      <c r="Q493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  <c r="AJ493"/>
      <c r="AK493"/>
      <c r="AL493"/>
      <c r="AM493"/>
      <c r="AN493"/>
      <c r="AO493"/>
      <c r="AP493"/>
      <c r="AQ493"/>
      <c r="AR493"/>
      <c r="AS493"/>
      <c r="AT493"/>
      <c r="AU493"/>
      <c r="AV493"/>
      <c r="AW493"/>
      <c r="AX493"/>
      <c r="AY493"/>
      <c r="AZ493"/>
      <c r="BA493"/>
      <c r="BB493"/>
      <c r="BC493"/>
      <c r="BD493"/>
      <c r="BE493"/>
      <c r="BF493"/>
      <c r="BG493"/>
      <c r="BH493"/>
      <c r="BI493"/>
      <c r="BJ493"/>
      <c r="BK493"/>
      <c r="BL493"/>
      <c r="BM493"/>
      <c r="BN493"/>
      <c r="BO493"/>
      <c r="BP493"/>
      <c r="BQ493"/>
      <c r="BR493"/>
      <c r="BS493"/>
      <c r="BT493"/>
      <c r="BU493"/>
      <c r="BV493"/>
      <c r="BW493"/>
      <c r="BX493"/>
      <c r="BY493"/>
      <c r="BZ493"/>
      <c r="CA493"/>
      <c r="CB493"/>
      <c r="CC493"/>
      <c r="CD493"/>
      <c r="CE493"/>
      <c r="CF493"/>
      <c r="CG493"/>
      <c r="CH493"/>
      <c r="CI493"/>
      <c r="CJ493"/>
      <c r="CK493"/>
      <c r="CL493"/>
      <c r="CM493"/>
      <c r="CN493"/>
      <c r="CO493"/>
      <c r="CP493"/>
      <c r="CQ493"/>
      <c r="CR493"/>
      <c r="CS493"/>
      <c r="CT493"/>
      <c r="CU493"/>
      <c r="CV493"/>
      <c r="CW493"/>
      <c r="CX493"/>
      <c r="CY493"/>
      <c r="CZ493"/>
      <c r="DA493"/>
      <c r="DB493"/>
      <c r="DC493"/>
      <c r="DD493"/>
      <c r="DE493"/>
      <c r="DF493"/>
    </row>
    <row r="494" spans="1:110" s="16" customFormat="1" x14ac:dyDescent="0.3">
      <c r="A494" t="s">
        <v>32</v>
      </c>
      <c r="B494" t="s">
        <v>190</v>
      </c>
      <c r="C494" t="s">
        <v>660</v>
      </c>
      <c r="D494" s="10">
        <f>(D349*inputs!$E$78)/(inputs!$E$31)^inputs!E130</f>
        <v>0</v>
      </c>
      <c r="E494" t="str">
        <f t="shared" ca="1" si="8"/>
        <v>=(D349*inputs!$E$78)/(inputs!$E$31)^inputs!E130</v>
      </c>
      <c r="F494"/>
      <c r="G494"/>
      <c r="H494"/>
      <c r="I494"/>
      <c r="J494"/>
      <c r="K494"/>
      <c r="L494"/>
      <c r="M494"/>
      <c r="N494"/>
      <c r="O494"/>
      <c r="P494"/>
      <c r="Q494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  <c r="AJ494"/>
      <c r="AK494"/>
      <c r="AL494"/>
      <c r="AM494"/>
      <c r="AN494"/>
      <c r="AO494"/>
      <c r="AP494"/>
      <c r="AQ494"/>
      <c r="AR494"/>
      <c r="AS494"/>
      <c r="AT494"/>
      <c r="AU494"/>
      <c r="AV494"/>
      <c r="AW494"/>
      <c r="AX494"/>
      <c r="AY494"/>
      <c r="AZ494"/>
      <c r="BA494"/>
      <c r="BB494"/>
      <c r="BC494"/>
      <c r="BD494"/>
      <c r="BE494"/>
      <c r="BF494"/>
      <c r="BG494"/>
      <c r="BH494"/>
      <c r="BI494"/>
      <c r="BJ494"/>
      <c r="BK494"/>
      <c r="BL494"/>
      <c r="BM494"/>
      <c r="BN494"/>
      <c r="BO494"/>
      <c r="BP494"/>
      <c r="BQ494"/>
      <c r="BR494"/>
      <c r="BS494"/>
      <c r="BT494"/>
      <c r="BU494"/>
      <c r="BV494"/>
      <c r="BW494"/>
      <c r="BX494"/>
      <c r="BY494"/>
      <c r="BZ494"/>
      <c r="CA494"/>
      <c r="CB494"/>
      <c r="CC494"/>
      <c r="CD494"/>
      <c r="CE494"/>
      <c r="CF494"/>
      <c r="CG494"/>
      <c r="CH494"/>
      <c r="CI494"/>
      <c r="CJ494"/>
      <c r="CK494"/>
      <c r="CL494"/>
      <c r="CM494"/>
      <c r="CN494"/>
      <c r="CO494"/>
      <c r="CP494"/>
      <c r="CQ494"/>
      <c r="CR494"/>
      <c r="CS494"/>
      <c r="CT494"/>
      <c r="CU494"/>
      <c r="CV494"/>
      <c r="CW494"/>
      <c r="CX494"/>
      <c r="CY494"/>
      <c r="CZ494"/>
      <c r="DA494"/>
      <c r="DB494"/>
      <c r="DC494"/>
      <c r="DD494"/>
      <c r="DE494"/>
      <c r="DF494"/>
    </row>
    <row r="495" spans="1:110" s="16" customFormat="1" x14ac:dyDescent="0.3">
      <c r="A495" t="s">
        <v>32</v>
      </c>
      <c r="B495" t="s">
        <v>190</v>
      </c>
      <c r="C495" t="s">
        <v>661</v>
      </c>
      <c r="D495" s="10">
        <f>(D350*inputs!$E$78)/(inputs!$E$31)^inputs!E131</f>
        <v>0</v>
      </c>
      <c r="E495" t="str">
        <f t="shared" ca="1" si="8"/>
        <v>=(D350*inputs!$E$78)/(inputs!$E$31)^inputs!E131</v>
      </c>
      <c r="F495"/>
      <c r="G495"/>
      <c r="H495"/>
      <c r="I495"/>
      <c r="J495"/>
      <c r="K495"/>
      <c r="L495"/>
      <c r="M495"/>
      <c r="N495"/>
      <c r="O495"/>
      <c r="P495"/>
      <c r="Q495"/>
      <c r="R495"/>
      <c r="S495"/>
      <c r="T495"/>
      <c r="U495"/>
      <c r="V495"/>
      <c r="W495"/>
      <c r="X495"/>
      <c r="Y495"/>
      <c r="Z495"/>
      <c r="AA495"/>
      <c r="AB495"/>
      <c r="AC495"/>
      <c r="AD495"/>
      <c r="AE495"/>
      <c r="AF495"/>
      <c r="AG495"/>
      <c r="AH495"/>
      <c r="AI495"/>
      <c r="AJ495"/>
      <c r="AK495"/>
      <c r="AL495"/>
      <c r="AM495"/>
      <c r="AN495"/>
      <c r="AO495"/>
      <c r="AP495"/>
      <c r="AQ495"/>
      <c r="AR495"/>
      <c r="AS495"/>
      <c r="AT495"/>
      <c r="AU495"/>
      <c r="AV495"/>
      <c r="AW495"/>
      <c r="AX495"/>
      <c r="AY495"/>
      <c r="AZ495"/>
      <c r="BA495"/>
      <c r="BB495"/>
      <c r="BC495"/>
      <c r="BD495"/>
      <c r="BE495"/>
      <c r="BF495"/>
      <c r="BG495"/>
      <c r="BH495"/>
      <c r="BI495"/>
      <c r="BJ495"/>
      <c r="BK495"/>
      <c r="BL495"/>
      <c r="BM495"/>
      <c r="BN495"/>
      <c r="BO495"/>
      <c r="BP495"/>
      <c r="BQ495"/>
      <c r="BR495"/>
      <c r="BS495"/>
      <c r="BT495"/>
      <c r="BU495"/>
      <c r="BV495"/>
      <c r="BW495"/>
      <c r="BX495"/>
      <c r="BY495"/>
      <c r="BZ495"/>
      <c r="CA495"/>
      <c r="CB495"/>
      <c r="CC495"/>
      <c r="CD495"/>
      <c r="CE495"/>
      <c r="CF495"/>
      <c r="CG495"/>
      <c r="CH495"/>
      <c r="CI495"/>
      <c r="CJ495"/>
      <c r="CK495"/>
      <c r="CL495"/>
      <c r="CM495"/>
      <c r="CN495"/>
      <c r="CO495"/>
      <c r="CP495"/>
      <c r="CQ495"/>
      <c r="CR495"/>
      <c r="CS495"/>
      <c r="CT495"/>
      <c r="CU495"/>
      <c r="CV495"/>
      <c r="CW495"/>
      <c r="CX495"/>
      <c r="CY495"/>
      <c r="CZ495"/>
      <c r="DA495"/>
      <c r="DB495"/>
      <c r="DC495"/>
      <c r="DD495"/>
      <c r="DE495"/>
      <c r="DF495"/>
    </row>
    <row r="496" spans="1:110" s="16" customFormat="1" x14ac:dyDescent="0.3">
      <c r="A496" t="s">
        <v>32</v>
      </c>
      <c r="B496" t="s">
        <v>190</v>
      </c>
      <c r="C496" t="s">
        <v>662</v>
      </c>
      <c r="D496" s="10">
        <f>(D351*inputs!$E$78)/(inputs!$E$31)^inputs!E132</f>
        <v>0</v>
      </c>
      <c r="E496" t="str">
        <f t="shared" ca="1" si="8"/>
        <v>=(D351*inputs!$E$78)/(inputs!$E$31)^inputs!E132</v>
      </c>
      <c r="F496"/>
      <c r="G496"/>
      <c r="H496"/>
      <c r="I496"/>
      <c r="J496"/>
      <c r="K496"/>
      <c r="L496"/>
      <c r="M496"/>
      <c r="N496"/>
      <c r="O496"/>
      <c r="P496"/>
      <c r="Q496"/>
      <c r="R496"/>
      <c r="S496"/>
      <c r="T496"/>
      <c r="U496"/>
      <c r="V496"/>
      <c r="W496"/>
      <c r="X496"/>
      <c r="Y496"/>
      <c r="Z496"/>
      <c r="AA496"/>
      <c r="AB496"/>
      <c r="AC496"/>
      <c r="AD496"/>
      <c r="AE496"/>
      <c r="AF496"/>
      <c r="AG496"/>
      <c r="AH496"/>
      <c r="AI496"/>
      <c r="AJ496"/>
      <c r="AK496"/>
      <c r="AL496"/>
      <c r="AM496"/>
      <c r="AN496"/>
      <c r="AO496"/>
      <c r="AP496"/>
      <c r="AQ496"/>
      <c r="AR496"/>
      <c r="AS496"/>
      <c r="AT496"/>
      <c r="AU496"/>
      <c r="AV496"/>
      <c r="AW496"/>
      <c r="AX496"/>
      <c r="AY496"/>
      <c r="AZ496"/>
      <c r="BA496"/>
      <c r="BB496"/>
      <c r="BC496"/>
      <c r="BD496"/>
      <c r="BE496"/>
      <c r="BF496"/>
      <c r="BG496"/>
      <c r="BH496"/>
      <c r="BI496"/>
      <c r="BJ496"/>
      <c r="BK496"/>
      <c r="BL496"/>
      <c r="BM496"/>
      <c r="BN496"/>
      <c r="BO496"/>
      <c r="BP496"/>
      <c r="BQ496"/>
      <c r="BR496"/>
      <c r="BS496"/>
      <c r="BT496"/>
      <c r="BU496"/>
      <c r="BV496"/>
      <c r="BW496"/>
      <c r="BX496"/>
      <c r="BY496"/>
      <c r="BZ496"/>
      <c r="CA496"/>
      <c r="CB496"/>
      <c r="CC496"/>
      <c r="CD496"/>
      <c r="CE496"/>
      <c r="CF496"/>
      <c r="CG496"/>
      <c r="CH496"/>
      <c r="CI496"/>
      <c r="CJ496"/>
      <c r="CK496"/>
      <c r="CL496"/>
      <c r="CM496"/>
      <c r="CN496"/>
      <c r="CO496"/>
      <c r="CP496"/>
      <c r="CQ496"/>
      <c r="CR496"/>
      <c r="CS496"/>
      <c r="CT496"/>
      <c r="CU496"/>
      <c r="CV496"/>
      <c r="CW496"/>
      <c r="CX496"/>
      <c r="CY496"/>
      <c r="CZ496"/>
      <c r="DA496"/>
      <c r="DB496"/>
      <c r="DC496"/>
      <c r="DD496"/>
      <c r="DE496"/>
      <c r="DF496"/>
    </row>
    <row r="497" spans="1:110" s="16" customFormat="1" x14ac:dyDescent="0.3">
      <c r="A497" t="s">
        <v>32</v>
      </c>
      <c r="B497" t="s">
        <v>190</v>
      </c>
      <c r="C497" t="s">
        <v>663</v>
      </c>
      <c r="D497" s="10">
        <f>(D352*inputs!$E$78)/(inputs!$E$31)^inputs!E133</f>
        <v>0</v>
      </c>
      <c r="E497" t="str">
        <f t="shared" ca="1" si="8"/>
        <v>=(D352*inputs!$E$78)/(inputs!$E$31)^inputs!E133</v>
      </c>
      <c r="F497"/>
      <c r="G497"/>
      <c r="H497"/>
      <c r="I497"/>
      <c r="J497"/>
      <c r="K497"/>
      <c r="L497"/>
      <c r="M497"/>
      <c r="N497"/>
      <c r="O497"/>
      <c r="P497"/>
      <c r="Q497"/>
      <c r="R497"/>
      <c r="S497"/>
      <c r="T497"/>
      <c r="U497"/>
      <c r="V497"/>
      <c r="W497"/>
      <c r="X497"/>
      <c r="Y497"/>
      <c r="Z497"/>
      <c r="AA497"/>
      <c r="AB497"/>
      <c r="AC497"/>
      <c r="AD497"/>
      <c r="AE497"/>
      <c r="AF497"/>
      <c r="AG497"/>
      <c r="AH497"/>
      <c r="AI497"/>
      <c r="AJ497"/>
      <c r="AK497"/>
      <c r="AL497"/>
      <c r="AM497"/>
      <c r="AN497"/>
      <c r="AO497"/>
      <c r="AP497"/>
      <c r="AQ497"/>
      <c r="AR497"/>
      <c r="AS497"/>
      <c r="AT497"/>
      <c r="AU497"/>
      <c r="AV497"/>
      <c r="AW497"/>
      <c r="AX497"/>
      <c r="AY497"/>
      <c r="AZ497"/>
      <c r="BA497"/>
      <c r="BB497"/>
      <c r="BC497"/>
      <c r="BD497"/>
      <c r="BE497"/>
      <c r="BF497"/>
      <c r="BG497"/>
      <c r="BH497"/>
      <c r="BI497"/>
      <c r="BJ497"/>
      <c r="BK497"/>
      <c r="BL497"/>
      <c r="BM497"/>
      <c r="BN497"/>
      <c r="BO497"/>
      <c r="BP497"/>
      <c r="BQ497"/>
      <c r="BR497"/>
      <c r="BS497"/>
      <c r="BT497"/>
      <c r="BU497"/>
      <c r="BV497"/>
      <c r="BW497"/>
      <c r="BX497"/>
      <c r="BY497"/>
      <c r="BZ497"/>
      <c r="CA497"/>
      <c r="CB497"/>
      <c r="CC497"/>
      <c r="CD497"/>
      <c r="CE497"/>
      <c r="CF497"/>
      <c r="CG497"/>
      <c r="CH497"/>
      <c r="CI497"/>
      <c r="CJ497"/>
      <c r="CK497"/>
      <c r="CL497"/>
      <c r="CM497"/>
      <c r="CN497"/>
      <c r="CO497"/>
      <c r="CP497"/>
      <c r="CQ497"/>
      <c r="CR497"/>
      <c r="CS497"/>
      <c r="CT497"/>
      <c r="CU497"/>
      <c r="CV497"/>
      <c r="CW497"/>
      <c r="CX497"/>
      <c r="CY497"/>
      <c r="CZ497"/>
      <c r="DA497"/>
      <c r="DB497"/>
      <c r="DC497"/>
      <c r="DD497"/>
      <c r="DE497"/>
      <c r="DF497"/>
    </row>
    <row r="498" spans="1:110" s="16" customFormat="1" x14ac:dyDescent="0.3">
      <c r="A498" t="s">
        <v>32</v>
      </c>
      <c r="B498" t="s">
        <v>190</v>
      </c>
      <c r="C498" t="s">
        <v>664</v>
      </c>
      <c r="D498" s="10">
        <f>(D353*inputs!$E$78)/(inputs!$E$31)^inputs!E134</f>
        <v>0</v>
      </c>
      <c r="E498" t="str">
        <f t="shared" ca="1" si="8"/>
        <v>=(D353*inputs!$E$78)/(inputs!$E$31)^inputs!E134</v>
      </c>
      <c r="F498"/>
      <c r="G498"/>
      <c r="H498"/>
      <c r="I498"/>
      <c r="J498"/>
      <c r="K498"/>
      <c r="L498"/>
      <c r="M498"/>
      <c r="N498"/>
      <c r="O498"/>
      <c r="P498"/>
      <c r="Q498"/>
      <c r="R498"/>
      <c r="S498"/>
      <c r="T498"/>
      <c r="U498"/>
      <c r="V498"/>
      <c r="W498"/>
      <c r="X498"/>
      <c r="Y498"/>
      <c r="Z498"/>
      <c r="AA498"/>
      <c r="AB498"/>
      <c r="AC498"/>
      <c r="AD498"/>
      <c r="AE498"/>
      <c r="AF498"/>
      <c r="AG498"/>
      <c r="AH498"/>
      <c r="AI498"/>
      <c r="AJ498"/>
      <c r="AK498"/>
      <c r="AL498"/>
      <c r="AM498"/>
      <c r="AN498"/>
      <c r="AO498"/>
      <c r="AP498"/>
      <c r="AQ498"/>
      <c r="AR498"/>
      <c r="AS498"/>
      <c r="AT498"/>
      <c r="AU498"/>
      <c r="AV498"/>
      <c r="AW498"/>
      <c r="AX498"/>
      <c r="AY498"/>
      <c r="AZ498"/>
      <c r="BA498"/>
      <c r="BB498"/>
      <c r="BC498"/>
      <c r="BD498"/>
      <c r="BE498"/>
      <c r="BF498"/>
      <c r="BG498"/>
      <c r="BH498"/>
      <c r="BI498"/>
      <c r="BJ498"/>
      <c r="BK498"/>
      <c r="BL498"/>
      <c r="BM498"/>
      <c r="BN498"/>
      <c r="BO498"/>
      <c r="BP498"/>
      <c r="BQ498"/>
      <c r="BR498"/>
      <c r="BS498"/>
      <c r="BT498"/>
      <c r="BU498"/>
      <c r="BV498"/>
      <c r="BW498"/>
      <c r="BX498"/>
      <c r="BY498"/>
      <c r="BZ498"/>
      <c r="CA498"/>
      <c r="CB498"/>
      <c r="CC498"/>
      <c r="CD498"/>
      <c r="CE498"/>
      <c r="CF498"/>
      <c r="CG498"/>
      <c r="CH498"/>
      <c r="CI498"/>
      <c r="CJ498"/>
      <c r="CK498"/>
      <c r="CL498"/>
      <c r="CM498"/>
      <c r="CN498"/>
      <c r="CO498"/>
      <c r="CP498"/>
      <c r="CQ498"/>
      <c r="CR498"/>
      <c r="CS498"/>
      <c r="CT498"/>
      <c r="CU498"/>
      <c r="CV498"/>
      <c r="CW498"/>
      <c r="CX498"/>
      <c r="CY498"/>
      <c r="CZ498"/>
      <c r="DA498"/>
      <c r="DB498"/>
      <c r="DC498"/>
      <c r="DD498"/>
      <c r="DE498"/>
      <c r="DF498"/>
    </row>
    <row r="499" spans="1:110" s="16" customFormat="1" x14ac:dyDescent="0.3">
      <c r="A499" t="s">
        <v>32</v>
      </c>
      <c r="B499" t="s">
        <v>190</v>
      </c>
      <c r="C499" t="s">
        <v>629</v>
      </c>
      <c r="D499" s="10">
        <f>(D354*inputs!$E$78)/(inputs!$E$31)^inputs!E135</f>
        <v>0</v>
      </c>
      <c r="E499" t="str">
        <f t="shared" ca="1" si="8"/>
        <v>=(D354*inputs!$E$78)/(inputs!$E$31)^inputs!E135</v>
      </c>
      <c r="F499"/>
      <c r="G499"/>
      <c r="H499"/>
      <c r="I499"/>
      <c r="J499"/>
      <c r="K499"/>
      <c r="L499"/>
      <c r="M499"/>
      <c r="N499"/>
      <c r="O499"/>
      <c r="P499"/>
      <c r="Q499"/>
      <c r="R499"/>
      <c r="S499"/>
      <c r="T499"/>
      <c r="U499"/>
      <c r="V499"/>
      <c r="W499"/>
      <c r="X499"/>
      <c r="Y499"/>
      <c r="Z499"/>
      <c r="AA499"/>
      <c r="AB499"/>
      <c r="AC499"/>
      <c r="AD499"/>
      <c r="AE499"/>
      <c r="AF499"/>
      <c r="AG499"/>
      <c r="AH499"/>
      <c r="AI499"/>
      <c r="AJ499"/>
      <c r="AK499"/>
      <c r="AL499"/>
      <c r="AM499"/>
      <c r="AN499"/>
      <c r="AO499"/>
      <c r="AP499"/>
      <c r="AQ499"/>
      <c r="AR499"/>
      <c r="AS499"/>
      <c r="AT499"/>
      <c r="AU499"/>
      <c r="AV499"/>
      <c r="AW499"/>
      <c r="AX499"/>
      <c r="AY499"/>
      <c r="AZ499"/>
      <c r="BA499"/>
      <c r="BB499"/>
      <c r="BC499"/>
      <c r="BD499"/>
      <c r="BE499"/>
      <c r="BF499"/>
      <c r="BG499"/>
      <c r="BH499"/>
      <c r="BI499"/>
      <c r="BJ499"/>
      <c r="BK499"/>
      <c r="BL499"/>
      <c r="BM499"/>
      <c r="BN499"/>
      <c r="BO499"/>
      <c r="BP499"/>
      <c r="BQ499"/>
      <c r="BR499"/>
      <c r="BS499"/>
      <c r="BT499"/>
      <c r="BU499"/>
      <c r="BV499"/>
      <c r="BW499"/>
      <c r="BX499"/>
      <c r="BY499"/>
      <c r="BZ499"/>
      <c r="CA499"/>
      <c r="CB499"/>
      <c r="CC499"/>
      <c r="CD499"/>
      <c r="CE499"/>
      <c r="CF499"/>
      <c r="CG499"/>
      <c r="CH499"/>
      <c r="CI499"/>
      <c r="CJ499"/>
      <c r="CK499"/>
      <c r="CL499"/>
      <c r="CM499"/>
      <c r="CN499"/>
      <c r="CO499"/>
      <c r="CP499"/>
      <c r="CQ499"/>
      <c r="CR499"/>
      <c r="CS499"/>
      <c r="CT499"/>
      <c r="CU499"/>
      <c r="CV499"/>
      <c r="CW499"/>
      <c r="CX499"/>
      <c r="CY499"/>
      <c r="CZ499"/>
      <c r="DA499"/>
      <c r="DB499"/>
      <c r="DC499"/>
      <c r="DD499"/>
      <c r="DE499"/>
      <c r="DF499"/>
    </row>
    <row r="500" spans="1:110" s="14" customFormat="1" x14ac:dyDescent="0.3">
      <c r="A500" t="s">
        <v>32</v>
      </c>
      <c r="B500" t="s">
        <v>84</v>
      </c>
      <c r="C500" t="s">
        <v>769</v>
      </c>
      <c r="D500" s="10">
        <f>D355*(inputs!$E$26*inputs!E27)</f>
        <v>520771349.68815088</v>
      </c>
      <c r="E500" t="str">
        <f t="shared" ca="1" si="8"/>
        <v>=D355*(inputs!$E$26*inputs!E27)</v>
      </c>
      <c r="F500" t="s">
        <v>821</v>
      </c>
      <c r="G500"/>
      <c r="H500"/>
      <c r="I500"/>
      <c r="J500"/>
      <c r="K500"/>
      <c r="L500"/>
      <c r="M500"/>
      <c r="N500"/>
      <c r="O500"/>
      <c r="P500"/>
      <c r="Q500"/>
      <c r="R500"/>
      <c r="S500"/>
      <c r="T500"/>
      <c r="U500"/>
      <c r="V500"/>
      <c r="W500"/>
      <c r="X500"/>
      <c r="Y500"/>
      <c r="Z500"/>
      <c r="AA500"/>
      <c r="AB500"/>
      <c r="AC500"/>
      <c r="AD500"/>
      <c r="AE500"/>
      <c r="AF500"/>
      <c r="AG500"/>
      <c r="AH500"/>
      <c r="AI500"/>
      <c r="AJ500"/>
      <c r="AK500"/>
      <c r="AL500"/>
      <c r="AM500"/>
      <c r="AN500"/>
      <c r="AO500"/>
      <c r="AP500"/>
      <c r="AQ500"/>
      <c r="AR500"/>
      <c r="AS500"/>
      <c r="AT500"/>
      <c r="AU500"/>
      <c r="AV500"/>
      <c r="AW500"/>
      <c r="AX500"/>
      <c r="AY500"/>
      <c r="AZ500"/>
      <c r="BA500"/>
      <c r="BB500"/>
      <c r="BC500"/>
      <c r="BD500"/>
      <c r="BE500"/>
      <c r="BF500"/>
      <c r="BG500"/>
      <c r="BH500"/>
      <c r="BI500"/>
      <c r="BJ500"/>
      <c r="BK500"/>
      <c r="BL500"/>
      <c r="BM500"/>
      <c r="BN500"/>
      <c r="BO500"/>
      <c r="BP500"/>
      <c r="BQ500"/>
      <c r="BR500"/>
      <c r="BS500"/>
      <c r="BT500"/>
      <c r="BU500"/>
      <c r="BV500"/>
      <c r="BW500"/>
      <c r="BX500"/>
      <c r="BY500"/>
      <c r="BZ500"/>
      <c r="CA500"/>
      <c r="CB500"/>
      <c r="CC500"/>
      <c r="CD500"/>
      <c r="CE500"/>
      <c r="CF500"/>
      <c r="CG500"/>
      <c r="CH500"/>
      <c r="CI500"/>
      <c r="CJ500"/>
      <c r="CK500"/>
      <c r="CL500"/>
      <c r="CM500"/>
      <c r="CN500"/>
      <c r="CO500"/>
      <c r="CP500"/>
      <c r="CQ500"/>
      <c r="CR500"/>
      <c r="CS500"/>
      <c r="CT500"/>
      <c r="CU500"/>
      <c r="CV500"/>
      <c r="CW500"/>
      <c r="CX500"/>
      <c r="CY500"/>
      <c r="CZ500"/>
      <c r="DA500"/>
      <c r="DB500"/>
      <c r="DC500"/>
      <c r="DD500"/>
      <c r="DE500"/>
      <c r="DF500"/>
    </row>
    <row r="501" spans="1:110" x14ac:dyDescent="0.3">
      <c r="A501" t="s">
        <v>32</v>
      </c>
      <c r="B501" t="s">
        <v>84</v>
      </c>
      <c r="C501" t="s">
        <v>840</v>
      </c>
      <c r="D501" s="10">
        <f>D356*(inputs!$E$26*inputs!$E$27)</f>
        <v>6426822.6883737277</v>
      </c>
      <c r="E501" t="str">
        <f t="shared" ca="1" si="8"/>
        <v>=D356*(inputs!$E$26*inputs!$E$27)</v>
      </c>
    </row>
    <row r="502" spans="1:110" x14ac:dyDescent="0.3">
      <c r="A502" t="s">
        <v>32</v>
      </c>
      <c r="B502" t="s">
        <v>84</v>
      </c>
      <c r="C502" t="s">
        <v>841</v>
      </c>
      <c r="D502" s="10">
        <f>D357*(inputs!$E$26*inputs!$E$27)</f>
        <v>6237761.7879293365</v>
      </c>
      <c r="E502" t="str">
        <f t="shared" ca="1" si="8"/>
        <v>=D357*(inputs!$E$26*inputs!$E$27)</v>
      </c>
    </row>
    <row r="503" spans="1:110" x14ac:dyDescent="0.3">
      <c r="A503" t="s">
        <v>32</v>
      </c>
      <c r="B503" t="s">
        <v>84</v>
      </c>
      <c r="C503" t="s">
        <v>842</v>
      </c>
      <c r="D503" s="10">
        <f>D358*(inputs!$E$26*inputs!$E$27)</f>
        <v>6054262.5819349112</v>
      </c>
      <c r="E503" t="str">
        <f t="shared" ca="1" si="8"/>
        <v>=D358*(inputs!$E$26*inputs!$E$27)</v>
      </c>
    </row>
    <row r="504" spans="1:110" x14ac:dyDescent="0.3">
      <c r="A504" t="s">
        <v>32</v>
      </c>
      <c r="B504" t="s">
        <v>84</v>
      </c>
      <c r="C504" t="s">
        <v>843</v>
      </c>
      <c r="D504" s="10">
        <f>D359*(inputs!$E$26*inputs!$E$27)</f>
        <v>5876161.4593789615</v>
      </c>
      <c r="E504" t="str">
        <f t="shared" ca="1" si="8"/>
        <v>=D359*(inputs!$E$26*inputs!$E$27)</v>
      </c>
    </row>
    <row r="505" spans="1:110" x14ac:dyDescent="0.3">
      <c r="A505" t="s">
        <v>32</v>
      </c>
      <c r="B505" t="s">
        <v>84</v>
      </c>
      <c r="C505" t="s">
        <v>844</v>
      </c>
      <c r="D505" s="10">
        <f>D360*(inputs!$E$26*inputs!$E$27)</f>
        <v>5703299.6222729599</v>
      </c>
      <c r="E505" t="str">
        <f t="shared" ca="1" si="8"/>
        <v>=D360*(inputs!$E$26*inputs!$E$27)</v>
      </c>
    </row>
    <row r="506" spans="1:110" x14ac:dyDescent="0.3">
      <c r="A506" t="s">
        <v>32</v>
      </c>
      <c r="B506" t="s">
        <v>84</v>
      </c>
      <c r="C506" t="s">
        <v>845</v>
      </c>
      <c r="D506" s="10">
        <f>D361*(inputs!$E$26*inputs!$E$27)</f>
        <v>5535522.944064348</v>
      </c>
      <c r="E506" t="str">
        <f t="shared" ca="1" si="8"/>
        <v>=D361*(inputs!$E$26*inputs!$E$27)</v>
      </c>
    </row>
    <row r="507" spans="1:110" x14ac:dyDescent="0.3">
      <c r="A507" t="s">
        <v>32</v>
      </c>
      <c r="B507" t="s">
        <v>84</v>
      </c>
      <c r="C507" t="s">
        <v>846</v>
      </c>
      <c r="D507" s="10">
        <f>D362*(inputs!$E$26*inputs!$E$27)</f>
        <v>5372681.832214688</v>
      </c>
      <c r="E507" t="str">
        <f t="shared" ca="1" si="8"/>
        <v>=D362*(inputs!$E$26*inputs!$E$27)</v>
      </c>
    </row>
    <row r="508" spans="1:110" x14ac:dyDescent="0.3">
      <c r="A508" t="s">
        <v>32</v>
      </c>
      <c r="B508" t="s">
        <v>84</v>
      </c>
      <c r="C508" t="s">
        <v>847</v>
      </c>
      <c r="D508" s="10">
        <f>D363*(inputs!$E$26*inputs!$E$27)</f>
        <v>5214631.0948204119</v>
      </c>
      <c r="E508" t="str">
        <f t="shared" ca="1" si="8"/>
        <v>=D363*(inputs!$E$26*inputs!$E$27)</v>
      </c>
    </row>
    <row r="509" spans="1:110" x14ac:dyDescent="0.3">
      <c r="A509" t="s">
        <v>32</v>
      </c>
      <c r="B509" t="s">
        <v>84</v>
      </c>
      <c r="C509" t="s">
        <v>848</v>
      </c>
      <c r="D509" s="10">
        <f>D364*(inputs!$E$26*inputs!$E$27)</f>
        <v>5061229.8111572489</v>
      </c>
      <c r="E509" t="str">
        <f t="shared" ca="1" si="8"/>
        <v>=D364*(inputs!$E$26*inputs!$E$27)</v>
      </c>
    </row>
    <row r="510" spans="1:110" x14ac:dyDescent="0.3">
      <c r="A510" t="s">
        <v>32</v>
      </c>
      <c r="B510" t="s">
        <v>84</v>
      </c>
      <c r="C510" t="s">
        <v>849</v>
      </c>
      <c r="D510" s="10">
        <f>D365*(inputs!$E$26*inputs!$E$27)</f>
        <v>4912341.2060329132</v>
      </c>
      <c r="E510" t="str">
        <f t="shared" ca="1" si="8"/>
        <v>=D365*(inputs!$E$26*inputs!$E$27)</v>
      </c>
    </row>
    <row r="511" spans="1:110" x14ac:dyDescent="0.3">
      <c r="A511" t="s">
        <v>32</v>
      </c>
      <c r="B511" t="s">
        <v>84</v>
      </c>
      <c r="C511" t="s">
        <v>850</v>
      </c>
      <c r="D511" s="10">
        <f>D366*(inputs!$E$26*inputs!$E$27)</f>
        <v>4767832.5278360229</v>
      </c>
      <c r="E511" t="str">
        <f t="shared" ca="1" si="8"/>
        <v>=D366*(inputs!$E$26*inputs!$E$27)</v>
      </c>
    </row>
    <row r="512" spans="1:110" x14ac:dyDescent="0.3">
      <c r="A512" t="s">
        <v>32</v>
      </c>
      <c r="B512" t="s">
        <v>84</v>
      </c>
      <c r="C512" t="s">
        <v>851</v>
      </c>
      <c r="D512" s="10">
        <f>D367*(inputs!$E$26*inputs!$E$27)</f>
        <v>4627574.9301724993</v>
      </c>
      <c r="E512" t="str">
        <f t="shared" ca="1" si="8"/>
        <v>=D367*(inputs!$E$26*inputs!$E$27)</v>
      </c>
    </row>
    <row r="513" spans="1:5" x14ac:dyDescent="0.3">
      <c r="A513" t="s">
        <v>32</v>
      </c>
      <c r="B513" t="s">
        <v>84</v>
      </c>
      <c r="C513" t="s">
        <v>852</v>
      </c>
      <c r="D513" s="10">
        <f>D368*(inputs!$E$26*inputs!$E$27)</f>
        <v>4491443.3569839289</v>
      </c>
      <c r="E513" t="str">
        <f t="shared" ca="1" si="8"/>
        <v>=D368*(inputs!$E$26*inputs!$E$27)</v>
      </c>
    </row>
    <row r="514" spans="1:5" x14ac:dyDescent="0.3">
      <c r="A514" t="s">
        <v>32</v>
      </c>
      <c r="B514" t="s">
        <v>84</v>
      </c>
      <c r="C514" t="s">
        <v>853</v>
      </c>
      <c r="D514" s="10">
        <f>D369*(inputs!$E$26*inputs!$E$27)</f>
        <v>4359316.4310454689</v>
      </c>
      <c r="E514" t="str">
        <f t="shared" ca="1" si="8"/>
        <v>=D369*(inputs!$E$26*inputs!$E$27)</v>
      </c>
    </row>
    <row r="515" spans="1:5" x14ac:dyDescent="0.3">
      <c r="A515" s="7" t="s">
        <v>32</v>
      </c>
      <c r="B515" s="7" t="s">
        <v>84</v>
      </c>
      <c r="C515" s="7" t="s">
        <v>854</v>
      </c>
      <c r="D515" s="8">
        <f>D370*(inputs!$E$26*inputs!$E$27)</f>
        <v>4231076.3457438406</v>
      </c>
      <c r="E515" s="7" t="str">
        <f t="shared" ca="1" si="8"/>
        <v>=D370*(inputs!$E$26*inputs!$E$27)</v>
      </c>
    </row>
    <row r="516" spans="1:5" x14ac:dyDescent="0.3">
      <c r="A516" s="7" t="s">
        <v>32</v>
      </c>
      <c r="B516" s="7" t="s">
        <v>84</v>
      </c>
      <c r="C516" s="7" t="s">
        <v>855</v>
      </c>
      <c r="D516" s="8">
        <f>D371*(inputs!$E$26*inputs!$E$27)</f>
        <v>4106608.7600389495</v>
      </c>
      <c r="E516" s="7" t="str">
        <f t="shared" ca="1" si="8"/>
        <v>=D371*(inputs!$E$26*inputs!$E$27)</v>
      </c>
    </row>
    <row r="517" spans="1:5" x14ac:dyDescent="0.3">
      <c r="A517" s="7" t="s">
        <v>32</v>
      </c>
      <c r="B517" s="7" t="s">
        <v>84</v>
      </c>
      <c r="C517" s="7" t="s">
        <v>856</v>
      </c>
      <c r="D517" s="8">
        <f>D372*(inputs!$E$26*inputs!$E$27)</f>
        <v>3983011.7973581664</v>
      </c>
      <c r="E517" s="7" t="str">
        <f t="shared" ca="1" si="8"/>
        <v>=D372*(inputs!$E$26*inputs!$E$27)</v>
      </c>
    </row>
    <row r="518" spans="1:5" x14ac:dyDescent="0.3">
      <c r="A518" s="7" t="s">
        <v>32</v>
      </c>
      <c r="B518" s="7" t="s">
        <v>84</v>
      </c>
      <c r="C518" s="7" t="s">
        <v>857</v>
      </c>
      <c r="D518" s="8">
        <f>D373*(inputs!$E$26*inputs!$E$27)</f>
        <v>3863134.7432629196</v>
      </c>
      <c r="E518" s="7" t="str">
        <f t="shared" ca="1" si="8"/>
        <v>=D373*(inputs!$E$26*inputs!$E$27)</v>
      </c>
    </row>
    <row r="519" spans="1:5" x14ac:dyDescent="0.3">
      <c r="A519" s="7" t="s">
        <v>32</v>
      </c>
      <c r="B519" s="7" t="s">
        <v>84</v>
      </c>
      <c r="C519" s="7" t="s">
        <v>858</v>
      </c>
      <c r="D519" s="8">
        <f>D374*(inputs!$E$26*inputs!$E$27)</f>
        <v>3746865.6393394722</v>
      </c>
      <c r="E519" s="7" t="str">
        <f t="shared" ca="1" si="8"/>
        <v>=D374*(inputs!$E$26*inputs!$E$27)</v>
      </c>
    </row>
    <row r="520" spans="1:5" x14ac:dyDescent="0.3">
      <c r="A520" s="7" t="s">
        <v>32</v>
      </c>
      <c r="B520" s="7" t="s">
        <v>84</v>
      </c>
      <c r="C520" s="7" t="s">
        <v>859</v>
      </c>
      <c r="D520" s="8">
        <f>D375*(inputs!$E$26*inputs!$E$27)</f>
        <v>3634095.8967962461</v>
      </c>
      <c r="E520" s="7" t="str">
        <f t="shared" ca="1" si="8"/>
        <v>=D375*(inputs!$E$26*inputs!$E$27)</v>
      </c>
    </row>
    <row r="521" spans="1:5" x14ac:dyDescent="0.3">
      <c r="A521" s="7" t="s">
        <v>32</v>
      </c>
      <c r="B521" s="7" t="s">
        <v>84</v>
      </c>
      <c r="C521" s="7" t="s">
        <v>860</v>
      </c>
      <c r="D521" s="8">
        <f>D376*(inputs!$E$26*inputs!$E$27)</f>
        <v>3524720.19504801</v>
      </c>
      <c r="E521" s="7" t="str">
        <f t="shared" ca="1" si="8"/>
        <v>=D376*(inputs!$E$26*inputs!$E$27)</v>
      </c>
    </row>
    <row r="522" spans="1:5" x14ac:dyDescent="0.3">
      <c r="A522" s="7" t="s">
        <v>32</v>
      </c>
      <c r="B522" s="7" t="s">
        <v>84</v>
      </c>
      <c r="C522" s="7" t="s">
        <v>861</v>
      </c>
      <c r="D522" s="8">
        <f>D377*(inputs!$E$26*inputs!$E$27)</f>
        <v>3415214.3249105955</v>
      </c>
      <c r="E522" s="7" t="str">
        <f t="shared" ca="1" si="8"/>
        <v>=D377*(inputs!$E$26*inputs!$E$27)</v>
      </c>
    </row>
    <row r="523" spans="1:5" x14ac:dyDescent="0.3">
      <c r="A523" s="7" t="s">
        <v>32</v>
      </c>
      <c r="B523" s="7" t="s">
        <v>84</v>
      </c>
      <c r="C523" s="7" t="s">
        <v>862</v>
      </c>
      <c r="D523" s="8">
        <f>D378*(inputs!$E$26*inputs!$E$27)</f>
        <v>3309110.5788939563</v>
      </c>
      <c r="E523" s="7" t="str">
        <f t="shared" ca="1" si="8"/>
        <v>=D378*(inputs!$E$26*inputs!$E$27)</v>
      </c>
    </row>
    <row r="524" spans="1:5" x14ac:dyDescent="0.3">
      <c r="A524" s="7" t="s">
        <v>32</v>
      </c>
      <c r="B524" s="7" t="s">
        <v>84</v>
      </c>
      <c r="C524" s="7" t="s">
        <v>863</v>
      </c>
      <c r="D524" s="8">
        <f>D379*(inputs!$E$26*inputs!$E$27)</f>
        <v>3206303.2599380272</v>
      </c>
      <c r="E524" s="7" t="str">
        <f t="shared" ca="1" si="8"/>
        <v>=D379*(inputs!$E$26*inputs!$E$27)</v>
      </c>
    </row>
    <row r="525" spans="1:5" x14ac:dyDescent="0.3">
      <c r="A525" s="7" t="s">
        <v>32</v>
      </c>
      <c r="B525" s="7" t="s">
        <v>84</v>
      </c>
      <c r="C525" s="7" t="s">
        <v>864</v>
      </c>
      <c r="D525" s="8">
        <f>D380*(inputs!$E$26*inputs!$E$27)</f>
        <v>3106689.9547749041</v>
      </c>
      <c r="E525" s="7" t="str">
        <f t="shared" ca="1" si="8"/>
        <v>=D380*(inputs!$E$26*inputs!$E$27)</v>
      </c>
    </row>
    <row r="526" spans="1:5" x14ac:dyDescent="0.3">
      <c r="A526" s="7" t="s">
        <v>32</v>
      </c>
      <c r="B526" s="7" t="s">
        <v>84</v>
      </c>
      <c r="C526" s="7" t="s">
        <v>865</v>
      </c>
      <c r="D526" s="8">
        <f>D381*(inputs!$E$26*inputs!$E$27)</f>
        <v>3010171.4319081111</v>
      </c>
      <c r="E526" s="7" t="str">
        <f t="shared" ca="1" si="8"/>
        <v>=D381*(inputs!$E$26*inputs!$E$27)</v>
      </c>
    </row>
    <row r="527" spans="1:5" x14ac:dyDescent="0.3">
      <c r="A527" s="7" t="s">
        <v>32</v>
      </c>
      <c r="B527" s="7" t="s">
        <v>84</v>
      </c>
      <c r="C527" s="7" t="s">
        <v>866</v>
      </c>
      <c r="D527" s="8">
        <f>D382*(inputs!$E$26*inputs!$E$27)</f>
        <v>2916651.5427614516</v>
      </c>
      <c r="E527" s="7" t="str">
        <f t="shared" ca="1" si="8"/>
        <v>=D382*(inputs!$E$26*inputs!$E$27)</v>
      </c>
    </row>
    <row r="528" spans="1:5" x14ac:dyDescent="0.3">
      <c r="A528" s="7" t="s">
        <v>32</v>
      </c>
      <c r="B528" s="7" t="s">
        <v>84</v>
      </c>
      <c r="C528" s="7" t="s">
        <v>867</v>
      </c>
      <c r="D528" s="8">
        <f>D383*(inputs!$E$26*inputs!$E$27)</f>
        <v>2826037.12589896</v>
      </c>
      <c r="E528" s="7" t="str">
        <f t="shared" ca="1" si="8"/>
        <v>=D383*(inputs!$E$26*inputs!$E$27)</v>
      </c>
    </row>
    <row r="529" spans="1:6" x14ac:dyDescent="0.3">
      <c r="A529" s="7" t="s">
        <v>32</v>
      </c>
      <c r="B529" s="7" t="s">
        <v>84</v>
      </c>
      <c r="C529" s="7" t="s">
        <v>868</v>
      </c>
      <c r="D529" s="8">
        <f>D384*(inputs!$E$26*inputs!$E$27)</f>
        <v>2738237.9142205454</v>
      </c>
      <c r="E529" s="7" t="str">
        <f t="shared" ca="1" si="8"/>
        <v>=D384*(inputs!$E$26*inputs!$E$27)</v>
      </c>
    </row>
    <row r="530" spans="1:6" x14ac:dyDescent="0.3">
      <c r="A530" s="7" t="s">
        <v>32</v>
      </c>
      <c r="B530" s="7" t="s">
        <v>84</v>
      </c>
      <c r="C530" s="7" t="s">
        <v>869</v>
      </c>
      <c r="D530" s="8">
        <f>D385*(inputs!$E$26*inputs!$E$27)</f>
        <v>2653166.4450408788</v>
      </c>
      <c r="E530" s="7" t="str">
        <f t="shared" ca="1" si="8"/>
        <v>=D385*(inputs!$E$26*inputs!$E$27)</v>
      </c>
    </row>
    <row r="531" spans="1:6" x14ac:dyDescent="0.3">
      <c r="A531" s="7" t="s">
        <v>32</v>
      </c>
      <c r="B531" s="7" t="s">
        <v>84</v>
      </c>
      <c r="C531" s="7" t="s">
        <v>870</v>
      </c>
      <c r="D531" s="8">
        <f>D386*(inputs!$E$26*inputs!$E$27)</f>
        <v>2570737.972961938</v>
      </c>
      <c r="E531" s="7" t="str">
        <f t="shared" ca="1" si="8"/>
        <v>=D386*(inputs!$E$26*inputs!$E$27)</v>
      </c>
    </row>
    <row r="532" spans="1:6" x14ac:dyDescent="0.3">
      <c r="A532" s="7" t="s">
        <v>32</v>
      </c>
      <c r="B532" s="7" t="s">
        <v>84</v>
      </c>
      <c r="C532" s="7" t="s">
        <v>871</v>
      </c>
      <c r="D532" s="8">
        <f>D387*(inputs!$E$26*inputs!$E$27)</f>
        <v>2490870.3854524414</v>
      </c>
      <c r="E532" s="7" t="str">
        <f t="shared" ca="1" si="8"/>
        <v>=D387*(inputs!$E$26*inputs!$E$27)</v>
      </c>
    </row>
    <row r="533" spans="1:6" x14ac:dyDescent="0.3">
      <c r="A533" s="7" t="s">
        <v>32</v>
      </c>
      <c r="B533" s="7" t="s">
        <v>84</v>
      </c>
      <c r="C533" s="7" t="s">
        <v>872</v>
      </c>
      <c r="D533" s="8">
        <f>D388*(inputs!$E$26*inputs!$E$27)</f>
        <v>2413484.1210500356</v>
      </c>
      <c r="E533" s="7" t="str">
        <f t="shared" ca="1" si="8"/>
        <v>=D388*(inputs!$E$26*inputs!$E$27)</v>
      </c>
    </row>
    <row r="534" spans="1:6" x14ac:dyDescent="0.3">
      <c r="A534" s="7" t="s">
        <v>32</v>
      </c>
      <c r="B534" s="7" t="s">
        <v>84</v>
      </c>
      <c r="C534" s="7" t="s">
        <v>873</v>
      </c>
      <c r="D534" s="8">
        <f>D389*(inputs!$E$26*inputs!$E$27)</f>
        <v>2338502.0901047913</v>
      </c>
      <c r="E534" s="7" t="str">
        <f t="shared" ca="1" si="8"/>
        <v>=D389*(inputs!$E$26*inputs!$E$27)</v>
      </c>
    </row>
    <row r="535" spans="1:6" x14ac:dyDescent="0.3">
      <c r="A535" s="7" t="s">
        <v>32</v>
      </c>
      <c r="B535" s="7" t="s">
        <v>84</v>
      </c>
      <c r="C535" s="7" t="s">
        <v>874</v>
      </c>
      <c r="D535" s="8">
        <f>D390*(inputs!$E$26*inputs!$E$27)</f>
        <v>2265849.5979850311</v>
      </c>
      <c r="E535" s="7" t="str">
        <f t="shared" ca="1" si="8"/>
        <v>=D390*(inputs!$E$26*inputs!$E$27)</v>
      </c>
    </row>
    <row r="536" spans="1:6" x14ac:dyDescent="0.3">
      <c r="A536" s="7" t="s">
        <v>32</v>
      </c>
      <c r="B536" s="7" t="s">
        <v>84</v>
      </c>
      <c r="C536" s="7" t="s">
        <v>875</v>
      </c>
      <c r="D536" s="8">
        <f>D391*(inputs!$E$26*inputs!$E$27)</f>
        <v>2195454.2706689914</v>
      </c>
      <c r="E536" s="7" t="str">
        <f t="shared" ref="E536:E599" ca="1" si="9">_xlfn.FORMULATEXT(D536)</f>
        <v>=D391*(inputs!$E$26*inputs!$E$27)</v>
      </c>
    </row>
    <row r="537" spans="1:6" s="14" customFormat="1" x14ac:dyDescent="0.3">
      <c r="A537" s="14" t="s">
        <v>32</v>
      </c>
      <c r="B537" s="14" t="s">
        <v>84</v>
      </c>
      <c r="C537" s="14" t="s">
        <v>876</v>
      </c>
      <c r="D537" s="15">
        <f>D392*(inputs!$E$26*inputs!$E$27)</f>
        <v>0</v>
      </c>
      <c r="E537" s="14" t="str">
        <f t="shared" ca="1" si="9"/>
        <v>=D392*(inputs!$E$26*inputs!$E$27)</v>
      </c>
      <c r="F537"/>
    </row>
    <row r="538" spans="1:6" s="14" customFormat="1" x14ac:dyDescent="0.3">
      <c r="A538" s="14" t="s">
        <v>32</v>
      </c>
      <c r="B538" s="14" t="s">
        <v>84</v>
      </c>
      <c r="C538" s="14" t="s">
        <v>877</v>
      </c>
      <c r="D538" s="15">
        <f>D393*(inputs!$E$26*inputs!$E$27)</f>
        <v>0</v>
      </c>
      <c r="E538" s="14" t="str">
        <f t="shared" ca="1" si="9"/>
        <v>=D393*(inputs!$E$26*inputs!$E$27)</v>
      </c>
      <c r="F538"/>
    </row>
    <row r="539" spans="1:6" s="14" customFormat="1" x14ac:dyDescent="0.3">
      <c r="A539" s="14" t="s">
        <v>32</v>
      </c>
      <c r="B539" s="14" t="s">
        <v>84</v>
      </c>
      <c r="C539" s="14" t="s">
        <v>878</v>
      </c>
      <c r="D539" s="15">
        <f>D394*(inputs!$E$26*inputs!$E$27)</f>
        <v>0</v>
      </c>
      <c r="E539" s="14" t="str">
        <f t="shared" ca="1" si="9"/>
        <v>=D394*(inputs!$E$26*inputs!$E$27)</v>
      </c>
      <c r="F539"/>
    </row>
    <row r="540" spans="1:6" s="14" customFormat="1" x14ac:dyDescent="0.3">
      <c r="A540" s="14" t="s">
        <v>32</v>
      </c>
      <c r="B540" s="14" t="s">
        <v>84</v>
      </c>
      <c r="C540" s="14" t="s">
        <v>879</v>
      </c>
      <c r="D540" s="15">
        <f>D395*(inputs!$E$26*inputs!$E$27)</f>
        <v>0</v>
      </c>
      <c r="E540" s="14" t="str">
        <f t="shared" ca="1" si="9"/>
        <v>=D395*(inputs!$E$26*inputs!$E$27)</v>
      </c>
      <c r="F540"/>
    </row>
    <row r="541" spans="1:6" s="14" customFormat="1" x14ac:dyDescent="0.3">
      <c r="A541" s="14" t="s">
        <v>32</v>
      </c>
      <c r="B541" s="14" t="s">
        <v>84</v>
      </c>
      <c r="C541" s="14" t="s">
        <v>880</v>
      </c>
      <c r="D541" s="15">
        <f>D396*(inputs!$E$26*inputs!$E$27)</f>
        <v>0</v>
      </c>
      <c r="E541" s="14" t="str">
        <f t="shared" ca="1" si="9"/>
        <v>=D396*(inputs!$E$26*inputs!$E$27)</v>
      </c>
      <c r="F541"/>
    </row>
    <row r="542" spans="1:6" s="14" customFormat="1" x14ac:dyDescent="0.3">
      <c r="A542" s="14" t="s">
        <v>32</v>
      </c>
      <c r="B542" s="14" t="s">
        <v>84</v>
      </c>
      <c r="C542" s="14" t="s">
        <v>881</v>
      </c>
      <c r="D542" s="15">
        <f>D397*(inputs!$E$26*inputs!$E$27)</f>
        <v>0</v>
      </c>
      <c r="E542" s="14" t="str">
        <f t="shared" ca="1" si="9"/>
        <v>=D397*(inputs!$E$26*inputs!$E$27)</v>
      </c>
      <c r="F542"/>
    </row>
    <row r="543" spans="1:6" s="14" customFormat="1" x14ac:dyDescent="0.3">
      <c r="A543" s="14" t="s">
        <v>32</v>
      </c>
      <c r="B543" s="14" t="s">
        <v>84</v>
      </c>
      <c r="C543" s="14" t="s">
        <v>882</v>
      </c>
      <c r="D543" s="15">
        <f>D398*(inputs!$E$26*inputs!$E$27)</f>
        <v>0</v>
      </c>
      <c r="E543" s="14" t="str">
        <f t="shared" ca="1" si="9"/>
        <v>=D398*(inputs!$E$26*inputs!$E$27)</v>
      </c>
      <c r="F543"/>
    </row>
    <row r="544" spans="1:6" s="14" customFormat="1" x14ac:dyDescent="0.3">
      <c r="A544" s="14" t="s">
        <v>32</v>
      </c>
      <c r="B544" s="14" t="s">
        <v>84</v>
      </c>
      <c r="C544" s="14" t="s">
        <v>883</v>
      </c>
      <c r="D544" s="15">
        <f>D399*(inputs!$E$26*inputs!$E$27)</f>
        <v>0</v>
      </c>
      <c r="E544" s="14" t="str">
        <f t="shared" ca="1" si="9"/>
        <v>=D399*(inputs!$E$26*inputs!$E$27)</v>
      </c>
      <c r="F544"/>
    </row>
    <row r="545" spans="1:6" s="14" customFormat="1" x14ac:dyDescent="0.3">
      <c r="A545" s="14" t="s">
        <v>32</v>
      </c>
      <c r="B545" s="14" t="s">
        <v>84</v>
      </c>
      <c r="C545" s="14" t="s">
        <v>884</v>
      </c>
      <c r="D545" s="15">
        <f>D400*(inputs!$E$26*inputs!$E$27)</f>
        <v>0</v>
      </c>
      <c r="E545" s="14" t="str">
        <f t="shared" ca="1" si="9"/>
        <v>=D400*(inputs!$E$26*inputs!$E$27)</v>
      </c>
      <c r="F545"/>
    </row>
    <row r="546" spans="1:6" s="14" customFormat="1" x14ac:dyDescent="0.3">
      <c r="A546" s="14" t="s">
        <v>32</v>
      </c>
      <c r="B546" s="14" t="s">
        <v>84</v>
      </c>
      <c r="C546" s="14" t="s">
        <v>885</v>
      </c>
      <c r="D546" s="15">
        <f>D401*(inputs!$E$26*inputs!$E$27)</f>
        <v>0</v>
      </c>
      <c r="E546" s="14" t="str">
        <f t="shared" ca="1" si="9"/>
        <v>=D401*(inputs!$E$26*inputs!$E$27)</v>
      </c>
      <c r="F546"/>
    </row>
    <row r="547" spans="1:6" s="14" customFormat="1" x14ac:dyDescent="0.3">
      <c r="A547" s="14" t="s">
        <v>32</v>
      </c>
      <c r="B547" s="14" t="s">
        <v>84</v>
      </c>
      <c r="C547" s="14" t="s">
        <v>886</v>
      </c>
      <c r="D547" s="15">
        <f>D402*(inputs!$E$26*inputs!$E$27)</f>
        <v>0</v>
      </c>
      <c r="E547" s="14" t="str">
        <f t="shared" ca="1" si="9"/>
        <v>=D402*(inputs!$E$26*inputs!$E$27)</v>
      </c>
      <c r="F547"/>
    </row>
    <row r="548" spans="1:6" s="14" customFormat="1" x14ac:dyDescent="0.3">
      <c r="A548" s="14" t="s">
        <v>32</v>
      </c>
      <c r="B548" s="14" t="s">
        <v>84</v>
      </c>
      <c r="C548" s="14" t="s">
        <v>887</v>
      </c>
      <c r="D548" s="15">
        <f>D403*(inputs!$E$26*inputs!$E$27)</f>
        <v>0</v>
      </c>
      <c r="E548" s="14" t="str">
        <f t="shared" ca="1" si="9"/>
        <v>=D403*(inputs!$E$26*inputs!$E$27)</v>
      </c>
      <c r="F548"/>
    </row>
    <row r="549" spans="1:6" s="14" customFormat="1" x14ac:dyDescent="0.3">
      <c r="A549" s="14" t="s">
        <v>32</v>
      </c>
      <c r="B549" s="14" t="s">
        <v>84</v>
      </c>
      <c r="C549" s="14" t="s">
        <v>888</v>
      </c>
      <c r="D549" s="15">
        <f>D404*(inputs!$E$26*inputs!$E$27)</f>
        <v>0</v>
      </c>
      <c r="E549" s="14" t="str">
        <f t="shared" ca="1" si="9"/>
        <v>=D404*(inputs!$E$26*inputs!$E$27)</v>
      </c>
      <c r="F549"/>
    </row>
    <row r="550" spans="1:6" s="14" customFormat="1" x14ac:dyDescent="0.3">
      <c r="A550" s="14" t="s">
        <v>32</v>
      </c>
      <c r="B550" s="14" t="s">
        <v>84</v>
      </c>
      <c r="C550" s="14" t="s">
        <v>889</v>
      </c>
      <c r="D550" s="15">
        <f>D405*(inputs!$E$26*inputs!$E$27)</f>
        <v>0</v>
      </c>
      <c r="E550" s="14" t="str">
        <f t="shared" ca="1" si="9"/>
        <v>=D405*(inputs!$E$26*inputs!$E$27)</v>
      </c>
      <c r="F550"/>
    </row>
    <row r="551" spans="1:6" s="14" customFormat="1" x14ac:dyDescent="0.3">
      <c r="A551" s="14" t="s">
        <v>32</v>
      </c>
      <c r="B551" s="14" t="s">
        <v>84</v>
      </c>
      <c r="C551" s="14" t="s">
        <v>890</v>
      </c>
      <c r="D551" s="15">
        <f>D406*(inputs!$E$26*inputs!$E$27)</f>
        <v>0</v>
      </c>
      <c r="E551" s="14" t="str">
        <f t="shared" ca="1" si="9"/>
        <v>=D406*(inputs!$E$26*inputs!$E$27)</v>
      </c>
      <c r="F551"/>
    </row>
    <row r="552" spans="1:6" s="14" customFormat="1" x14ac:dyDescent="0.3">
      <c r="A552" s="14" t="s">
        <v>32</v>
      </c>
      <c r="B552" s="14" t="s">
        <v>84</v>
      </c>
      <c r="C552" s="14" t="s">
        <v>891</v>
      </c>
      <c r="D552" s="15">
        <f>D407*(inputs!$E$26*inputs!$E$27)</f>
        <v>0</v>
      </c>
      <c r="E552" s="14" t="str">
        <f t="shared" ca="1" si="9"/>
        <v>=D407*(inputs!$E$26*inputs!$E$27)</v>
      </c>
      <c r="F552"/>
    </row>
    <row r="553" spans="1:6" s="14" customFormat="1" x14ac:dyDescent="0.3">
      <c r="A553" s="14" t="s">
        <v>32</v>
      </c>
      <c r="B553" s="14" t="s">
        <v>84</v>
      </c>
      <c r="C553" s="14" t="s">
        <v>892</v>
      </c>
      <c r="D553" s="15">
        <f>D408*(inputs!$E$26*inputs!$E$27)</f>
        <v>0</v>
      </c>
      <c r="E553" s="14" t="str">
        <f t="shared" ca="1" si="9"/>
        <v>=D408*(inputs!$E$26*inputs!$E$27)</v>
      </c>
      <c r="F553"/>
    </row>
    <row r="554" spans="1:6" s="14" customFormat="1" x14ac:dyDescent="0.3">
      <c r="A554" s="14" t="s">
        <v>32</v>
      </c>
      <c r="B554" s="14" t="s">
        <v>84</v>
      </c>
      <c r="C554" s="14" t="s">
        <v>893</v>
      </c>
      <c r="D554" s="15">
        <f>D409*(inputs!$E$26*inputs!$E$27)</f>
        <v>0</v>
      </c>
      <c r="E554" s="14" t="str">
        <f t="shared" ca="1" si="9"/>
        <v>=D409*(inputs!$E$26*inputs!$E$27)</v>
      </c>
      <c r="F554"/>
    </row>
    <row r="555" spans="1:6" s="14" customFormat="1" x14ac:dyDescent="0.3">
      <c r="A555" s="14" t="s">
        <v>32</v>
      </c>
      <c r="B555" s="14" t="s">
        <v>84</v>
      </c>
      <c r="C555" s="14" t="s">
        <v>894</v>
      </c>
      <c r="D555" s="15">
        <f>D410*(inputs!$E$26*inputs!$E$27)</f>
        <v>0</v>
      </c>
      <c r="E555" s="14" t="str">
        <f t="shared" ca="1" si="9"/>
        <v>=D410*(inputs!$E$26*inputs!$E$27)</v>
      </c>
      <c r="F555"/>
    </row>
    <row r="556" spans="1:6" s="14" customFormat="1" x14ac:dyDescent="0.3">
      <c r="A556" s="14" t="s">
        <v>32</v>
      </c>
      <c r="B556" s="14" t="s">
        <v>84</v>
      </c>
      <c r="C556" s="14" t="s">
        <v>895</v>
      </c>
      <c r="D556" s="15">
        <f>D411*(inputs!$E$26*inputs!$E$27)</f>
        <v>0</v>
      </c>
      <c r="E556" s="14" t="str">
        <f t="shared" ca="1" si="9"/>
        <v>=D411*(inputs!$E$26*inputs!$E$27)</v>
      </c>
      <c r="F556"/>
    </row>
    <row r="557" spans="1:6" s="14" customFormat="1" x14ac:dyDescent="0.3">
      <c r="A557" s="14" t="s">
        <v>32</v>
      </c>
      <c r="B557" s="14" t="s">
        <v>84</v>
      </c>
      <c r="C557" s="14" t="s">
        <v>896</v>
      </c>
      <c r="D557" s="15">
        <f>D412*(inputs!$E$26*inputs!$E$27)</f>
        <v>0</v>
      </c>
      <c r="E557" s="14" t="str">
        <f t="shared" ca="1" si="9"/>
        <v>=D412*(inputs!$E$26*inputs!$E$27)</v>
      </c>
      <c r="F557"/>
    </row>
    <row r="558" spans="1:6" s="14" customFormat="1" x14ac:dyDescent="0.3">
      <c r="A558" s="14" t="s">
        <v>32</v>
      </c>
      <c r="B558" s="14" t="s">
        <v>84</v>
      </c>
      <c r="C558" s="14" t="s">
        <v>897</v>
      </c>
      <c r="D558" s="15">
        <f>D413*(inputs!$E$26*inputs!$E$27)</f>
        <v>0</v>
      </c>
      <c r="E558" s="14" t="str">
        <f t="shared" ca="1" si="9"/>
        <v>=D413*(inputs!$E$26*inputs!$E$27)</v>
      </c>
      <c r="F558"/>
    </row>
    <row r="559" spans="1:6" s="14" customFormat="1" x14ac:dyDescent="0.3">
      <c r="A559" s="14" t="s">
        <v>32</v>
      </c>
      <c r="B559" s="14" t="s">
        <v>84</v>
      </c>
      <c r="C559" s="14" t="s">
        <v>898</v>
      </c>
      <c r="D559" s="15">
        <f>D414*(inputs!$E$26*inputs!$E$27)</f>
        <v>0</v>
      </c>
      <c r="E559" s="14" t="str">
        <f t="shared" ca="1" si="9"/>
        <v>=D414*(inputs!$E$26*inputs!$E$27)</v>
      </c>
      <c r="F559"/>
    </row>
    <row r="560" spans="1:6" s="14" customFormat="1" x14ac:dyDescent="0.3">
      <c r="A560" s="14" t="s">
        <v>32</v>
      </c>
      <c r="B560" s="14" t="s">
        <v>84</v>
      </c>
      <c r="C560" s="14" t="s">
        <v>899</v>
      </c>
      <c r="D560" s="15">
        <f>D415*(inputs!$E$26*inputs!$E$27)</f>
        <v>0</v>
      </c>
      <c r="E560" s="14" t="str">
        <f t="shared" ca="1" si="9"/>
        <v>=D415*(inputs!$E$26*inputs!$E$27)</v>
      </c>
      <c r="F560"/>
    </row>
    <row r="561" spans="1:6" s="14" customFormat="1" x14ac:dyDescent="0.3">
      <c r="A561" s="14" t="s">
        <v>32</v>
      </c>
      <c r="B561" s="14" t="s">
        <v>84</v>
      </c>
      <c r="C561" s="14" t="s">
        <v>900</v>
      </c>
      <c r="D561" s="15">
        <f>D416*(inputs!$E$26*inputs!$E$27)</f>
        <v>0</v>
      </c>
      <c r="E561" s="14" t="str">
        <f t="shared" ca="1" si="9"/>
        <v>=D416*(inputs!$E$26*inputs!$E$27)</v>
      </c>
      <c r="F561"/>
    </row>
    <row r="562" spans="1:6" s="14" customFormat="1" x14ac:dyDescent="0.3">
      <c r="A562" s="14" t="s">
        <v>32</v>
      </c>
      <c r="B562" s="14" t="s">
        <v>84</v>
      </c>
      <c r="C562" s="14" t="s">
        <v>901</v>
      </c>
      <c r="D562" s="15">
        <f>D417*(inputs!$E$26*inputs!$E$27)</f>
        <v>0</v>
      </c>
      <c r="E562" s="14" t="str">
        <f t="shared" ca="1" si="9"/>
        <v>=D417*(inputs!$E$26*inputs!$E$27)</v>
      </c>
      <c r="F562"/>
    </row>
    <row r="563" spans="1:6" s="14" customFormat="1" x14ac:dyDescent="0.3">
      <c r="A563" s="14" t="s">
        <v>32</v>
      </c>
      <c r="B563" s="14" t="s">
        <v>84</v>
      </c>
      <c r="C563" s="14" t="s">
        <v>902</v>
      </c>
      <c r="D563" s="15">
        <f>D418*(inputs!$E$26*inputs!$E$27)</f>
        <v>0</v>
      </c>
      <c r="E563" s="14" t="str">
        <f t="shared" ca="1" si="9"/>
        <v>=D418*(inputs!$E$26*inputs!$E$27)</v>
      </c>
      <c r="F563"/>
    </row>
    <row r="564" spans="1:6" s="14" customFormat="1" x14ac:dyDescent="0.3">
      <c r="A564" s="14" t="s">
        <v>32</v>
      </c>
      <c r="B564" s="14" t="s">
        <v>84</v>
      </c>
      <c r="C564" s="14" t="s">
        <v>903</v>
      </c>
      <c r="D564" s="15">
        <f>D419*(inputs!$E$26*inputs!$E$27)</f>
        <v>0</v>
      </c>
      <c r="E564" s="14" t="str">
        <f t="shared" ca="1" si="9"/>
        <v>=D419*(inputs!$E$26*inputs!$E$27)</v>
      </c>
      <c r="F564"/>
    </row>
    <row r="565" spans="1:6" s="14" customFormat="1" x14ac:dyDescent="0.3">
      <c r="A565" s="14" t="s">
        <v>32</v>
      </c>
      <c r="B565" s="14" t="s">
        <v>84</v>
      </c>
      <c r="C565" s="14" t="s">
        <v>904</v>
      </c>
      <c r="D565" s="15">
        <f>D420*(inputs!$E$26*inputs!$E$27)</f>
        <v>0</v>
      </c>
      <c r="E565" s="14" t="str">
        <f t="shared" ca="1" si="9"/>
        <v>=D420*(inputs!$E$26*inputs!$E$27)</v>
      </c>
      <c r="F565"/>
    </row>
    <row r="566" spans="1:6" s="14" customFormat="1" x14ac:dyDescent="0.3">
      <c r="A566" s="14" t="s">
        <v>32</v>
      </c>
      <c r="B566" s="14" t="s">
        <v>84</v>
      </c>
      <c r="C566" s="14" t="s">
        <v>905</v>
      </c>
      <c r="D566" s="15">
        <f>D421*(inputs!$E$26*inputs!$E$27)</f>
        <v>0</v>
      </c>
      <c r="E566" s="14" t="str">
        <f t="shared" ca="1" si="9"/>
        <v>=D421*(inputs!$E$26*inputs!$E$27)</v>
      </c>
      <c r="F566"/>
    </row>
    <row r="567" spans="1:6" s="14" customFormat="1" x14ac:dyDescent="0.3">
      <c r="A567" s="14" t="s">
        <v>32</v>
      </c>
      <c r="B567" s="14" t="s">
        <v>84</v>
      </c>
      <c r="C567" s="14" t="s">
        <v>906</v>
      </c>
      <c r="D567" s="15">
        <f>D422*(inputs!$E$26*inputs!$E$27)</f>
        <v>0</v>
      </c>
      <c r="E567" s="14" t="str">
        <f t="shared" ca="1" si="9"/>
        <v>=D422*(inputs!$E$26*inputs!$E$27)</v>
      </c>
      <c r="F567"/>
    </row>
    <row r="568" spans="1:6" s="14" customFormat="1" x14ac:dyDescent="0.3">
      <c r="A568" s="14" t="s">
        <v>32</v>
      </c>
      <c r="B568" s="14" t="s">
        <v>84</v>
      </c>
      <c r="C568" s="14" t="s">
        <v>907</v>
      </c>
      <c r="D568" s="15">
        <f>D423*(inputs!$E$26*inputs!$E$27)</f>
        <v>0</v>
      </c>
      <c r="E568" s="14" t="str">
        <f t="shared" ca="1" si="9"/>
        <v>=D423*(inputs!$E$26*inputs!$E$27)</v>
      </c>
      <c r="F568"/>
    </row>
    <row r="569" spans="1:6" s="14" customFormat="1" x14ac:dyDescent="0.3">
      <c r="A569" s="14" t="s">
        <v>32</v>
      </c>
      <c r="B569" s="14" t="s">
        <v>84</v>
      </c>
      <c r="C569" s="14" t="s">
        <v>908</v>
      </c>
      <c r="D569" s="15">
        <f>D424*(inputs!$E$26*inputs!$E$27)</f>
        <v>0</v>
      </c>
      <c r="E569" s="14" t="str">
        <f t="shared" ca="1" si="9"/>
        <v>=D424*(inputs!$E$26*inputs!$E$27)</v>
      </c>
      <c r="F569"/>
    </row>
    <row r="570" spans="1:6" s="14" customFormat="1" x14ac:dyDescent="0.3">
      <c r="A570" s="14" t="s">
        <v>32</v>
      </c>
      <c r="B570" s="14" t="s">
        <v>84</v>
      </c>
      <c r="C570" s="14" t="s">
        <v>909</v>
      </c>
      <c r="D570" s="15">
        <f>D425*(inputs!$E$26*inputs!$E$27)</f>
        <v>0</v>
      </c>
      <c r="E570" s="14" t="str">
        <f t="shared" ca="1" si="9"/>
        <v>=D425*(inputs!$E$26*inputs!$E$27)</v>
      </c>
      <c r="F570"/>
    </row>
    <row r="571" spans="1:6" s="14" customFormat="1" x14ac:dyDescent="0.3">
      <c r="A571" s="14" t="s">
        <v>32</v>
      </c>
      <c r="B571" s="14" t="s">
        <v>84</v>
      </c>
      <c r="C571" s="14" t="s">
        <v>910</v>
      </c>
      <c r="D571" s="15">
        <f>D426*(inputs!$E$26*inputs!$E$27)</f>
        <v>0</v>
      </c>
      <c r="E571" s="14" t="str">
        <f t="shared" ca="1" si="9"/>
        <v>=D426*(inputs!$E$26*inputs!$E$27)</v>
      </c>
      <c r="F571"/>
    </row>
    <row r="572" spans="1:6" s="14" customFormat="1" x14ac:dyDescent="0.3">
      <c r="A572" s="14" t="s">
        <v>32</v>
      </c>
      <c r="B572" s="14" t="s">
        <v>84</v>
      </c>
      <c r="C572" s="14" t="s">
        <v>911</v>
      </c>
      <c r="D572" s="15">
        <f>D427*(inputs!$E$26*inputs!$E$27)</f>
        <v>0</v>
      </c>
      <c r="E572" s="14" t="str">
        <f t="shared" ca="1" si="9"/>
        <v>=D427*(inputs!$E$26*inputs!$E$27)</v>
      </c>
      <c r="F572"/>
    </row>
    <row r="573" spans="1:6" s="14" customFormat="1" x14ac:dyDescent="0.3">
      <c r="A573" s="14" t="s">
        <v>32</v>
      </c>
      <c r="B573" s="14" t="s">
        <v>84</v>
      </c>
      <c r="C573" s="14" t="s">
        <v>912</v>
      </c>
      <c r="D573" s="15">
        <f>D428*(inputs!$E$26*inputs!$E$27)</f>
        <v>0</v>
      </c>
      <c r="E573" s="14" t="str">
        <f t="shared" ca="1" si="9"/>
        <v>=D428*(inputs!$E$26*inputs!$E$27)</v>
      </c>
      <c r="F573"/>
    </row>
    <row r="574" spans="1:6" s="14" customFormat="1" x14ac:dyDescent="0.3">
      <c r="A574" s="14" t="s">
        <v>32</v>
      </c>
      <c r="B574" s="14" t="s">
        <v>84</v>
      </c>
      <c r="C574" s="14" t="s">
        <v>913</v>
      </c>
      <c r="D574" s="15">
        <f>D429*(inputs!$E$26*inputs!$E$27)</f>
        <v>0</v>
      </c>
      <c r="E574" s="14" t="str">
        <f t="shared" ca="1" si="9"/>
        <v>=D429*(inputs!$E$26*inputs!$E$27)</v>
      </c>
      <c r="F574"/>
    </row>
    <row r="575" spans="1:6" s="14" customFormat="1" x14ac:dyDescent="0.3">
      <c r="A575" s="14" t="s">
        <v>32</v>
      </c>
      <c r="B575" s="14" t="s">
        <v>84</v>
      </c>
      <c r="C575" s="14" t="s">
        <v>914</v>
      </c>
      <c r="D575" s="15">
        <f>D430*(inputs!$E$26*inputs!$E$27)</f>
        <v>0</v>
      </c>
      <c r="E575" s="14" t="str">
        <f t="shared" ca="1" si="9"/>
        <v>=D430*(inputs!$E$26*inputs!$E$27)</v>
      </c>
      <c r="F575"/>
    </row>
    <row r="576" spans="1:6" s="14" customFormat="1" x14ac:dyDescent="0.3">
      <c r="A576" s="14" t="s">
        <v>32</v>
      </c>
      <c r="B576" s="14" t="s">
        <v>84</v>
      </c>
      <c r="C576" s="14" t="s">
        <v>915</v>
      </c>
      <c r="D576" s="15">
        <f>D431*(inputs!$E$26*inputs!$E$27)</f>
        <v>0</v>
      </c>
      <c r="E576" s="14" t="str">
        <f t="shared" ca="1" si="9"/>
        <v>=D431*(inputs!$E$26*inputs!$E$27)</v>
      </c>
      <c r="F576"/>
    </row>
    <row r="577" spans="1:6" s="14" customFormat="1" x14ac:dyDescent="0.3">
      <c r="A577" s="14" t="s">
        <v>32</v>
      </c>
      <c r="B577" s="14" t="s">
        <v>84</v>
      </c>
      <c r="C577" s="14" t="s">
        <v>916</v>
      </c>
      <c r="D577" s="15">
        <f>D432*(inputs!$E$26*inputs!$E$27)</f>
        <v>0</v>
      </c>
      <c r="E577" s="14" t="str">
        <f t="shared" ca="1" si="9"/>
        <v>=D432*(inputs!$E$26*inputs!$E$27)</v>
      </c>
      <c r="F577"/>
    </row>
    <row r="578" spans="1:6" s="14" customFormat="1" x14ac:dyDescent="0.3">
      <c r="A578" s="14" t="s">
        <v>32</v>
      </c>
      <c r="B578" s="14" t="s">
        <v>84</v>
      </c>
      <c r="C578" s="14" t="s">
        <v>917</v>
      </c>
      <c r="D578" s="15">
        <f>D433*(inputs!$E$26*inputs!$E$27)</f>
        <v>0</v>
      </c>
      <c r="E578" s="14" t="str">
        <f t="shared" ca="1" si="9"/>
        <v>=D433*(inputs!$E$26*inputs!$E$27)</v>
      </c>
      <c r="F578"/>
    </row>
    <row r="579" spans="1:6" s="14" customFormat="1" x14ac:dyDescent="0.3">
      <c r="A579" s="14" t="s">
        <v>32</v>
      </c>
      <c r="B579" s="14" t="s">
        <v>84</v>
      </c>
      <c r="C579" s="14" t="s">
        <v>918</v>
      </c>
      <c r="D579" s="15">
        <f>D434*(inputs!$E$26*inputs!$E$27)</f>
        <v>0</v>
      </c>
      <c r="E579" s="14" t="str">
        <f t="shared" ca="1" si="9"/>
        <v>=D434*(inputs!$E$26*inputs!$E$27)</v>
      </c>
      <c r="F579"/>
    </row>
    <row r="580" spans="1:6" s="14" customFormat="1" x14ac:dyDescent="0.3">
      <c r="A580" s="14" t="s">
        <v>32</v>
      </c>
      <c r="B580" s="14" t="s">
        <v>84</v>
      </c>
      <c r="C580" s="14" t="s">
        <v>919</v>
      </c>
      <c r="D580" s="15">
        <f>D435*(inputs!$E$26*inputs!$E$27)</f>
        <v>0</v>
      </c>
      <c r="E580" s="14" t="str">
        <f t="shared" ca="1" si="9"/>
        <v>=D435*(inputs!$E$26*inputs!$E$27)</v>
      </c>
      <c r="F580"/>
    </row>
    <row r="581" spans="1:6" s="14" customFormat="1" x14ac:dyDescent="0.3">
      <c r="A581" s="14" t="s">
        <v>32</v>
      </c>
      <c r="B581" s="14" t="s">
        <v>84</v>
      </c>
      <c r="C581" s="14" t="s">
        <v>920</v>
      </c>
      <c r="D581" s="15">
        <f>D436*(inputs!$E$26*inputs!$E$27)</f>
        <v>0</v>
      </c>
      <c r="E581" s="14" t="str">
        <f t="shared" ca="1" si="9"/>
        <v>=D436*(inputs!$E$26*inputs!$E$27)</v>
      </c>
      <c r="F581"/>
    </row>
    <row r="582" spans="1:6" s="14" customFormat="1" x14ac:dyDescent="0.3">
      <c r="A582" s="14" t="s">
        <v>32</v>
      </c>
      <c r="B582" s="14" t="s">
        <v>84</v>
      </c>
      <c r="C582" s="14" t="s">
        <v>921</v>
      </c>
      <c r="D582" s="15">
        <f>D437*(inputs!$E$26*inputs!$E$27)</f>
        <v>0</v>
      </c>
      <c r="E582" s="14" t="str">
        <f t="shared" ca="1" si="9"/>
        <v>=D437*(inputs!$E$26*inputs!$E$27)</v>
      </c>
      <c r="F582"/>
    </row>
    <row r="583" spans="1:6" s="14" customFormat="1" x14ac:dyDescent="0.3">
      <c r="A583" s="14" t="s">
        <v>32</v>
      </c>
      <c r="B583" s="14" t="s">
        <v>84</v>
      </c>
      <c r="C583" s="14" t="s">
        <v>922</v>
      </c>
      <c r="D583" s="15">
        <f>D438*(inputs!$E$26*inputs!$E$27)</f>
        <v>0</v>
      </c>
      <c r="E583" s="14" t="str">
        <f t="shared" ca="1" si="9"/>
        <v>=D438*(inputs!$E$26*inputs!$E$27)</v>
      </c>
      <c r="F583"/>
    </row>
    <row r="584" spans="1:6" s="14" customFormat="1" x14ac:dyDescent="0.3">
      <c r="A584" s="14" t="s">
        <v>32</v>
      </c>
      <c r="B584" s="14" t="s">
        <v>84</v>
      </c>
      <c r="C584" s="14" t="s">
        <v>923</v>
      </c>
      <c r="D584" s="15">
        <f>D439*(inputs!$E$26*inputs!$E$27)</f>
        <v>0</v>
      </c>
      <c r="E584" s="14" t="str">
        <f t="shared" ca="1" si="9"/>
        <v>=D439*(inputs!$E$26*inputs!$E$27)</v>
      </c>
      <c r="F584"/>
    </row>
    <row r="585" spans="1:6" s="14" customFormat="1" x14ac:dyDescent="0.3">
      <c r="A585" s="14" t="s">
        <v>32</v>
      </c>
      <c r="B585" s="14" t="s">
        <v>84</v>
      </c>
      <c r="C585" s="14" t="s">
        <v>924</v>
      </c>
      <c r="D585" s="15">
        <f>D440*(inputs!$E$26*inputs!$E$27)</f>
        <v>0</v>
      </c>
      <c r="E585" s="14" t="str">
        <f t="shared" ca="1" si="9"/>
        <v>=D440*(inputs!$E$26*inputs!$E$27)</v>
      </c>
      <c r="F585"/>
    </row>
    <row r="586" spans="1:6" s="14" customFormat="1" x14ac:dyDescent="0.3">
      <c r="A586" s="14" t="s">
        <v>32</v>
      </c>
      <c r="B586" s="14" t="s">
        <v>84</v>
      </c>
      <c r="C586" s="14" t="s">
        <v>925</v>
      </c>
      <c r="D586" s="15">
        <f>D441*(inputs!$E$26*inputs!$E$27)</f>
        <v>0</v>
      </c>
      <c r="E586" s="14" t="str">
        <f t="shared" ca="1" si="9"/>
        <v>=D441*(inputs!$E$26*inputs!$E$27)</v>
      </c>
      <c r="F586"/>
    </row>
    <row r="587" spans="1:6" s="14" customFormat="1" x14ac:dyDescent="0.3">
      <c r="A587" s="14" t="s">
        <v>32</v>
      </c>
      <c r="B587" s="14" t="s">
        <v>84</v>
      </c>
      <c r="C587" s="14" t="s">
        <v>926</v>
      </c>
      <c r="D587" s="15">
        <f>D442*(inputs!$E$26*inputs!$E$27)</f>
        <v>0</v>
      </c>
      <c r="E587" s="14" t="str">
        <f t="shared" ca="1" si="9"/>
        <v>=D442*(inputs!$E$26*inputs!$E$27)</v>
      </c>
      <c r="F587"/>
    </row>
    <row r="588" spans="1:6" s="14" customFormat="1" x14ac:dyDescent="0.3">
      <c r="A588" s="14" t="s">
        <v>32</v>
      </c>
      <c r="B588" s="14" t="s">
        <v>84</v>
      </c>
      <c r="C588" s="14" t="s">
        <v>927</v>
      </c>
      <c r="D588" s="15">
        <f>D443*(inputs!$E$26*inputs!$E$27)</f>
        <v>0</v>
      </c>
      <c r="E588" s="14" t="str">
        <f t="shared" ca="1" si="9"/>
        <v>=D443*(inputs!$E$26*inputs!$E$27)</v>
      </c>
      <c r="F588"/>
    </row>
    <row r="589" spans="1:6" s="14" customFormat="1" x14ac:dyDescent="0.3">
      <c r="A589" s="14" t="s">
        <v>32</v>
      </c>
      <c r="B589" s="14" t="s">
        <v>84</v>
      </c>
      <c r="C589" s="14" t="s">
        <v>928</v>
      </c>
      <c r="D589" s="15">
        <f>D444*(inputs!$E$26*inputs!$E$27)</f>
        <v>0</v>
      </c>
      <c r="E589" s="14" t="str">
        <f t="shared" ca="1" si="9"/>
        <v>=D444*(inputs!$E$26*inputs!$E$27)</v>
      </c>
      <c r="F589"/>
    </row>
    <row r="590" spans="1:6" s="14" customFormat="1" x14ac:dyDescent="0.3">
      <c r="A590" s="14" t="s">
        <v>32</v>
      </c>
      <c r="B590" s="14" t="s">
        <v>84</v>
      </c>
      <c r="C590" s="14" t="s">
        <v>929</v>
      </c>
      <c r="D590" s="15">
        <f>D445*(inputs!$E$26*inputs!$E$27)</f>
        <v>0</v>
      </c>
      <c r="E590" s="14" t="str">
        <f t="shared" ca="1" si="9"/>
        <v>=D445*(inputs!$E$26*inputs!$E$27)</v>
      </c>
      <c r="F590"/>
    </row>
    <row r="591" spans="1:6" s="14" customFormat="1" x14ac:dyDescent="0.3">
      <c r="A591" s="14" t="s">
        <v>32</v>
      </c>
      <c r="B591" s="14" t="s">
        <v>84</v>
      </c>
      <c r="C591" s="14" t="s">
        <v>930</v>
      </c>
      <c r="D591" s="15">
        <f>D446*(inputs!$E$26*inputs!$E$27)</f>
        <v>0</v>
      </c>
      <c r="E591" s="14" t="str">
        <f t="shared" ca="1" si="9"/>
        <v>=D446*(inputs!$E$26*inputs!$E$27)</v>
      </c>
      <c r="F591"/>
    </row>
    <row r="592" spans="1:6" s="14" customFormat="1" x14ac:dyDescent="0.3">
      <c r="A592" s="14" t="s">
        <v>32</v>
      </c>
      <c r="B592" s="14" t="s">
        <v>84</v>
      </c>
      <c r="C592" s="14" t="s">
        <v>931</v>
      </c>
      <c r="D592" s="15">
        <f>D447*(inputs!$E$26*inputs!$E$27)</f>
        <v>0</v>
      </c>
      <c r="E592" s="14" t="str">
        <f t="shared" ca="1" si="9"/>
        <v>=D447*(inputs!$E$26*inputs!$E$27)</v>
      </c>
      <c r="F592"/>
    </row>
    <row r="593" spans="1:6" s="14" customFormat="1" x14ac:dyDescent="0.3">
      <c r="A593" s="14" t="s">
        <v>32</v>
      </c>
      <c r="B593" s="14" t="s">
        <v>84</v>
      </c>
      <c r="C593" s="14" t="s">
        <v>932</v>
      </c>
      <c r="D593" s="15">
        <f>D448*(inputs!$E$26*inputs!$E$27)</f>
        <v>0</v>
      </c>
      <c r="E593" s="14" t="str">
        <f t="shared" ca="1" si="9"/>
        <v>=D448*(inputs!$E$26*inputs!$E$27)</v>
      </c>
      <c r="F593"/>
    </row>
    <row r="594" spans="1:6" s="14" customFormat="1" x14ac:dyDescent="0.3">
      <c r="A594" s="14" t="s">
        <v>32</v>
      </c>
      <c r="B594" s="14" t="s">
        <v>84</v>
      </c>
      <c r="C594" s="14" t="s">
        <v>933</v>
      </c>
      <c r="D594" s="15">
        <f>D449*(inputs!$E$26*inputs!$E$27)</f>
        <v>0</v>
      </c>
      <c r="E594" s="14" t="str">
        <f t="shared" ca="1" si="9"/>
        <v>=D449*(inputs!$E$26*inputs!$E$27)</v>
      </c>
      <c r="F594"/>
    </row>
    <row r="595" spans="1:6" s="14" customFormat="1" x14ac:dyDescent="0.3">
      <c r="A595" s="14" t="s">
        <v>32</v>
      </c>
      <c r="B595" s="14" t="s">
        <v>84</v>
      </c>
      <c r="C595" s="14" t="s">
        <v>934</v>
      </c>
      <c r="D595" s="15">
        <f>D450*(inputs!$E$26*inputs!$E$27)</f>
        <v>0</v>
      </c>
      <c r="E595" s="14" t="str">
        <f t="shared" ca="1" si="9"/>
        <v>=D450*(inputs!$E$26*inputs!$E$27)</v>
      </c>
      <c r="F595"/>
    </row>
    <row r="596" spans="1:6" s="14" customFormat="1" x14ac:dyDescent="0.3">
      <c r="A596" s="14" t="s">
        <v>32</v>
      </c>
      <c r="B596" s="14" t="s">
        <v>84</v>
      </c>
      <c r="C596" s="14" t="s">
        <v>935</v>
      </c>
      <c r="D596" s="15">
        <f>D451*(inputs!$E$26*inputs!$E$27)</f>
        <v>0</v>
      </c>
      <c r="E596" s="14" t="str">
        <f t="shared" ca="1" si="9"/>
        <v>=D451*(inputs!$E$26*inputs!$E$27)</v>
      </c>
      <c r="F596"/>
    </row>
    <row r="597" spans="1:6" s="14" customFormat="1" x14ac:dyDescent="0.3">
      <c r="A597" s="14" t="s">
        <v>32</v>
      </c>
      <c r="B597" s="14" t="s">
        <v>84</v>
      </c>
      <c r="C597" s="14" t="s">
        <v>936</v>
      </c>
      <c r="D597" s="15">
        <f>D452*(inputs!$E$26*inputs!$E$27)</f>
        <v>0</v>
      </c>
      <c r="E597" s="14" t="str">
        <f t="shared" ca="1" si="9"/>
        <v>=D452*(inputs!$E$26*inputs!$E$27)</v>
      </c>
      <c r="F597"/>
    </row>
    <row r="598" spans="1:6" s="14" customFormat="1" x14ac:dyDescent="0.3">
      <c r="A598" s="14" t="s">
        <v>32</v>
      </c>
      <c r="B598" s="14" t="s">
        <v>84</v>
      </c>
      <c r="C598" s="14" t="s">
        <v>937</v>
      </c>
      <c r="D598" s="15">
        <f>D453*(inputs!$E$26*inputs!$E$27)</f>
        <v>0</v>
      </c>
      <c r="E598" s="14" t="str">
        <f t="shared" ca="1" si="9"/>
        <v>=D453*(inputs!$E$26*inputs!$E$27)</v>
      </c>
      <c r="F598"/>
    </row>
    <row r="599" spans="1:6" s="14" customFormat="1" x14ac:dyDescent="0.3">
      <c r="A599" s="14" t="s">
        <v>32</v>
      </c>
      <c r="B599" s="14" t="s">
        <v>84</v>
      </c>
      <c r="C599" s="14" t="s">
        <v>938</v>
      </c>
      <c r="D599" s="15">
        <f>D454*(inputs!$E$26*inputs!$E$27)</f>
        <v>0</v>
      </c>
      <c r="E599" s="14" t="str">
        <f t="shared" ca="1" si="9"/>
        <v>=D454*(inputs!$E$26*inputs!$E$27)</v>
      </c>
      <c r="F599"/>
    </row>
    <row r="600" spans="1:6" s="14" customFormat="1" x14ac:dyDescent="0.3">
      <c r="A600" s="14" t="s">
        <v>32</v>
      </c>
      <c r="B600" s="14" t="s">
        <v>84</v>
      </c>
      <c r="C600" s="14" t="s">
        <v>939</v>
      </c>
      <c r="D600" s="15">
        <f>D455*(inputs!$E$26*inputs!$E$27)</f>
        <v>0</v>
      </c>
      <c r="E600" s="14" t="str">
        <f t="shared" ref="E600:E644" ca="1" si="10">_xlfn.FORMULATEXT(D600)</f>
        <v>=D455*(inputs!$E$26*inputs!$E$27)</v>
      </c>
      <c r="F600"/>
    </row>
    <row r="601" spans="1:6" s="14" customFormat="1" x14ac:dyDescent="0.3">
      <c r="A601" s="14" t="s">
        <v>32</v>
      </c>
      <c r="B601" s="14" t="s">
        <v>84</v>
      </c>
      <c r="C601" s="14" t="s">
        <v>940</v>
      </c>
      <c r="D601" s="15">
        <f>D456*(inputs!$E$26*inputs!$E$27)</f>
        <v>0</v>
      </c>
      <c r="E601" s="14" t="str">
        <f t="shared" ca="1" si="10"/>
        <v>=D456*(inputs!$E$26*inputs!$E$27)</v>
      </c>
      <c r="F601"/>
    </row>
    <row r="602" spans="1:6" s="14" customFormat="1" x14ac:dyDescent="0.3">
      <c r="A602" s="14" t="s">
        <v>32</v>
      </c>
      <c r="B602" s="14" t="s">
        <v>84</v>
      </c>
      <c r="C602" s="14" t="s">
        <v>941</v>
      </c>
      <c r="D602" s="15">
        <f>D457*(inputs!$E$26*inputs!$E$27)</f>
        <v>0</v>
      </c>
      <c r="E602" s="14" t="str">
        <f t="shared" ca="1" si="10"/>
        <v>=D457*(inputs!$E$26*inputs!$E$27)</v>
      </c>
      <c r="F602"/>
    </row>
    <row r="603" spans="1:6" s="14" customFormat="1" x14ac:dyDescent="0.3">
      <c r="A603" s="14" t="s">
        <v>32</v>
      </c>
      <c r="B603" s="14" t="s">
        <v>84</v>
      </c>
      <c r="C603" s="14" t="s">
        <v>942</v>
      </c>
      <c r="D603" s="15">
        <f>D458*(inputs!$E$26*inputs!$E$27)</f>
        <v>0</v>
      </c>
      <c r="E603" s="14" t="str">
        <f t="shared" ca="1" si="10"/>
        <v>=D458*(inputs!$E$26*inputs!$E$27)</v>
      </c>
      <c r="F603"/>
    </row>
    <row r="604" spans="1:6" s="14" customFormat="1" x14ac:dyDescent="0.3">
      <c r="A604" s="14" t="s">
        <v>32</v>
      </c>
      <c r="B604" s="14" t="s">
        <v>84</v>
      </c>
      <c r="C604" s="14" t="s">
        <v>943</v>
      </c>
      <c r="D604" s="15">
        <f>D459*(inputs!$E$26*inputs!$E$27)</f>
        <v>0</v>
      </c>
      <c r="E604" s="14" t="str">
        <f t="shared" ca="1" si="10"/>
        <v>=D459*(inputs!$E$26*inputs!$E$27)</v>
      </c>
      <c r="F604"/>
    </row>
    <row r="605" spans="1:6" s="14" customFormat="1" x14ac:dyDescent="0.3">
      <c r="A605" s="14" t="s">
        <v>32</v>
      </c>
      <c r="B605" s="14" t="s">
        <v>84</v>
      </c>
      <c r="C605" s="14" t="s">
        <v>944</v>
      </c>
      <c r="D605" s="15">
        <f>D460*(inputs!$E$26*inputs!$E$27)</f>
        <v>0</v>
      </c>
      <c r="E605" s="14" t="str">
        <f t="shared" ca="1" si="10"/>
        <v>=D460*(inputs!$E$26*inputs!$E$27)</v>
      </c>
      <c r="F605"/>
    </row>
    <row r="606" spans="1:6" s="14" customFormat="1" x14ac:dyDescent="0.3">
      <c r="A606" s="14" t="s">
        <v>32</v>
      </c>
      <c r="B606" s="14" t="s">
        <v>84</v>
      </c>
      <c r="C606" s="14" t="s">
        <v>945</v>
      </c>
      <c r="D606" s="15">
        <f>D461*(inputs!$E$26*inputs!$E$27)</f>
        <v>0</v>
      </c>
      <c r="E606" s="14" t="str">
        <f t="shared" ca="1" si="10"/>
        <v>=D461*(inputs!$E$26*inputs!$E$27)</v>
      </c>
      <c r="F606"/>
    </row>
    <row r="607" spans="1:6" s="14" customFormat="1" x14ac:dyDescent="0.3">
      <c r="A607" s="14" t="s">
        <v>32</v>
      </c>
      <c r="B607" s="14" t="s">
        <v>84</v>
      </c>
      <c r="C607" s="14" t="s">
        <v>946</v>
      </c>
      <c r="D607" s="15">
        <f>D462*(inputs!$E$26*inputs!$E$27)</f>
        <v>0</v>
      </c>
      <c r="E607" s="14" t="str">
        <f t="shared" ca="1" si="10"/>
        <v>=D462*(inputs!$E$26*inputs!$E$27)</v>
      </c>
      <c r="F607"/>
    </row>
    <row r="608" spans="1:6" s="14" customFormat="1" x14ac:dyDescent="0.3">
      <c r="A608" s="14" t="s">
        <v>32</v>
      </c>
      <c r="B608" s="14" t="s">
        <v>84</v>
      </c>
      <c r="C608" s="14" t="s">
        <v>947</v>
      </c>
      <c r="D608" s="15">
        <f>D463*(inputs!$E$26*inputs!$E$27)</f>
        <v>0</v>
      </c>
      <c r="E608" s="14" t="str">
        <f t="shared" ca="1" si="10"/>
        <v>=D463*(inputs!$E$26*inputs!$E$27)</v>
      </c>
      <c r="F608"/>
    </row>
    <row r="609" spans="1:6" s="14" customFormat="1" x14ac:dyDescent="0.3">
      <c r="A609" s="14" t="s">
        <v>32</v>
      </c>
      <c r="B609" s="14" t="s">
        <v>84</v>
      </c>
      <c r="C609" s="14" t="s">
        <v>948</v>
      </c>
      <c r="D609" s="15">
        <f>D464*(inputs!$E$26*inputs!$E$27)</f>
        <v>0</v>
      </c>
      <c r="E609" s="14" t="str">
        <f t="shared" ca="1" si="10"/>
        <v>=D464*(inputs!$E$26*inputs!$E$27)</v>
      </c>
      <c r="F609"/>
    </row>
    <row r="610" spans="1:6" s="14" customFormat="1" x14ac:dyDescent="0.3">
      <c r="A610" s="14" t="s">
        <v>32</v>
      </c>
      <c r="B610" s="14" t="s">
        <v>84</v>
      </c>
      <c r="C610" s="14" t="s">
        <v>949</v>
      </c>
      <c r="D610" s="15">
        <f>D465*(inputs!$E$26*inputs!$E$27)</f>
        <v>0</v>
      </c>
      <c r="E610" s="14" t="str">
        <f t="shared" ca="1" si="10"/>
        <v>=D465*(inputs!$E$26*inputs!$E$27)</v>
      </c>
      <c r="F610"/>
    </row>
    <row r="611" spans="1:6" s="14" customFormat="1" x14ac:dyDescent="0.3">
      <c r="A611" s="14" t="s">
        <v>32</v>
      </c>
      <c r="B611" s="14" t="s">
        <v>84</v>
      </c>
      <c r="C611" s="14" t="s">
        <v>950</v>
      </c>
      <c r="D611" s="15">
        <f>D466*(inputs!$E$26*inputs!$E$27)</f>
        <v>0</v>
      </c>
      <c r="E611" s="14" t="str">
        <f t="shared" ca="1" si="10"/>
        <v>=D466*(inputs!$E$26*inputs!$E$27)</v>
      </c>
      <c r="F611"/>
    </row>
    <row r="612" spans="1:6" s="14" customFormat="1" x14ac:dyDescent="0.3">
      <c r="A612" s="14" t="s">
        <v>32</v>
      </c>
      <c r="B612" s="14" t="s">
        <v>84</v>
      </c>
      <c r="C612" s="14" t="s">
        <v>951</v>
      </c>
      <c r="D612" s="15">
        <f>D467*(inputs!$E$26*inputs!$E$27)</f>
        <v>0</v>
      </c>
      <c r="E612" s="14" t="str">
        <f t="shared" ca="1" si="10"/>
        <v>=D467*(inputs!$E$26*inputs!$E$27)</v>
      </c>
      <c r="F612"/>
    </row>
    <row r="613" spans="1:6" s="14" customFormat="1" x14ac:dyDescent="0.3">
      <c r="A613" s="14" t="s">
        <v>32</v>
      </c>
      <c r="B613" s="14" t="s">
        <v>84</v>
      </c>
      <c r="C613" s="14" t="s">
        <v>952</v>
      </c>
      <c r="D613" s="15">
        <f>D468*(inputs!$E$26*inputs!$E$27)</f>
        <v>0</v>
      </c>
      <c r="E613" s="14" t="str">
        <f t="shared" ca="1" si="10"/>
        <v>=D468*(inputs!$E$26*inputs!$E$27)</v>
      </c>
      <c r="F613"/>
    </row>
    <row r="614" spans="1:6" s="14" customFormat="1" x14ac:dyDescent="0.3">
      <c r="A614" s="14" t="s">
        <v>32</v>
      </c>
      <c r="B614" s="14" t="s">
        <v>84</v>
      </c>
      <c r="C614" s="14" t="s">
        <v>953</v>
      </c>
      <c r="D614" s="15">
        <f>D469*(inputs!$E$26*inputs!$E$27)</f>
        <v>0</v>
      </c>
      <c r="E614" s="14" t="str">
        <f t="shared" ca="1" si="10"/>
        <v>=D469*(inputs!$E$26*inputs!$E$27)</v>
      </c>
      <c r="F614"/>
    </row>
    <row r="615" spans="1:6" s="14" customFormat="1" x14ac:dyDescent="0.3">
      <c r="A615" s="14" t="s">
        <v>32</v>
      </c>
      <c r="B615" s="14" t="s">
        <v>84</v>
      </c>
      <c r="C615" s="14" t="s">
        <v>954</v>
      </c>
      <c r="D615" s="15">
        <f>D470*(inputs!$E$26*inputs!$E$27)</f>
        <v>0</v>
      </c>
      <c r="E615" s="14" t="str">
        <f t="shared" ca="1" si="10"/>
        <v>=D470*(inputs!$E$26*inputs!$E$27)</v>
      </c>
      <c r="F615"/>
    </row>
    <row r="616" spans="1:6" s="14" customFormat="1" x14ac:dyDescent="0.3">
      <c r="A616" s="14" t="s">
        <v>32</v>
      </c>
      <c r="B616" s="14" t="s">
        <v>84</v>
      </c>
      <c r="C616" s="14" t="s">
        <v>955</v>
      </c>
      <c r="D616" s="15">
        <f>D471*(inputs!$E$26*inputs!$E$27)</f>
        <v>0</v>
      </c>
      <c r="E616" s="14" t="str">
        <f t="shared" ca="1" si="10"/>
        <v>=D471*(inputs!$E$26*inputs!$E$27)</v>
      </c>
      <c r="F616"/>
    </row>
    <row r="617" spans="1:6" s="14" customFormat="1" x14ac:dyDescent="0.3">
      <c r="A617" s="14" t="s">
        <v>32</v>
      </c>
      <c r="B617" s="14" t="s">
        <v>84</v>
      </c>
      <c r="C617" s="14" t="s">
        <v>956</v>
      </c>
      <c r="D617" s="15">
        <f>D472*(inputs!$E$26*inputs!$E$27)</f>
        <v>0</v>
      </c>
      <c r="E617" s="14" t="str">
        <f t="shared" ca="1" si="10"/>
        <v>=D472*(inputs!$E$26*inputs!$E$27)</v>
      </c>
      <c r="F617"/>
    </row>
    <row r="618" spans="1:6" s="14" customFormat="1" x14ac:dyDescent="0.3">
      <c r="A618" s="14" t="s">
        <v>32</v>
      </c>
      <c r="B618" s="14" t="s">
        <v>84</v>
      </c>
      <c r="C618" s="14" t="s">
        <v>957</v>
      </c>
      <c r="D618" s="15">
        <f>D473*(inputs!$E$26*inputs!$E$27)</f>
        <v>0</v>
      </c>
      <c r="E618" s="14" t="str">
        <f t="shared" ca="1" si="10"/>
        <v>=D473*(inputs!$E$26*inputs!$E$27)</v>
      </c>
      <c r="F618"/>
    </row>
    <row r="619" spans="1:6" s="14" customFormat="1" x14ac:dyDescent="0.3">
      <c r="A619" s="14" t="s">
        <v>32</v>
      </c>
      <c r="B619" s="14" t="s">
        <v>84</v>
      </c>
      <c r="C619" s="14" t="s">
        <v>958</v>
      </c>
      <c r="D619" s="15">
        <f>D474*(inputs!$E$26*inputs!$E$27)</f>
        <v>0</v>
      </c>
      <c r="E619" s="14" t="str">
        <f t="shared" ca="1" si="10"/>
        <v>=D474*(inputs!$E$26*inputs!$E$27)</v>
      </c>
      <c r="F619"/>
    </row>
    <row r="620" spans="1:6" s="14" customFormat="1" x14ac:dyDescent="0.3">
      <c r="A620" s="14" t="s">
        <v>32</v>
      </c>
      <c r="B620" s="14" t="s">
        <v>84</v>
      </c>
      <c r="C620" s="14" t="s">
        <v>959</v>
      </c>
      <c r="D620" s="15">
        <f>D475*(inputs!$E$26*inputs!$E$27)</f>
        <v>0</v>
      </c>
      <c r="E620" s="14" t="str">
        <f t="shared" ca="1" si="10"/>
        <v>=D475*(inputs!$E$26*inputs!$E$27)</v>
      </c>
      <c r="F620"/>
    </row>
    <row r="621" spans="1:6" s="14" customFormat="1" x14ac:dyDescent="0.3">
      <c r="A621" s="14" t="s">
        <v>32</v>
      </c>
      <c r="B621" s="14" t="s">
        <v>84</v>
      </c>
      <c r="C621" s="14" t="s">
        <v>960</v>
      </c>
      <c r="D621" s="15">
        <f>D476*(inputs!$E$26*inputs!$E$27)</f>
        <v>0</v>
      </c>
      <c r="E621" s="14" t="str">
        <f t="shared" ca="1" si="10"/>
        <v>=D476*(inputs!$E$26*inputs!$E$27)</v>
      </c>
      <c r="F621"/>
    </row>
    <row r="622" spans="1:6" s="14" customFormat="1" x14ac:dyDescent="0.3">
      <c r="A622" s="14" t="s">
        <v>32</v>
      </c>
      <c r="B622" s="14" t="s">
        <v>84</v>
      </c>
      <c r="C622" s="14" t="s">
        <v>961</v>
      </c>
      <c r="D622" s="15">
        <f>D477*(inputs!$E$26*inputs!$E$27)</f>
        <v>0</v>
      </c>
      <c r="E622" s="14" t="str">
        <f t="shared" ca="1" si="10"/>
        <v>=D477*(inputs!$E$26*inputs!$E$27)</v>
      </c>
      <c r="F622"/>
    </row>
    <row r="623" spans="1:6" s="14" customFormat="1" x14ac:dyDescent="0.3">
      <c r="A623" s="14" t="s">
        <v>32</v>
      </c>
      <c r="B623" s="14" t="s">
        <v>84</v>
      </c>
      <c r="C623" s="14" t="s">
        <v>962</v>
      </c>
      <c r="D623" s="15">
        <f>D478*(inputs!$E$26*inputs!$E$27)</f>
        <v>0</v>
      </c>
      <c r="E623" s="14" t="str">
        <f t="shared" ca="1" si="10"/>
        <v>=D478*(inputs!$E$26*inputs!$E$27)</v>
      </c>
      <c r="F623"/>
    </row>
    <row r="624" spans="1:6" s="14" customFormat="1" x14ac:dyDescent="0.3">
      <c r="A624" s="14" t="s">
        <v>32</v>
      </c>
      <c r="B624" s="14" t="s">
        <v>84</v>
      </c>
      <c r="C624" s="14" t="s">
        <v>963</v>
      </c>
      <c r="D624" s="15">
        <f>D479*(inputs!$E$26*inputs!$E$27)</f>
        <v>0</v>
      </c>
      <c r="E624" s="14" t="str">
        <f t="shared" ca="1" si="10"/>
        <v>=D479*(inputs!$E$26*inputs!$E$27)</v>
      </c>
      <c r="F624"/>
    </row>
    <row r="625" spans="1:6" s="14" customFormat="1" x14ac:dyDescent="0.3">
      <c r="A625" s="14" t="s">
        <v>32</v>
      </c>
      <c r="B625" s="14" t="s">
        <v>84</v>
      </c>
      <c r="C625" s="14" t="s">
        <v>964</v>
      </c>
      <c r="D625" s="15">
        <f>D480*(inputs!$E$26*inputs!$E$27)</f>
        <v>0</v>
      </c>
      <c r="E625" s="14" t="str">
        <f t="shared" ca="1" si="10"/>
        <v>=D480*(inputs!$E$26*inputs!$E$27)</v>
      </c>
      <c r="F625"/>
    </row>
    <row r="626" spans="1:6" s="14" customFormat="1" x14ac:dyDescent="0.3">
      <c r="A626" s="14" t="s">
        <v>32</v>
      </c>
      <c r="B626" s="14" t="s">
        <v>84</v>
      </c>
      <c r="C626" s="14" t="s">
        <v>965</v>
      </c>
      <c r="D626" s="15">
        <f>D481*(inputs!$E$26*inputs!$E$27)</f>
        <v>0</v>
      </c>
      <c r="E626" s="14" t="str">
        <f t="shared" ca="1" si="10"/>
        <v>=D481*(inputs!$E$26*inputs!$E$27)</v>
      </c>
      <c r="F626"/>
    </row>
    <row r="627" spans="1:6" s="14" customFormat="1" x14ac:dyDescent="0.3">
      <c r="A627" s="14" t="s">
        <v>32</v>
      </c>
      <c r="B627" s="14" t="s">
        <v>84</v>
      </c>
      <c r="C627" s="14" t="s">
        <v>966</v>
      </c>
      <c r="D627" s="15">
        <f>D482*(inputs!$E$26*inputs!$E$27)</f>
        <v>0</v>
      </c>
      <c r="E627" s="14" t="str">
        <f t="shared" ca="1" si="10"/>
        <v>=D482*(inputs!$E$26*inputs!$E$27)</v>
      </c>
      <c r="F627"/>
    </row>
    <row r="628" spans="1:6" s="14" customFormat="1" x14ac:dyDescent="0.3">
      <c r="A628" s="14" t="s">
        <v>32</v>
      </c>
      <c r="B628" s="14" t="s">
        <v>84</v>
      </c>
      <c r="C628" s="14" t="s">
        <v>967</v>
      </c>
      <c r="D628" s="15">
        <f>D483*(inputs!$E$26*inputs!$E$27)</f>
        <v>0</v>
      </c>
      <c r="E628" s="14" t="str">
        <f t="shared" ca="1" si="10"/>
        <v>=D483*(inputs!$E$26*inputs!$E$27)</v>
      </c>
      <c r="F628"/>
    </row>
    <row r="629" spans="1:6" s="14" customFormat="1" x14ac:dyDescent="0.3">
      <c r="A629" s="14" t="s">
        <v>32</v>
      </c>
      <c r="B629" s="14" t="s">
        <v>84</v>
      </c>
      <c r="C629" s="14" t="s">
        <v>968</v>
      </c>
      <c r="D629" s="15">
        <f>D484*(inputs!$E$26*inputs!$E$27)</f>
        <v>0</v>
      </c>
      <c r="E629" s="14" t="str">
        <f t="shared" ca="1" si="10"/>
        <v>=D484*(inputs!$E$26*inputs!$E$27)</v>
      </c>
      <c r="F629"/>
    </row>
    <row r="630" spans="1:6" s="14" customFormat="1" x14ac:dyDescent="0.3">
      <c r="A630" s="14" t="s">
        <v>32</v>
      </c>
      <c r="B630" s="14" t="s">
        <v>84</v>
      </c>
      <c r="C630" s="14" t="s">
        <v>969</v>
      </c>
      <c r="D630" s="15">
        <f>D485*(inputs!$E$26*inputs!$E$27)</f>
        <v>0</v>
      </c>
      <c r="E630" s="14" t="str">
        <f t="shared" ca="1" si="10"/>
        <v>=D485*(inputs!$E$26*inputs!$E$27)</v>
      </c>
      <c r="F630"/>
    </row>
    <row r="631" spans="1:6" s="14" customFormat="1" x14ac:dyDescent="0.3">
      <c r="A631" s="14" t="s">
        <v>32</v>
      </c>
      <c r="B631" s="14" t="s">
        <v>84</v>
      </c>
      <c r="C631" s="14" t="s">
        <v>970</v>
      </c>
      <c r="D631" s="15">
        <f>D486*(inputs!$E$26*inputs!$E$27)</f>
        <v>0</v>
      </c>
      <c r="E631" s="14" t="str">
        <f t="shared" ca="1" si="10"/>
        <v>=D486*(inputs!$E$26*inputs!$E$27)</v>
      </c>
      <c r="F631"/>
    </row>
    <row r="632" spans="1:6" s="14" customFormat="1" x14ac:dyDescent="0.3">
      <c r="A632" s="14" t="s">
        <v>32</v>
      </c>
      <c r="B632" s="14" t="s">
        <v>84</v>
      </c>
      <c r="C632" s="14" t="s">
        <v>971</v>
      </c>
      <c r="D632" s="15">
        <f>D487*(inputs!$E$26*inputs!$E$27)</f>
        <v>0</v>
      </c>
      <c r="E632" s="14" t="str">
        <f t="shared" ca="1" si="10"/>
        <v>=D487*(inputs!$E$26*inputs!$E$27)</v>
      </c>
      <c r="F632"/>
    </row>
    <row r="633" spans="1:6" s="14" customFormat="1" x14ac:dyDescent="0.3">
      <c r="A633" s="14" t="s">
        <v>32</v>
      </c>
      <c r="B633" s="14" t="s">
        <v>84</v>
      </c>
      <c r="C633" s="14" t="s">
        <v>972</v>
      </c>
      <c r="D633" s="15">
        <f>D488*(inputs!$E$26*inputs!$E$27)</f>
        <v>0</v>
      </c>
      <c r="E633" s="14" t="str">
        <f t="shared" ca="1" si="10"/>
        <v>=D488*(inputs!$E$26*inputs!$E$27)</v>
      </c>
      <c r="F633"/>
    </row>
    <row r="634" spans="1:6" s="14" customFormat="1" x14ac:dyDescent="0.3">
      <c r="A634" s="14" t="s">
        <v>32</v>
      </c>
      <c r="B634" s="14" t="s">
        <v>84</v>
      </c>
      <c r="C634" s="14" t="s">
        <v>973</v>
      </c>
      <c r="D634" s="15">
        <f>D489*(inputs!$E$26*inputs!$E$27)</f>
        <v>0</v>
      </c>
      <c r="E634" s="14" t="str">
        <f t="shared" ca="1" si="10"/>
        <v>=D489*(inputs!$E$26*inputs!$E$27)</v>
      </c>
      <c r="F634"/>
    </row>
    <row r="635" spans="1:6" s="14" customFormat="1" x14ac:dyDescent="0.3">
      <c r="A635" s="14" t="s">
        <v>32</v>
      </c>
      <c r="B635" s="14" t="s">
        <v>84</v>
      </c>
      <c r="C635" s="14" t="s">
        <v>974</v>
      </c>
      <c r="D635" s="15">
        <f>D490*(inputs!$E$26*inputs!$E$27)</f>
        <v>0</v>
      </c>
      <c r="E635" s="14" t="str">
        <f t="shared" ca="1" si="10"/>
        <v>=D490*(inputs!$E$26*inputs!$E$27)</v>
      </c>
      <c r="F635"/>
    </row>
    <row r="636" spans="1:6" s="14" customFormat="1" x14ac:dyDescent="0.3">
      <c r="A636" s="14" t="s">
        <v>32</v>
      </c>
      <c r="B636" s="14" t="s">
        <v>84</v>
      </c>
      <c r="C636" s="14" t="s">
        <v>975</v>
      </c>
      <c r="D636" s="15">
        <f>D491*(inputs!$E$26*inputs!$E$27)</f>
        <v>0</v>
      </c>
      <c r="E636" s="14" t="str">
        <f t="shared" ca="1" si="10"/>
        <v>=D491*(inputs!$E$26*inputs!$E$27)</v>
      </c>
      <c r="F636"/>
    </row>
    <row r="637" spans="1:6" s="14" customFormat="1" x14ac:dyDescent="0.3">
      <c r="A637" s="14" t="s">
        <v>32</v>
      </c>
      <c r="B637" s="14" t="s">
        <v>84</v>
      </c>
      <c r="C637" s="14" t="s">
        <v>976</v>
      </c>
      <c r="D637" s="15">
        <f>D492*(inputs!$E$26*inputs!$E$27)</f>
        <v>0</v>
      </c>
      <c r="E637" s="14" t="str">
        <f t="shared" ca="1" si="10"/>
        <v>=D492*(inputs!$E$26*inputs!$E$27)</v>
      </c>
      <c r="F637"/>
    </row>
    <row r="638" spans="1:6" s="14" customFormat="1" x14ac:dyDescent="0.3">
      <c r="A638" s="14" t="s">
        <v>32</v>
      </c>
      <c r="B638" s="14" t="s">
        <v>84</v>
      </c>
      <c r="C638" s="14" t="s">
        <v>977</v>
      </c>
      <c r="D638" s="15">
        <f>D493*(inputs!$E$26*inputs!$E$27)</f>
        <v>0</v>
      </c>
      <c r="E638" s="14" t="str">
        <f t="shared" ca="1" si="10"/>
        <v>=D493*(inputs!$E$26*inputs!$E$27)</v>
      </c>
      <c r="F638"/>
    </row>
    <row r="639" spans="1:6" s="14" customFormat="1" x14ac:dyDescent="0.3">
      <c r="A639" s="14" t="s">
        <v>32</v>
      </c>
      <c r="B639" s="14" t="s">
        <v>84</v>
      </c>
      <c r="C639" s="14" t="s">
        <v>978</v>
      </c>
      <c r="D639" s="15">
        <f>D494*(inputs!$E$26*inputs!$E$27)</f>
        <v>0</v>
      </c>
      <c r="E639" s="14" t="str">
        <f t="shared" ca="1" si="10"/>
        <v>=D494*(inputs!$E$26*inputs!$E$27)</v>
      </c>
      <c r="F639"/>
    </row>
    <row r="640" spans="1:6" s="14" customFormat="1" x14ac:dyDescent="0.3">
      <c r="A640" s="14" t="s">
        <v>32</v>
      </c>
      <c r="B640" s="14" t="s">
        <v>84</v>
      </c>
      <c r="C640" s="14" t="s">
        <v>979</v>
      </c>
      <c r="D640" s="15">
        <f>D495*(inputs!$E$26*inputs!$E$27)</f>
        <v>0</v>
      </c>
      <c r="E640" s="14" t="str">
        <f t="shared" ca="1" si="10"/>
        <v>=D495*(inputs!$E$26*inputs!$E$27)</v>
      </c>
      <c r="F640"/>
    </row>
    <row r="641" spans="1:6" s="14" customFormat="1" x14ac:dyDescent="0.3">
      <c r="A641" s="14" t="s">
        <v>32</v>
      </c>
      <c r="B641" s="14" t="s">
        <v>84</v>
      </c>
      <c r="C641" s="14" t="s">
        <v>980</v>
      </c>
      <c r="D641" s="15">
        <f>D496*(inputs!$E$26*inputs!$E$27)</f>
        <v>0</v>
      </c>
      <c r="E641" s="14" t="str">
        <f t="shared" ca="1" si="10"/>
        <v>=D496*(inputs!$E$26*inputs!$E$27)</v>
      </c>
      <c r="F641"/>
    </row>
    <row r="642" spans="1:6" s="14" customFormat="1" x14ac:dyDescent="0.3">
      <c r="A642" s="14" t="s">
        <v>32</v>
      </c>
      <c r="B642" s="14" t="s">
        <v>84</v>
      </c>
      <c r="C642" s="14" t="s">
        <v>981</v>
      </c>
      <c r="D642" s="15">
        <f>D497*(inputs!$E$26*inputs!$E$27)</f>
        <v>0</v>
      </c>
      <c r="E642" s="14" t="str">
        <f t="shared" ca="1" si="10"/>
        <v>=D497*(inputs!$E$26*inputs!$E$27)</v>
      </c>
      <c r="F642"/>
    </row>
    <row r="643" spans="1:6" s="14" customFormat="1" x14ac:dyDescent="0.3">
      <c r="A643" s="14" t="s">
        <v>32</v>
      </c>
      <c r="B643" s="14" t="s">
        <v>84</v>
      </c>
      <c r="C643" s="14" t="s">
        <v>982</v>
      </c>
      <c r="D643" s="15">
        <f>D498*(inputs!$E$26*inputs!$E$27)</f>
        <v>0</v>
      </c>
      <c r="E643" s="14" t="str">
        <f t="shared" ca="1" si="10"/>
        <v>=D498*(inputs!$E$26*inputs!$E$27)</v>
      </c>
      <c r="F643"/>
    </row>
    <row r="644" spans="1:6" s="14" customFormat="1" x14ac:dyDescent="0.3">
      <c r="A644" s="14" t="s">
        <v>32</v>
      </c>
      <c r="B644" s="14" t="s">
        <v>84</v>
      </c>
      <c r="C644" s="14" t="s">
        <v>983</v>
      </c>
      <c r="D644" s="15">
        <f>D499*(inputs!$E$26*inputs!$E$27)</f>
        <v>0</v>
      </c>
      <c r="E644" s="14" t="str">
        <f t="shared" ca="1" si="10"/>
        <v>=D499*(inputs!$E$26*inputs!$E$27)</v>
      </c>
      <c r="F644"/>
    </row>
    <row r="645" spans="1:6" x14ac:dyDescent="0.3">
      <c r="A645" s="7" t="s">
        <v>495</v>
      </c>
      <c r="B645" s="7" t="s">
        <v>749</v>
      </c>
      <c r="C645" s="7" t="s">
        <v>532</v>
      </c>
      <c r="D645" s="8">
        <f>(D174*inputs!$E$88)/(inputs!$E$31^inputs!E111)</f>
        <v>15269434.896151453</v>
      </c>
      <c r="E645" s="7" t="str">
        <f t="shared" ref="E645:E751" ca="1" si="11">_xlfn.FORMULATEXT(D645)</f>
        <v>=(D174*inputs!$E$88)/(inputs!$E$31^inputs!E111)</v>
      </c>
    </row>
    <row r="646" spans="1:6" x14ac:dyDescent="0.3">
      <c r="A646" s="7" t="s">
        <v>495</v>
      </c>
      <c r="B646" s="7" t="s">
        <v>749</v>
      </c>
      <c r="C646" s="7" t="s">
        <v>533</v>
      </c>
      <c r="D646" s="8">
        <f>(D175*inputs!$E$88)/(inputs!$E$31^inputs!E112)</f>
        <v>14820246.665711269</v>
      </c>
      <c r="E646" s="7" t="str">
        <f t="shared" ca="1" si="11"/>
        <v>=(D175*inputs!$E$88)/(inputs!$E$31^inputs!E112)</v>
      </c>
    </row>
    <row r="647" spans="1:6" x14ac:dyDescent="0.3">
      <c r="A647" s="7" t="s">
        <v>495</v>
      </c>
      <c r="B647" s="7" t="s">
        <v>749</v>
      </c>
      <c r="C647" s="7" t="s">
        <v>534</v>
      </c>
      <c r="D647" s="8">
        <f>(D176*inputs!$E$88)/(inputs!$E$31^inputs!E113)</f>
        <v>14384272.419137431</v>
      </c>
      <c r="E647" s="7" t="str">
        <f t="shared" ca="1" si="11"/>
        <v>=(D176*inputs!$E$88)/(inputs!$E$31^inputs!E113)</v>
      </c>
    </row>
    <row r="648" spans="1:6" x14ac:dyDescent="0.3">
      <c r="A648" s="7" t="s">
        <v>495</v>
      </c>
      <c r="B648" s="7" t="s">
        <v>749</v>
      </c>
      <c r="C648" s="7" t="s">
        <v>535</v>
      </c>
      <c r="D648" s="8">
        <f>(D177*inputs!$E$88)/(inputs!$E$31^inputs!E114)</f>
        <v>13961123.434380282</v>
      </c>
      <c r="E648" s="7" t="str">
        <f t="shared" ca="1" si="11"/>
        <v>=(D177*inputs!$E$88)/(inputs!$E$31^inputs!E114)</v>
      </c>
    </row>
    <row r="649" spans="1:6" x14ac:dyDescent="0.3">
      <c r="A649" s="7" t="s">
        <v>495</v>
      </c>
      <c r="B649" s="7" t="s">
        <v>749</v>
      </c>
      <c r="C649" s="7" t="s">
        <v>536</v>
      </c>
      <c r="D649" s="8">
        <f>(D178*inputs!$E$88)/(inputs!$E$31^inputs!E115)</f>
        <v>13550422.424611621</v>
      </c>
      <c r="E649" s="7" t="str">
        <f t="shared" ca="1" si="11"/>
        <v>=(D178*inputs!$E$88)/(inputs!$E$31^inputs!E115)</v>
      </c>
    </row>
    <row r="650" spans="1:6" x14ac:dyDescent="0.3">
      <c r="A650" s="7" t="s">
        <v>495</v>
      </c>
      <c r="B650" s="7" t="s">
        <v>749</v>
      </c>
      <c r="C650" s="7" t="s">
        <v>537</v>
      </c>
      <c r="D650" s="8">
        <f>(D179*inputs!$E$88)/(inputs!$E$31^inputs!E116)</f>
        <v>13142594.176880592</v>
      </c>
      <c r="E650" s="7" t="str">
        <f t="shared" ca="1" si="11"/>
        <v>=(D179*inputs!$E$88)/(inputs!$E$31^inputs!E116)</v>
      </c>
    </row>
    <row r="651" spans="1:6" x14ac:dyDescent="0.3">
      <c r="A651" s="7" t="s">
        <v>495</v>
      </c>
      <c r="B651" s="7" t="s">
        <v>749</v>
      </c>
      <c r="C651" s="7" t="s">
        <v>538</v>
      </c>
      <c r="D651" s="8">
        <f>(D180*inputs!$E$88)/(inputs!$E$31^inputs!E117)</f>
        <v>12747040.371557001</v>
      </c>
      <c r="E651" s="7" t="str">
        <f t="shared" ca="1" si="11"/>
        <v>=(D180*inputs!$E$88)/(inputs!$E$31^inputs!E117)</v>
      </c>
    </row>
    <row r="652" spans="1:6" x14ac:dyDescent="0.3">
      <c r="A652" s="7" t="s">
        <v>495</v>
      </c>
      <c r="B652" s="7" t="s">
        <v>749</v>
      </c>
      <c r="C652" s="7" t="s">
        <v>539</v>
      </c>
      <c r="D652" s="8">
        <f>(D181*inputs!$E$88)/(inputs!$E$31^inputs!E118)</f>
        <v>12363391.583675187</v>
      </c>
      <c r="E652" s="7" t="str">
        <f t="shared" ca="1" si="11"/>
        <v>=(D181*inputs!$E$88)/(inputs!$E$31^inputs!E118)</v>
      </c>
    </row>
    <row r="653" spans="1:6" x14ac:dyDescent="0.3">
      <c r="A653" s="7" t="s">
        <v>495</v>
      </c>
      <c r="B653" s="7" t="s">
        <v>749</v>
      </c>
      <c r="C653" s="7" t="s">
        <v>540</v>
      </c>
      <c r="D653" s="8">
        <f>(D182*inputs!$E$88)/(inputs!$E$31^inputs!E119)</f>
        <v>11991289.506884964</v>
      </c>
      <c r="E653" s="7" t="str">
        <f t="shared" ca="1" si="11"/>
        <v>=(D182*inputs!$E$88)/(inputs!$E$31^inputs!E119)</v>
      </c>
    </row>
    <row r="654" spans="1:6" x14ac:dyDescent="0.3">
      <c r="A654" s="7" t="s">
        <v>495</v>
      </c>
      <c r="B654" s="7" t="s">
        <v>749</v>
      </c>
      <c r="C654" s="7" t="s">
        <v>541</v>
      </c>
      <c r="D654" s="8">
        <f>(D183*inputs!$E$88)/(inputs!$E$31^inputs!E120)</f>
        <v>11630386.618813667</v>
      </c>
      <c r="E654" s="7" t="str">
        <f t="shared" ca="1" si="11"/>
        <v>=(D183*inputs!$E$88)/(inputs!$E$31^inputs!E120)</v>
      </c>
    </row>
    <row r="655" spans="1:6" x14ac:dyDescent="0.3">
      <c r="A655" s="7" t="s">
        <v>495</v>
      </c>
      <c r="B655" s="7" t="s">
        <v>749</v>
      </c>
      <c r="C655" s="7" t="s">
        <v>542</v>
      </c>
      <c r="D655" s="8">
        <f>(D184*inputs!$E$88)/(inputs!$E$31^inputs!E121)</f>
        <v>11269054.219005864</v>
      </c>
      <c r="E655" s="7" t="str">
        <f t="shared" ca="1" si="11"/>
        <v>=(D184*inputs!$E$88)/(inputs!$E$31^inputs!E121)</v>
      </c>
    </row>
    <row r="656" spans="1:6" x14ac:dyDescent="0.3">
      <c r="A656" s="7" t="s">
        <v>495</v>
      </c>
      <c r="B656" s="7" t="s">
        <v>749</v>
      </c>
      <c r="C656" s="7" t="s">
        <v>543</v>
      </c>
      <c r="D656" s="8">
        <f>(D185*inputs!$E$88)/(inputs!$E$31^inputs!E122)</f>
        <v>10918947.680162964</v>
      </c>
      <c r="E656" s="7" t="str">
        <f t="shared" ca="1" si="11"/>
        <v>=(D185*inputs!$E$88)/(inputs!$E$31^inputs!E122)</v>
      </c>
    </row>
    <row r="657" spans="1:5" x14ac:dyDescent="0.3">
      <c r="A657" s="7" t="s">
        <v>495</v>
      </c>
      <c r="B657" s="7" t="s">
        <v>749</v>
      </c>
      <c r="C657" s="7" t="s">
        <v>544</v>
      </c>
      <c r="D657" s="8">
        <f>(D186*inputs!$E$88)/(inputs!$E$31^inputs!E123)</f>
        <v>10579718.237672465</v>
      </c>
      <c r="E657" s="7" t="str">
        <f t="shared" ca="1" si="11"/>
        <v>=(D186*inputs!$E$88)/(inputs!$E$31^inputs!E123)</v>
      </c>
    </row>
    <row r="658" spans="1:5" x14ac:dyDescent="0.3">
      <c r="A658" s="7" t="s">
        <v>495</v>
      </c>
      <c r="B658" s="7" t="s">
        <v>749</v>
      </c>
      <c r="C658" s="7" t="s">
        <v>545</v>
      </c>
      <c r="D658" s="8">
        <f>(D187*inputs!$E$88)/(inputs!$E$31^inputs!E124)</f>
        <v>10251027.962327302</v>
      </c>
      <c r="E658" s="7" t="str">
        <f t="shared" ca="1" si="11"/>
        <v>=(D187*inputs!$E$88)/(inputs!$E$31^inputs!E124)</v>
      </c>
    </row>
    <row r="659" spans="1:5" x14ac:dyDescent="0.3">
      <c r="A659" s="7" t="s">
        <v>495</v>
      </c>
      <c r="B659" s="7" t="s">
        <v>749</v>
      </c>
      <c r="C659" s="7" t="s">
        <v>546</v>
      </c>
      <c r="D659" s="8">
        <f>(D188*inputs!$E$88)/(inputs!$E$31^inputs!E125)</f>
        <v>9932549.4236918911</v>
      </c>
      <c r="E659" s="7" t="str">
        <f t="shared" ca="1" si="11"/>
        <v>=(D188*inputs!$E$88)/(inputs!$E$31^inputs!E125)</v>
      </c>
    </row>
    <row r="660" spans="1:5" x14ac:dyDescent="0.3">
      <c r="A660" s="7" t="s">
        <v>495</v>
      </c>
      <c r="B660" s="7" t="s">
        <v>749</v>
      </c>
      <c r="C660" s="7" t="s">
        <v>547</v>
      </c>
      <c r="D660" s="8">
        <f>(D189*inputs!$E$88)/(inputs!$E$31^inputs!E126)</f>
        <v>9623965.3639267031</v>
      </c>
      <c r="E660" s="7" t="str">
        <f t="shared" ca="1" si="11"/>
        <v>=(D189*inputs!$E$88)/(inputs!$E$31^inputs!E126)</v>
      </c>
    </row>
    <row r="661" spans="1:5" x14ac:dyDescent="0.3">
      <c r="A661" s="7" t="s">
        <v>495</v>
      </c>
      <c r="B661" s="7" t="s">
        <v>749</v>
      </c>
      <c r="C661" s="7" t="s">
        <v>548</v>
      </c>
      <c r="D661" s="8">
        <f>(D190*inputs!$E$88)/(inputs!$E$31^inputs!E127)</f>
        <v>9324968.3817464579</v>
      </c>
      <c r="E661" s="7" t="str">
        <f t="shared" ca="1" si="11"/>
        <v>=(D190*inputs!$E$88)/(inputs!$E$31^inputs!E127)</v>
      </c>
    </row>
    <row r="662" spans="1:5" x14ac:dyDescent="0.3">
      <c r="A662" s="7" t="s">
        <v>495</v>
      </c>
      <c r="B662" s="7" t="s">
        <v>749</v>
      </c>
      <c r="C662" s="7" t="s">
        <v>549</v>
      </c>
      <c r="D662" s="8">
        <f>(D191*inputs!$E$88)/(inputs!$E$31^inputs!E128)</f>
        <v>9035260.6261970531</v>
      </c>
      <c r="E662" s="7" t="str">
        <f t="shared" ca="1" si="11"/>
        <v>=(D191*inputs!$E$88)/(inputs!$E$31^inputs!E128)</v>
      </c>
    </row>
    <row r="663" spans="1:5" x14ac:dyDescent="0.3">
      <c r="A663" s="7" t="s">
        <v>495</v>
      </c>
      <c r="B663" s="7" t="s">
        <v>749</v>
      </c>
      <c r="C663" s="7" t="s">
        <v>550</v>
      </c>
      <c r="D663" s="8">
        <f>(D192*inputs!$E$88)/(inputs!$E$31^inputs!E129)</f>
        <v>8754553.4999462701</v>
      </c>
      <c r="E663" s="7" t="str">
        <f t="shared" ca="1" si="11"/>
        <v>=(D192*inputs!$E$88)/(inputs!$E$31^inputs!E129)</v>
      </c>
    </row>
    <row r="664" spans="1:5" x14ac:dyDescent="0.3">
      <c r="A664" s="7" t="s">
        <v>495</v>
      </c>
      <c r="B664" s="7" t="s">
        <v>749</v>
      </c>
      <c r="C664" s="7" t="s">
        <v>551</v>
      </c>
      <c r="D664" s="8">
        <f>(D193*inputs!$E$88)/(inputs!$E$31^inputs!E130)</f>
        <v>8482567.3717926014</v>
      </c>
      <c r="E664" s="7" t="str">
        <f t="shared" ca="1" si="11"/>
        <v>=(D193*inputs!$E$88)/(inputs!$E$31^inputs!E130)</v>
      </c>
    </row>
    <row r="665" spans="1:5" x14ac:dyDescent="0.3">
      <c r="A665" s="7" t="s">
        <v>495</v>
      </c>
      <c r="B665" s="7" t="s">
        <v>749</v>
      </c>
      <c r="C665" s="7" t="s">
        <v>552</v>
      </c>
      <c r="D665" s="8">
        <f>(D194*inputs!$E$88)/(inputs!$E$31^inputs!E131)</f>
        <v>8219031.2981058406</v>
      </c>
      <c r="E665" s="7" t="str">
        <f t="shared" ca="1" si="11"/>
        <v>=(D194*inputs!$E$88)/(inputs!$E$31^inputs!E131)</v>
      </c>
    </row>
    <row r="666" spans="1:5" x14ac:dyDescent="0.3">
      <c r="A666" s="7" t="s">
        <v>495</v>
      </c>
      <c r="B666" s="7" t="s">
        <v>749</v>
      </c>
      <c r="C666" s="7" t="s">
        <v>553</v>
      </c>
      <c r="D666" s="8">
        <f>(D195*inputs!$E$88)/(inputs!$E$31^inputs!E132)</f>
        <v>7963682.7529219706</v>
      </c>
      <c r="E666" s="7" t="str">
        <f t="shared" ca="1" si="11"/>
        <v>=(D195*inputs!$E$88)/(inputs!$E$31^inputs!E132)</v>
      </c>
    </row>
    <row r="667" spans="1:5" x14ac:dyDescent="0.3">
      <c r="A667" s="7" t="s">
        <v>495</v>
      </c>
      <c r="B667" s="7" t="s">
        <v>749</v>
      </c>
      <c r="C667" s="7" t="s">
        <v>554</v>
      </c>
      <c r="D667" s="8">
        <f>(D196*inputs!$E$88)/(inputs!$E$31^inputs!E133)</f>
        <v>7716267.3664234243</v>
      </c>
      <c r="E667" s="7" t="str">
        <f t="shared" ca="1" si="11"/>
        <v>=(D196*inputs!$E$88)/(inputs!$E$31^inputs!E133)</v>
      </c>
    </row>
    <row r="668" spans="1:5" x14ac:dyDescent="0.3">
      <c r="A668" s="7" t="s">
        <v>495</v>
      </c>
      <c r="B668" s="7" t="s">
        <v>749</v>
      </c>
      <c r="C668" s="7" t="s">
        <v>555</v>
      </c>
      <c r="D668" s="8">
        <f>(D197*inputs!$E$88)/(inputs!$E$31^inputs!E134)</f>
        <v>7476538.6715442492</v>
      </c>
      <c r="E668" s="7" t="str">
        <f t="shared" ca="1" si="11"/>
        <v>=(D197*inputs!$E$88)/(inputs!$E$31^inputs!E134)</v>
      </c>
    </row>
    <row r="669" spans="1:5" x14ac:dyDescent="0.3">
      <c r="A669" s="7" t="s">
        <v>495</v>
      </c>
      <c r="B669" s="7" t="s">
        <v>749</v>
      </c>
      <c r="C669" s="7" t="s">
        <v>556</v>
      </c>
      <c r="D669" s="8">
        <f>(D198*inputs!$E$88)/(inputs!$E$31^inputs!E135)</f>
        <v>7244257.8584477305</v>
      </c>
      <c r="E669" s="7" t="str">
        <f t="shared" ca="1" si="11"/>
        <v>=(D198*inputs!$E$88)/(inputs!$E$31^inputs!E135)</v>
      </c>
    </row>
    <row r="670" spans="1:5" x14ac:dyDescent="0.3">
      <c r="A670" s="7" t="s">
        <v>495</v>
      </c>
      <c r="B670" s="7" t="s">
        <v>749</v>
      </c>
      <c r="C670" s="7" t="s">
        <v>674</v>
      </c>
      <c r="D670" s="8">
        <f>(D252*inputs!$E$87)/(inputs!$E$31^inputs!E111)</f>
        <v>0</v>
      </c>
      <c r="E670" s="7" t="str">
        <f t="shared" ca="1" si="11"/>
        <v>=(D252*inputs!$E$87)/(inputs!$E$31^inputs!E111)</v>
      </c>
    </row>
    <row r="671" spans="1:5" x14ac:dyDescent="0.3">
      <c r="A671" s="7" t="s">
        <v>495</v>
      </c>
      <c r="B671" s="7" t="s">
        <v>749</v>
      </c>
      <c r="C671" s="7" t="s">
        <v>675</v>
      </c>
      <c r="D671" s="8">
        <f>(D253*inputs!$E$87)/(inputs!$E$31^inputs!E112)</f>
        <v>0</v>
      </c>
      <c r="E671" s="7" t="str">
        <f t="shared" ca="1" si="11"/>
        <v>=(D253*inputs!$E$87)/(inputs!$E$31^inputs!E112)</v>
      </c>
    </row>
    <row r="672" spans="1:5" x14ac:dyDescent="0.3">
      <c r="A672" s="7" t="s">
        <v>495</v>
      </c>
      <c r="B672" s="7" t="s">
        <v>749</v>
      </c>
      <c r="C672" s="7" t="s">
        <v>676</v>
      </c>
      <c r="D672" s="8">
        <f>(D254*inputs!$E$87)/(inputs!$E$31^inputs!E113)</f>
        <v>0</v>
      </c>
      <c r="E672" s="7" t="str">
        <f t="shared" ca="1" si="11"/>
        <v>=(D254*inputs!$E$87)/(inputs!$E$31^inputs!E113)</v>
      </c>
    </row>
    <row r="673" spans="1:5" x14ac:dyDescent="0.3">
      <c r="A673" s="7" t="s">
        <v>495</v>
      </c>
      <c r="B673" s="7" t="s">
        <v>749</v>
      </c>
      <c r="C673" s="7" t="s">
        <v>677</v>
      </c>
      <c r="D673" s="8">
        <f>(D255*inputs!$E$87)/(inputs!$E$31^inputs!E114)</f>
        <v>0</v>
      </c>
      <c r="E673" s="7" t="str">
        <f t="shared" ca="1" si="11"/>
        <v>=(D255*inputs!$E$87)/(inputs!$E$31^inputs!E114)</v>
      </c>
    </row>
    <row r="674" spans="1:5" x14ac:dyDescent="0.3">
      <c r="A674" s="7" t="s">
        <v>495</v>
      </c>
      <c r="B674" s="7" t="s">
        <v>749</v>
      </c>
      <c r="C674" s="7" t="s">
        <v>678</v>
      </c>
      <c r="D674" s="8">
        <f>(D256*inputs!$E$87)/(inputs!$E$31^inputs!E115)</f>
        <v>0</v>
      </c>
      <c r="E674" s="7" t="str">
        <f t="shared" ca="1" si="11"/>
        <v>=(D256*inputs!$E$87)/(inputs!$E$31^inputs!E115)</v>
      </c>
    </row>
    <row r="675" spans="1:5" x14ac:dyDescent="0.3">
      <c r="A675" s="7" t="s">
        <v>495</v>
      </c>
      <c r="B675" s="7" t="s">
        <v>749</v>
      </c>
      <c r="C675" s="7" t="s">
        <v>679</v>
      </c>
      <c r="D675" s="8">
        <f>(D257*inputs!$E$87)/(inputs!$E$31^inputs!E116)</f>
        <v>0</v>
      </c>
      <c r="E675" s="7" t="str">
        <f t="shared" ca="1" si="11"/>
        <v>=(D257*inputs!$E$87)/(inputs!$E$31^inputs!E116)</v>
      </c>
    </row>
    <row r="676" spans="1:5" x14ac:dyDescent="0.3">
      <c r="A676" s="7" t="s">
        <v>495</v>
      </c>
      <c r="B676" s="7" t="s">
        <v>749</v>
      </c>
      <c r="C676" s="7" t="s">
        <v>680</v>
      </c>
      <c r="D676" s="8">
        <f>(D258*inputs!$E$87)/(inputs!$E$31^inputs!E117)</f>
        <v>0</v>
      </c>
      <c r="E676" s="7" t="str">
        <f t="shared" ca="1" si="11"/>
        <v>=(D258*inputs!$E$87)/(inputs!$E$31^inputs!E117)</v>
      </c>
    </row>
    <row r="677" spans="1:5" x14ac:dyDescent="0.3">
      <c r="A677" s="7" t="s">
        <v>495</v>
      </c>
      <c r="B677" s="7" t="s">
        <v>749</v>
      </c>
      <c r="C677" s="7" t="s">
        <v>681</v>
      </c>
      <c r="D677" s="8">
        <f>(D259*inputs!$E$87)/(inputs!$E$31^inputs!E118)</f>
        <v>0</v>
      </c>
      <c r="E677" s="7" t="str">
        <f t="shared" ca="1" si="11"/>
        <v>=(D259*inputs!$E$87)/(inputs!$E$31^inputs!E118)</v>
      </c>
    </row>
    <row r="678" spans="1:5" x14ac:dyDescent="0.3">
      <c r="A678" s="7" t="s">
        <v>495</v>
      </c>
      <c r="B678" s="7" t="s">
        <v>749</v>
      </c>
      <c r="C678" s="7" t="s">
        <v>682</v>
      </c>
      <c r="D678" s="8">
        <f>(D260*inputs!$E$87)/(inputs!$E$31^inputs!E119)</f>
        <v>0</v>
      </c>
      <c r="E678" s="7" t="str">
        <f t="shared" ca="1" si="11"/>
        <v>=(D260*inputs!$E$87)/(inputs!$E$31^inputs!E119)</v>
      </c>
    </row>
    <row r="679" spans="1:5" x14ac:dyDescent="0.3">
      <c r="A679" s="7" t="s">
        <v>495</v>
      </c>
      <c r="B679" s="7" t="s">
        <v>749</v>
      </c>
      <c r="C679" s="7" t="s">
        <v>683</v>
      </c>
      <c r="D679" s="8">
        <f>(D261*inputs!$E$87)/(inputs!$E$31^inputs!E120)</f>
        <v>0</v>
      </c>
      <c r="E679" s="7" t="str">
        <f t="shared" ca="1" si="11"/>
        <v>=(D261*inputs!$E$87)/(inputs!$E$31^inputs!E120)</v>
      </c>
    </row>
    <row r="680" spans="1:5" x14ac:dyDescent="0.3">
      <c r="A680" s="7" t="s">
        <v>495</v>
      </c>
      <c r="B680" s="7" t="s">
        <v>749</v>
      </c>
      <c r="C680" s="7" t="s">
        <v>684</v>
      </c>
      <c r="D680" s="8">
        <f>(D262*inputs!$E$87)/(inputs!$E$31^inputs!E121)</f>
        <v>0</v>
      </c>
      <c r="E680" s="7" t="str">
        <f t="shared" ca="1" si="11"/>
        <v>=(D262*inputs!$E$87)/(inputs!$E$31^inputs!E121)</v>
      </c>
    </row>
    <row r="681" spans="1:5" x14ac:dyDescent="0.3">
      <c r="A681" s="7" t="s">
        <v>495</v>
      </c>
      <c r="B681" s="7" t="s">
        <v>749</v>
      </c>
      <c r="C681" s="7" t="s">
        <v>685</v>
      </c>
      <c r="D681" s="8">
        <f>(D263*inputs!$E$87)/(inputs!$E$31^inputs!E122)</f>
        <v>0</v>
      </c>
      <c r="E681" s="7" t="str">
        <f t="shared" ca="1" si="11"/>
        <v>=(D263*inputs!$E$87)/(inputs!$E$31^inputs!E122)</v>
      </c>
    </row>
    <row r="682" spans="1:5" x14ac:dyDescent="0.3">
      <c r="A682" s="7" t="s">
        <v>495</v>
      </c>
      <c r="B682" s="7" t="s">
        <v>749</v>
      </c>
      <c r="C682" s="7" t="s">
        <v>686</v>
      </c>
      <c r="D682" s="8">
        <f>(D264*inputs!$E$87)/(inputs!$E$31^inputs!E123)</f>
        <v>0</v>
      </c>
      <c r="E682" s="7" t="str">
        <f t="shared" ca="1" si="11"/>
        <v>=(D264*inputs!$E$87)/(inputs!$E$31^inputs!E123)</v>
      </c>
    </row>
    <row r="683" spans="1:5" x14ac:dyDescent="0.3">
      <c r="A683" s="7" t="s">
        <v>495</v>
      </c>
      <c r="B683" s="7" t="s">
        <v>749</v>
      </c>
      <c r="C683" s="7" t="s">
        <v>687</v>
      </c>
      <c r="D683" s="8">
        <f>(D265*inputs!$E$87)/(inputs!$E$31^inputs!E124)</f>
        <v>0</v>
      </c>
      <c r="E683" s="7" t="str">
        <f t="shared" ca="1" si="11"/>
        <v>=(D265*inputs!$E$87)/(inputs!$E$31^inputs!E124)</v>
      </c>
    </row>
    <row r="684" spans="1:5" x14ac:dyDescent="0.3">
      <c r="A684" s="7" t="s">
        <v>495</v>
      </c>
      <c r="B684" s="7" t="s">
        <v>749</v>
      </c>
      <c r="C684" s="7" t="s">
        <v>688</v>
      </c>
      <c r="D684" s="8">
        <f>(D266*inputs!$E$87)/(inputs!$E$31^inputs!E125)</f>
        <v>0</v>
      </c>
      <c r="E684" s="7" t="str">
        <f t="shared" ca="1" si="11"/>
        <v>=(D266*inputs!$E$87)/(inputs!$E$31^inputs!E125)</v>
      </c>
    </row>
    <row r="685" spans="1:5" x14ac:dyDescent="0.3">
      <c r="A685" s="7" t="s">
        <v>495</v>
      </c>
      <c r="B685" s="7" t="s">
        <v>749</v>
      </c>
      <c r="C685" s="7" t="s">
        <v>689</v>
      </c>
      <c r="D685" s="8">
        <f>(D267*inputs!$E$87)/(inputs!$E$31^inputs!E126)</f>
        <v>0</v>
      </c>
      <c r="E685" s="7" t="str">
        <f t="shared" ca="1" si="11"/>
        <v>=(D267*inputs!$E$87)/(inputs!$E$31^inputs!E126)</v>
      </c>
    </row>
    <row r="686" spans="1:5" x14ac:dyDescent="0.3">
      <c r="A686" s="7" t="s">
        <v>495</v>
      </c>
      <c r="B686" s="7" t="s">
        <v>749</v>
      </c>
      <c r="C686" s="7" t="s">
        <v>690</v>
      </c>
      <c r="D686" s="8">
        <f>(D268*inputs!$E$87)/(inputs!$E$31^inputs!E127)</f>
        <v>0</v>
      </c>
      <c r="E686" s="7" t="str">
        <f t="shared" ca="1" si="11"/>
        <v>=(D268*inputs!$E$87)/(inputs!$E$31^inputs!E127)</v>
      </c>
    </row>
    <row r="687" spans="1:5" x14ac:dyDescent="0.3">
      <c r="A687" s="7" t="s">
        <v>495</v>
      </c>
      <c r="B687" s="7" t="s">
        <v>749</v>
      </c>
      <c r="C687" s="7" t="s">
        <v>691</v>
      </c>
      <c r="D687" s="8">
        <f>(D269*inputs!$E$87)/(inputs!$E$31^inputs!E128)</f>
        <v>0</v>
      </c>
      <c r="E687" s="7" t="str">
        <f t="shared" ca="1" si="11"/>
        <v>=(D269*inputs!$E$87)/(inputs!$E$31^inputs!E128)</v>
      </c>
    </row>
    <row r="688" spans="1:5" x14ac:dyDescent="0.3">
      <c r="A688" s="7" t="s">
        <v>495</v>
      </c>
      <c r="B688" s="7" t="s">
        <v>749</v>
      </c>
      <c r="C688" s="7" t="s">
        <v>692</v>
      </c>
      <c r="D688" s="8">
        <f>(D270*inputs!$E$87)/(inputs!$E$31^inputs!E129)</f>
        <v>0</v>
      </c>
      <c r="E688" s="7" t="str">
        <f t="shared" ca="1" si="11"/>
        <v>=(D270*inputs!$E$87)/(inputs!$E$31^inputs!E129)</v>
      </c>
    </row>
    <row r="689" spans="1:5" x14ac:dyDescent="0.3">
      <c r="A689" s="7" t="s">
        <v>495</v>
      </c>
      <c r="B689" s="7" t="s">
        <v>749</v>
      </c>
      <c r="C689" s="7" t="s">
        <v>693</v>
      </c>
      <c r="D689" s="8">
        <f>(D271*inputs!$E$87)/(inputs!$E$31^inputs!E130)</f>
        <v>0</v>
      </c>
      <c r="E689" s="7" t="str">
        <f t="shared" ca="1" si="11"/>
        <v>=(D271*inputs!$E$87)/(inputs!$E$31^inputs!E130)</v>
      </c>
    </row>
    <row r="690" spans="1:5" x14ac:dyDescent="0.3">
      <c r="A690" s="7" t="s">
        <v>495</v>
      </c>
      <c r="B690" s="7" t="s">
        <v>749</v>
      </c>
      <c r="C690" s="7" t="s">
        <v>694</v>
      </c>
      <c r="D690" s="8">
        <f>(D272*inputs!$E$87)/(inputs!$E$31^inputs!E131)</f>
        <v>0</v>
      </c>
      <c r="E690" s="7" t="str">
        <f t="shared" ca="1" si="11"/>
        <v>=(D272*inputs!$E$87)/(inputs!$E$31^inputs!E131)</v>
      </c>
    </row>
    <row r="691" spans="1:5" x14ac:dyDescent="0.3">
      <c r="A691" s="7" t="s">
        <v>495</v>
      </c>
      <c r="B691" s="7" t="s">
        <v>749</v>
      </c>
      <c r="C691" s="7" t="s">
        <v>695</v>
      </c>
      <c r="D691" s="8">
        <f>(D273*inputs!$E$87)/(inputs!$E$31^inputs!E132)</f>
        <v>0</v>
      </c>
      <c r="E691" s="7" t="str">
        <f t="shared" ca="1" si="11"/>
        <v>=(D273*inputs!$E$87)/(inputs!$E$31^inputs!E132)</v>
      </c>
    </row>
    <row r="692" spans="1:5" x14ac:dyDescent="0.3">
      <c r="A692" s="7" t="s">
        <v>495</v>
      </c>
      <c r="B692" s="7" t="s">
        <v>749</v>
      </c>
      <c r="C692" s="7" t="s">
        <v>696</v>
      </c>
      <c r="D692" s="8">
        <f>(D274*inputs!$E$87)/(inputs!$E$31^inputs!E133)</f>
        <v>0</v>
      </c>
      <c r="E692" s="7" t="str">
        <f t="shared" ca="1" si="11"/>
        <v>=(D274*inputs!$E$87)/(inputs!$E$31^inputs!E133)</v>
      </c>
    </row>
    <row r="693" spans="1:5" x14ac:dyDescent="0.3">
      <c r="A693" s="7" t="s">
        <v>495</v>
      </c>
      <c r="B693" s="7" t="s">
        <v>749</v>
      </c>
      <c r="C693" s="7" t="s">
        <v>697</v>
      </c>
      <c r="D693" s="8">
        <f>(D275*inputs!$E$87)/(inputs!$E$31^inputs!E134)</f>
        <v>0</v>
      </c>
      <c r="E693" s="7" t="str">
        <f t="shared" ca="1" si="11"/>
        <v>=(D275*inputs!$E$87)/(inputs!$E$31^inputs!E134)</v>
      </c>
    </row>
    <row r="694" spans="1:5" x14ac:dyDescent="0.3">
      <c r="A694" s="7" t="s">
        <v>495</v>
      </c>
      <c r="B694" s="7" t="s">
        <v>749</v>
      </c>
      <c r="C694" s="7" t="s">
        <v>698</v>
      </c>
      <c r="D694" s="8">
        <f>(D276*inputs!$E$87)/(inputs!$E$31^inputs!E135)</f>
        <v>0</v>
      </c>
      <c r="E694" s="7" t="str">
        <f t="shared" ca="1" si="11"/>
        <v>=(D276*inputs!$E$87)/(inputs!$E$31^inputs!E135)</v>
      </c>
    </row>
    <row r="695" spans="1:5" x14ac:dyDescent="0.3">
      <c r="A695" s="7" t="s">
        <v>495</v>
      </c>
      <c r="B695" s="7" t="s">
        <v>749</v>
      </c>
      <c r="C695" s="7" t="s">
        <v>699</v>
      </c>
      <c r="D695" s="8">
        <f>(D291*inputs!$E$87)/(inputs!$E$31^inputs!E111)</f>
        <v>0</v>
      </c>
      <c r="E695" s="7" t="str">
        <f t="shared" ca="1" si="11"/>
        <v>=(D291*inputs!$E$87)/(inputs!$E$31^inputs!E111)</v>
      </c>
    </row>
    <row r="696" spans="1:5" x14ac:dyDescent="0.3">
      <c r="A696" s="7" t="s">
        <v>495</v>
      </c>
      <c r="B696" s="7" t="s">
        <v>749</v>
      </c>
      <c r="C696" s="7" t="s">
        <v>700</v>
      </c>
      <c r="D696" s="8">
        <f>(D292*inputs!$E$87)/(inputs!$E$31^inputs!E112)</f>
        <v>0</v>
      </c>
      <c r="E696" s="7" t="str">
        <f t="shared" ca="1" si="11"/>
        <v>=(D292*inputs!$E$87)/(inputs!$E$31^inputs!E112)</v>
      </c>
    </row>
    <row r="697" spans="1:5" x14ac:dyDescent="0.3">
      <c r="A697" s="7" t="s">
        <v>495</v>
      </c>
      <c r="B697" s="7" t="s">
        <v>749</v>
      </c>
      <c r="C697" s="7" t="s">
        <v>701</v>
      </c>
      <c r="D697" s="8">
        <f>(D293*inputs!$E$87)/(inputs!$E$31^inputs!E113)</f>
        <v>0</v>
      </c>
      <c r="E697" s="7" t="str">
        <f t="shared" ca="1" si="11"/>
        <v>=(D293*inputs!$E$87)/(inputs!$E$31^inputs!E113)</v>
      </c>
    </row>
    <row r="698" spans="1:5" x14ac:dyDescent="0.3">
      <c r="A698" s="7" t="s">
        <v>495</v>
      </c>
      <c r="B698" s="7" t="s">
        <v>749</v>
      </c>
      <c r="C698" s="7" t="s">
        <v>702</v>
      </c>
      <c r="D698" s="8">
        <f>(D294*inputs!$E$87)/(inputs!$E$31^inputs!E114)</f>
        <v>0</v>
      </c>
      <c r="E698" s="7" t="str">
        <f t="shared" ca="1" si="11"/>
        <v>=(D294*inputs!$E$87)/(inputs!$E$31^inputs!E114)</v>
      </c>
    </row>
    <row r="699" spans="1:5" x14ac:dyDescent="0.3">
      <c r="A699" s="7" t="s">
        <v>495</v>
      </c>
      <c r="B699" s="7" t="s">
        <v>749</v>
      </c>
      <c r="C699" s="7" t="s">
        <v>703</v>
      </c>
      <c r="D699" s="8">
        <f>(D295*inputs!$E$87)/(inputs!$E$31^inputs!E115)</f>
        <v>0</v>
      </c>
      <c r="E699" s="7" t="str">
        <f t="shared" ca="1" si="11"/>
        <v>=(D295*inputs!$E$87)/(inputs!$E$31^inputs!E115)</v>
      </c>
    </row>
    <row r="700" spans="1:5" x14ac:dyDescent="0.3">
      <c r="A700" s="7" t="s">
        <v>495</v>
      </c>
      <c r="B700" s="7" t="s">
        <v>749</v>
      </c>
      <c r="C700" s="7" t="s">
        <v>704</v>
      </c>
      <c r="D700" s="8">
        <f>(D296*inputs!$E$87)/(inputs!$E$31^inputs!E116)</f>
        <v>0</v>
      </c>
      <c r="E700" s="7" t="str">
        <f t="shared" ca="1" si="11"/>
        <v>=(D296*inputs!$E$87)/(inputs!$E$31^inputs!E116)</v>
      </c>
    </row>
    <row r="701" spans="1:5" x14ac:dyDescent="0.3">
      <c r="A701" s="7" t="s">
        <v>495</v>
      </c>
      <c r="B701" s="7" t="s">
        <v>749</v>
      </c>
      <c r="C701" s="7" t="s">
        <v>705</v>
      </c>
      <c r="D701" s="8">
        <f>(D297*inputs!$E$87)/(inputs!$E$31^inputs!E117)</f>
        <v>0</v>
      </c>
      <c r="E701" s="7" t="str">
        <f t="shared" ca="1" si="11"/>
        <v>=(D297*inputs!$E$87)/(inputs!$E$31^inputs!E117)</v>
      </c>
    </row>
    <row r="702" spans="1:5" x14ac:dyDescent="0.3">
      <c r="A702" s="7" t="s">
        <v>495</v>
      </c>
      <c r="B702" s="7" t="s">
        <v>749</v>
      </c>
      <c r="C702" s="7" t="s">
        <v>706</v>
      </c>
      <c r="D702" s="8">
        <f>(D298*inputs!$E$87)/(inputs!$E$31^inputs!E118)</f>
        <v>0</v>
      </c>
      <c r="E702" s="7" t="str">
        <f t="shared" ca="1" si="11"/>
        <v>=(D298*inputs!$E$87)/(inputs!$E$31^inputs!E118)</v>
      </c>
    </row>
    <row r="703" spans="1:5" x14ac:dyDescent="0.3">
      <c r="A703" s="7" t="s">
        <v>495</v>
      </c>
      <c r="B703" s="7" t="s">
        <v>749</v>
      </c>
      <c r="C703" s="7" t="s">
        <v>707</v>
      </c>
      <c r="D703" s="8">
        <f>(D299*inputs!$E$87)/(inputs!$E$31^inputs!E119)</f>
        <v>0</v>
      </c>
      <c r="E703" s="7" t="str">
        <f t="shared" ca="1" si="11"/>
        <v>=(D299*inputs!$E$87)/(inputs!$E$31^inputs!E119)</v>
      </c>
    </row>
    <row r="704" spans="1:5" x14ac:dyDescent="0.3">
      <c r="A704" s="7" t="s">
        <v>495</v>
      </c>
      <c r="B704" s="7" t="s">
        <v>749</v>
      </c>
      <c r="C704" s="7" t="s">
        <v>708</v>
      </c>
      <c r="D704" s="8">
        <f>(D300*inputs!$E$87)/(inputs!$E$31^inputs!E120)</f>
        <v>0</v>
      </c>
      <c r="E704" s="7" t="str">
        <f t="shared" ca="1" si="11"/>
        <v>=(D300*inputs!$E$87)/(inputs!$E$31^inputs!E120)</v>
      </c>
    </row>
    <row r="705" spans="1:5" x14ac:dyDescent="0.3">
      <c r="A705" s="7" t="s">
        <v>495</v>
      </c>
      <c r="B705" s="7" t="s">
        <v>749</v>
      </c>
      <c r="C705" s="7" t="s">
        <v>709</v>
      </c>
      <c r="D705" s="8">
        <f>(D301*inputs!$E$87)/(inputs!$E$31^inputs!E121)</f>
        <v>0</v>
      </c>
      <c r="E705" s="7" t="str">
        <f t="shared" ca="1" si="11"/>
        <v>=(D301*inputs!$E$87)/(inputs!$E$31^inputs!E121)</v>
      </c>
    </row>
    <row r="706" spans="1:5" x14ac:dyDescent="0.3">
      <c r="A706" s="7" t="s">
        <v>495</v>
      </c>
      <c r="B706" s="7" t="s">
        <v>749</v>
      </c>
      <c r="C706" s="7" t="s">
        <v>710</v>
      </c>
      <c r="D706" s="8">
        <f>(D302*inputs!$E$87)/(inputs!$E$31^inputs!E122)</f>
        <v>0</v>
      </c>
      <c r="E706" s="7" t="str">
        <f t="shared" ca="1" si="11"/>
        <v>=(D302*inputs!$E$87)/(inputs!$E$31^inputs!E122)</v>
      </c>
    </row>
    <row r="707" spans="1:5" x14ac:dyDescent="0.3">
      <c r="A707" s="7" t="s">
        <v>495</v>
      </c>
      <c r="B707" s="7" t="s">
        <v>749</v>
      </c>
      <c r="C707" s="7" t="s">
        <v>711</v>
      </c>
      <c r="D707" s="8">
        <f>(D303*inputs!$E$87)/(inputs!$E$31^inputs!E123)</f>
        <v>0</v>
      </c>
      <c r="E707" s="7" t="str">
        <f t="shared" ca="1" si="11"/>
        <v>=(D303*inputs!$E$87)/(inputs!$E$31^inputs!E123)</v>
      </c>
    </row>
    <row r="708" spans="1:5" x14ac:dyDescent="0.3">
      <c r="A708" s="7" t="s">
        <v>495</v>
      </c>
      <c r="B708" s="7" t="s">
        <v>749</v>
      </c>
      <c r="C708" s="7" t="s">
        <v>712</v>
      </c>
      <c r="D708" s="8">
        <f>(D304*inputs!$E$87)/(inputs!$E$31^inputs!E124)</f>
        <v>0</v>
      </c>
      <c r="E708" s="7" t="str">
        <f t="shared" ca="1" si="11"/>
        <v>=(D304*inputs!$E$87)/(inputs!$E$31^inputs!E124)</v>
      </c>
    </row>
    <row r="709" spans="1:5" x14ac:dyDescent="0.3">
      <c r="A709" s="7" t="s">
        <v>495</v>
      </c>
      <c r="B709" s="7" t="s">
        <v>749</v>
      </c>
      <c r="C709" s="7" t="s">
        <v>713</v>
      </c>
      <c r="D709" s="8">
        <f>(D305*inputs!$E$87)/(inputs!$E$31^inputs!E125)</f>
        <v>0</v>
      </c>
      <c r="E709" s="7" t="str">
        <f t="shared" ca="1" si="11"/>
        <v>=(D305*inputs!$E$87)/(inputs!$E$31^inputs!E125)</v>
      </c>
    </row>
    <row r="710" spans="1:5" x14ac:dyDescent="0.3">
      <c r="A710" s="7" t="s">
        <v>495</v>
      </c>
      <c r="B710" s="7" t="s">
        <v>749</v>
      </c>
      <c r="C710" s="7" t="s">
        <v>714</v>
      </c>
      <c r="D710" s="8">
        <f>(D306*inputs!$E$87)/(inputs!$E$31^inputs!E126)</f>
        <v>0</v>
      </c>
      <c r="E710" s="7" t="str">
        <f t="shared" ca="1" si="11"/>
        <v>=(D306*inputs!$E$87)/(inputs!$E$31^inputs!E126)</v>
      </c>
    </row>
    <row r="711" spans="1:5" x14ac:dyDescent="0.3">
      <c r="A711" s="7" t="s">
        <v>495</v>
      </c>
      <c r="B711" s="7" t="s">
        <v>749</v>
      </c>
      <c r="C711" s="7" t="s">
        <v>715</v>
      </c>
      <c r="D711" s="8">
        <f>(D307*inputs!$E$87)/(inputs!$E$31^inputs!E127)</f>
        <v>0</v>
      </c>
      <c r="E711" s="7" t="str">
        <f t="shared" ca="1" si="11"/>
        <v>=(D307*inputs!$E$87)/(inputs!$E$31^inputs!E127)</v>
      </c>
    </row>
    <row r="712" spans="1:5" x14ac:dyDescent="0.3">
      <c r="A712" s="7" t="s">
        <v>495</v>
      </c>
      <c r="B712" s="7" t="s">
        <v>749</v>
      </c>
      <c r="C712" s="7" t="s">
        <v>716</v>
      </c>
      <c r="D712" s="8">
        <f>(D308*inputs!$E$87)/(inputs!$E$31^inputs!E128)</f>
        <v>0</v>
      </c>
      <c r="E712" s="7" t="str">
        <f t="shared" ca="1" si="11"/>
        <v>=(D308*inputs!$E$87)/(inputs!$E$31^inputs!E128)</v>
      </c>
    </row>
    <row r="713" spans="1:5" x14ac:dyDescent="0.3">
      <c r="A713" s="7" t="s">
        <v>495</v>
      </c>
      <c r="B713" s="7" t="s">
        <v>749</v>
      </c>
      <c r="C713" s="7" t="s">
        <v>717</v>
      </c>
      <c r="D713" s="8">
        <f>(D309*inputs!$E$87)/(inputs!$E$31^inputs!E129)</f>
        <v>0</v>
      </c>
      <c r="E713" s="7" t="str">
        <f t="shared" ca="1" si="11"/>
        <v>=(D309*inputs!$E$87)/(inputs!$E$31^inputs!E129)</v>
      </c>
    </row>
    <row r="714" spans="1:5" x14ac:dyDescent="0.3">
      <c r="A714" s="7" t="s">
        <v>495</v>
      </c>
      <c r="B714" s="7" t="s">
        <v>749</v>
      </c>
      <c r="C714" s="7" t="s">
        <v>718</v>
      </c>
      <c r="D714" s="8">
        <f>(D310*inputs!$E$87)/(inputs!$E$31^inputs!E130)</f>
        <v>0</v>
      </c>
      <c r="E714" s="7" t="str">
        <f t="shared" ca="1" si="11"/>
        <v>=(D310*inputs!$E$87)/(inputs!$E$31^inputs!E130)</v>
      </c>
    </row>
    <row r="715" spans="1:5" x14ac:dyDescent="0.3">
      <c r="A715" s="7" t="s">
        <v>495</v>
      </c>
      <c r="B715" s="7" t="s">
        <v>749</v>
      </c>
      <c r="C715" s="7" t="s">
        <v>719</v>
      </c>
      <c r="D715" s="8">
        <f>(D311*inputs!$E$87)/(inputs!$E$31^inputs!E131)</f>
        <v>0</v>
      </c>
      <c r="E715" s="7" t="str">
        <f t="shared" ca="1" si="11"/>
        <v>=(D311*inputs!$E$87)/(inputs!$E$31^inputs!E131)</v>
      </c>
    </row>
    <row r="716" spans="1:5" x14ac:dyDescent="0.3">
      <c r="A716" s="7" t="s">
        <v>495</v>
      </c>
      <c r="B716" s="7" t="s">
        <v>749</v>
      </c>
      <c r="C716" s="7" t="s">
        <v>720</v>
      </c>
      <c r="D716" s="8">
        <f>(D312*inputs!$E$87)/(inputs!$E$31^inputs!E132)</f>
        <v>0</v>
      </c>
      <c r="E716" s="7" t="str">
        <f t="shared" ca="1" si="11"/>
        <v>=(D312*inputs!$E$87)/(inputs!$E$31^inputs!E132)</v>
      </c>
    </row>
    <row r="717" spans="1:5" x14ac:dyDescent="0.3">
      <c r="A717" s="7" t="s">
        <v>495</v>
      </c>
      <c r="B717" s="7" t="s">
        <v>749</v>
      </c>
      <c r="C717" s="7" t="s">
        <v>721</v>
      </c>
      <c r="D717" s="8">
        <f>(D313*inputs!$E$87)/(inputs!$E$31^inputs!E133)</f>
        <v>0</v>
      </c>
      <c r="E717" s="7" t="str">
        <f t="shared" ca="1" si="11"/>
        <v>=(D313*inputs!$E$87)/(inputs!$E$31^inputs!E133)</v>
      </c>
    </row>
    <row r="718" spans="1:5" x14ac:dyDescent="0.3">
      <c r="A718" s="7" t="s">
        <v>495</v>
      </c>
      <c r="B718" s="7" t="s">
        <v>749</v>
      </c>
      <c r="C718" s="7" t="s">
        <v>722</v>
      </c>
      <c r="D718" s="8">
        <f>(D314*inputs!$E$87)/(inputs!$E$31^inputs!E134)</f>
        <v>0</v>
      </c>
      <c r="E718" s="7" t="str">
        <f t="shared" ca="1" si="11"/>
        <v>=(D314*inputs!$E$87)/(inputs!$E$31^inputs!E134)</v>
      </c>
    </row>
    <row r="719" spans="1:5" x14ac:dyDescent="0.3">
      <c r="A719" s="7" t="s">
        <v>495</v>
      </c>
      <c r="B719" s="7" t="s">
        <v>749</v>
      </c>
      <c r="C719" s="7" t="s">
        <v>723</v>
      </c>
      <c r="D719" s="8">
        <f>(D315*inputs!$E$87)/(inputs!$E$31^inputs!E135)</f>
        <v>0</v>
      </c>
      <c r="E719" s="7" t="str">
        <f t="shared" ca="1" si="11"/>
        <v>=(D315*inputs!$E$87)/(inputs!$E$31^inputs!E135)</v>
      </c>
    </row>
    <row r="720" spans="1:5" x14ac:dyDescent="0.3">
      <c r="A720" s="7" t="s">
        <v>495</v>
      </c>
      <c r="B720" s="7" t="s">
        <v>749</v>
      </c>
      <c r="C720" s="7" t="s">
        <v>724</v>
      </c>
      <c r="D720" s="8">
        <f>(D330*inputs!$E$87)/(inputs!$E$31^inputs!E111)</f>
        <v>0</v>
      </c>
      <c r="E720" s="7" t="str">
        <f t="shared" ca="1" si="11"/>
        <v>=(D330*inputs!$E$87)/(inputs!$E$31^inputs!E111)</v>
      </c>
    </row>
    <row r="721" spans="1:5" x14ac:dyDescent="0.3">
      <c r="A721" s="7" t="s">
        <v>495</v>
      </c>
      <c r="B721" s="7" t="s">
        <v>749</v>
      </c>
      <c r="C721" s="7" t="s">
        <v>725</v>
      </c>
      <c r="D721" s="8">
        <f>(D331*inputs!$E$87)/(inputs!$E$31^inputs!E112)</f>
        <v>0</v>
      </c>
      <c r="E721" s="7" t="str">
        <f t="shared" ca="1" si="11"/>
        <v>=(D331*inputs!$E$87)/(inputs!$E$31^inputs!E112)</v>
      </c>
    </row>
    <row r="722" spans="1:5" x14ac:dyDescent="0.3">
      <c r="A722" s="7" t="s">
        <v>495</v>
      </c>
      <c r="B722" s="7" t="s">
        <v>749</v>
      </c>
      <c r="C722" s="7" t="s">
        <v>726</v>
      </c>
      <c r="D722" s="8">
        <f>(D332*inputs!$E$87)/(inputs!$E$31^inputs!E113)</f>
        <v>0</v>
      </c>
      <c r="E722" s="7" t="str">
        <f t="shared" ca="1" si="11"/>
        <v>=(D332*inputs!$E$87)/(inputs!$E$31^inputs!E113)</v>
      </c>
    </row>
    <row r="723" spans="1:5" x14ac:dyDescent="0.3">
      <c r="A723" s="7" t="s">
        <v>495</v>
      </c>
      <c r="B723" s="7" t="s">
        <v>749</v>
      </c>
      <c r="C723" s="7" t="s">
        <v>727</v>
      </c>
      <c r="D723" s="8">
        <f>(D333*inputs!$E$87)/(inputs!$E$31^inputs!E114)</f>
        <v>0</v>
      </c>
      <c r="E723" s="7" t="str">
        <f t="shared" ca="1" si="11"/>
        <v>=(D333*inputs!$E$87)/(inputs!$E$31^inputs!E114)</v>
      </c>
    </row>
    <row r="724" spans="1:5" x14ac:dyDescent="0.3">
      <c r="A724" s="7" t="s">
        <v>495</v>
      </c>
      <c r="B724" s="7" t="s">
        <v>749</v>
      </c>
      <c r="C724" s="7" t="s">
        <v>728</v>
      </c>
      <c r="D724" s="8">
        <f>(D334*inputs!$E$87)/(inputs!$E$31^inputs!E115)</f>
        <v>0</v>
      </c>
      <c r="E724" s="7" t="str">
        <f t="shared" ca="1" si="11"/>
        <v>=(D334*inputs!$E$87)/(inputs!$E$31^inputs!E115)</v>
      </c>
    </row>
    <row r="725" spans="1:5" x14ac:dyDescent="0.3">
      <c r="A725" s="7" t="s">
        <v>495</v>
      </c>
      <c r="B725" s="7" t="s">
        <v>749</v>
      </c>
      <c r="C725" s="7" t="s">
        <v>729</v>
      </c>
      <c r="D725" s="8">
        <f>(D335*inputs!$E$87)/(inputs!$E$31^inputs!E116)</f>
        <v>0</v>
      </c>
      <c r="E725" s="7" t="str">
        <f t="shared" ca="1" si="11"/>
        <v>=(D335*inputs!$E$87)/(inputs!$E$31^inputs!E116)</v>
      </c>
    </row>
    <row r="726" spans="1:5" x14ac:dyDescent="0.3">
      <c r="A726" s="7" t="s">
        <v>495</v>
      </c>
      <c r="B726" s="7" t="s">
        <v>749</v>
      </c>
      <c r="C726" s="7" t="s">
        <v>730</v>
      </c>
      <c r="D726" s="8">
        <f>(D336*inputs!$E$87)/(inputs!$E$31^inputs!E117)</f>
        <v>0</v>
      </c>
      <c r="E726" s="7" t="str">
        <f t="shared" ca="1" si="11"/>
        <v>=(D336*inputs!$E$87)/(inputs!$E$31^inputs!E117)</v>
      </c>
    </row>
    <row r="727" spans="1:5" x14ac:dyDescent="0.3">
      <c r="A727" s="7" t="s">
        <v>495</v>
      </c>
      <c r="B727" s="7" t="s">
        <v>749</v>
      </c>
      <c r="C727" s="7" t="s">
        <v>731</v>
      </c>
      <c r="D727" s="8">
        <f>(D337*inputs!$E$87)/(inputs!$E$31^inputs!E118)</f>
        <v>0</v>
      </c>
      <c r="E727" s="7" t="str">
        <f t="shared" ca="1" si="11"/>
        <v>=(D337*inputs!$E$87)/(inputs!$E$31^inputs!E118)</v>
      </c>
    </row>
    <row r="728" spans="1:5" x14ac:dyDescent="0.3">
      <c r="A728" s="7" t="s">
        <v>495</v>
      </c>
      <c r="B728" s="7" t="s">
        <v>749</v>
      </c>
      <c r="C728" s="7" t="s">
        <v>732</v>
      </c>
      <c r="D728" s="8">
        <f>(D338*inputs!$E$87)/(inputs!$E$31^inputs!E119)</f>
        <v>0</v>
      </c>
      <c r="E728" s="7" t="str">
        <f t="shared" ca="1" si="11"/>
        <v>=(D338*inputs!$E$87)/(inputs!$E$31^inputs!E119)</v>
      </c>
    </row>
    <row r="729" spans="1:5" x14ac:dyDescent="0.3">
      <c r="A729" s="7" t="s">
        <v>495</v>
      </c>
      <c r="B729" s="7" t="s">
        <v>749</v>
      </c>
      <c r="C729" s="7" t="s">
        <v>733</v>
      </c>
      <c r="D729" s="8">
        <f>(D339*inputs!$E$87)/(inputs!$E$31^inputs!E120)</f>
        <v>0</v>
      </c>
      <c r="E729" s="7" t="str">
        <f t="shared" ca="1" si="11"/>
        <v>=(D339*inputs!$E$87)/(inputs!$E$31^inputs!E120)</v>
      </c>
    </row>
    <row r="730" spans="1:5" x14ac:dyDescent="0.3">
      <c r="A730" s="7" t="s">
        <v>495</v>
      </c>
      <c r="B730" s="7" t="s">
        <v>749</v>
      </c>
      <c r="C730" s="7" t="s">
        <v>734</v>
      </c>
      <c r="D730" s="8">
        <f>(D340*inputs!$E$87)/(inputs!$E$31^inputs!E121)</f>
        <v>0</v>
      </c>
      <c r="E730" s="7" t="str">
        <f t="shared" ca="1" si="11"/>
        <v>=(D340*inputs!$E$87)/(inputs!$E$31^inputs!E121)</v>
      </c>
    </row>
    <row r="731" spans="1:5" x14ac:dyDescent="0.3">
      <c r="A731" s="7" t="s">
        <v>495</v>
      </c>
      <c r="B731" s="7" t="s">
        <v>749</v>
      </c>
      <c r="C731" s="7" t="s">
        <v>735</v>
      </c>
      <c r="D731" s="8">
        <f>(D341*inputs!$E$87)/(inputs!$E$31^inputs!E122)</f>
        <v>0</v>
      </c>
      <c r="E731" s="7" t="str">
        <f t="shared" ca="1" si="11"/>
        <v>=(D341*inputs!$E$87)/(inputs!$E$31^inputs!E122)</v>
      </c>
    </row>
    <row r="732" spans="1:5" x14ac:dyDescent="0.3">
      <c r="A732" s="7" t="s">
        <v>495</v>
      </c>
      <c r="B732" s="7" t="s">
        <v>749</v>
      </c>
      <c r="C732" s="7" t="s">
        <v>736</v>
      </c>
      <c r="D732" s="8">
        <f>(D342*inputs!$E$87)/(inputs!$E$31^inputs!E123)</f>
        <v>0</v>
      </c>
      <c r="E732" s="7" t="str">
        <f t="shared" ca="1" si="11"/>
        <v>=(D342*inputs!$E$87)/(inputs!$E$31^inputs!E123)</v>
      </c>
    </row>
    <row r="733" spans="1:5" x14ac:dyDescent="0.3">
      <c r="A733" s="7" t="s">
        <v>495</v>
      </c>
      <c r="B733" s="7" t="s">
        <v>749</v>
      </c>
      <c r="C733" s="7" t="s">
        <v>737</v>
      </c>
      <c r="D733" s="8">
        <f>(D343*inputs!$E$87)/(inputs!$E$31^inputs!E124)</f>
        <v>0</v>
      </c>
      <c r="E733" s="7" t="str">
        <f t="shared" ca="1" si="11"/>
        <v>=(D343*inputs!$E$87)/(inputs!$E$31^inputs!E124)</v>
      </c>
    </row>
    <row r="734" spans="1:5" x14ac:dyDescent="0.3">
      <c r="A734" s="7" t="s">
        <v>495</v>
      </c>
      <c r="B734" s="7" t="s">
        <v>749</v>
      </c>
      <c r="C734" s="7" t="s">
        <v>738</v>
      </c>
      <c r="D734" s="8">
        <f>(D344*inputs!$E$87)/(inputs!$E$31^inputs!E125)</f>
        <v>0</v>
      </c>
      <c r="E734" s="7" t="str">
        <f t="shared" ca="1" si="11"/>
        <v>=(D344*inputs!$E$87)/(inputs!$E$31^inputs!E125)</v>
      </c>
    </row>
    <row r="735" spans="1:5" x14ac:dyDescent="0.3">
      <c r="A735" s="7" t="s">
        <v>495</v>
      </c>
      <c r="B735" s="7" t="s">
        <v>749</v>
      </c>
      <c r="C735" s="7" t="s">
        <v>739</v>
      </c>
      <c r="D735" s="8">
        <f>(D345*inputs!$E$87)/(inputs!$E$31^inputs!E126)</f>
        <v>0</v>
      </c>
      <c r="E735" s="7" t="str">
        <f t="shared" ca="1" si="11"/>
        <v>=(D345*inputs!$E$87)/(inputs!$E$31^inputs!E126)</v>
      </c>
    </row>
    <row r="736" spans="1:5" x14ac:dyDescent="0.3">
      <c r="A736" s="7" t="s">
        <v>495</v>
      </c>
      <c r="B736" s="7" t="s">
        <v>749</v>
      </c>
      <c r="C736" s="7" t="s">
        <v>740</v>
      </c>
      <c r="D736" s="8">
        <f>(D346*inputs!$E$87)/(inputs!$E$31^inputs!E127)</f>
        <v>0</v>
      </c>
      <c r="E736" s="7" t="str">
        <f t="shared" ca="1" si="11"/>
        <v>=(D346*inputs!$E$87)/(inputs!$E$31^inputs!E127)</v>
      </c>
    </row>
    <row r="737" spans="1:5" x14ac:dyDescent="0.3">
      <c r="A737" s="7" t="s">
        <v>495</v>
      </c>
      <c r="B737" s="7" t="s">
        <v>749</v>
      </c>
      <c r="C737" s="7" t="s">
        <v>741</v>
      </c>
      <c r="D737" s="8">
        <f>(D347*inputs!$E$87)/(inputs!$E$31^inputs!E128)</f>
        <v>0</v>
      </c>
      <c r="E737" s="7" t="str">
        <f t="shared" ca="1" si="11"/>
        <v>=(D347*inputs!$E$87)/(inputs!$E$31^inputs!E128)</v>
      </c>
    </row>
    <row r="738" spans="1:5" x14ac:dyDescent="0.3">
      <c r="A738" s="7" t="s">
        <v>495</v>
      </c>
      <c r="B738" s="7" t="s">
        <v>749</v>
      </c>
      <c r="C738" s="7" t="s">
        <v>742</v>
      </c>
      <c r="D738" s="8">
        <f>(D348*inputs!$E$87)/(inputs!$E$31^inputs!E129)</f>
        <v>0</v>
      </c>
      <c r="E738" s="7" t="str">
        <f t="shared" ca="1" si="11"/>
        <v>=(D348*inputs!$E$87)/(inputs!$E$31^inputs!E129)</v>
      </c>
    </row>
    <row r="739" spans="1:5" x14ac:dyDescent="0.3">
      <c r="A739" s="7" t="s">
        <v>495</v>
      </c>
      <c r="B739" s="7" t="s">
        <v>749</v>
      </c>
      <c r="C739" s="7" t="s">
        <v>743</v>
      </c>
      <c r="D739" s="8">
        <f>(D349*inputs!$E$87)/(inputs!$E$31^inputs!E130)</f>
        <v>0</v>
      </c>
      <c r="E739" s="7" t="str">
        <f t="shared" ca="1" si="11"/>
        <v>=(D349*inputs!$E$87)/(inputs!$E$31^inputs!E130)</v>
      </c>
    </row>
    <row r="740" spans="1:5" x14ac:dyDescent="0.3">
      <c r="A740" s="7" t="s">
        <v>495</v>
      </c>
      <c r="B740" s="7" t="s">
        <v>749</v>
      </c>
      <c r="C740" s="7" t="s">
        <v>744</v>
      </c>
      <c r="D740" s="8">
        <f>(D350*inputs!$E$87)/(inputs!$E$31^inputs!E131)</f>
        <v>0</v>
      </c>
      <c r="E740" s="7" t="str">
        <f t="shared" ca="1" si="11"/>
        <v>=(D350*inputs!$E$87)/(inputs!$E$31^inputs!E131)</v>
      </c>
    </row>
    <row r="741" spans="1:5" x14ac:dyDescent="0.3">
      <c r="A741" s="7" t="s">
        <v>495</v>
      </c>
      <c r="B741" s="7" t="s">
        <v>749</v>
      </c>
      <c r="C741" s="7" t="s">
        <v>745</v>
      </c>
      <c r="D741" s="8">
        <f>(D351*inputs!$E$87)/(inputs!$E$31^inputs!E132)</f>
        <v>0</v>
      </c>
      <c r="E741" s="7" t="str">
        <f t="shared" ca="1" si="11"/>
        <v>=(D351*inputs!$E$87)/(inputs!$E$31^inputs!E132)</v>
      </c>
    </row>
    <row r="742" spans="1:5" x14ac:dyDescent="0.3">
      <c r="A742" s="7" t="s">
        <v>495</v>
      </c>
      <c r="B742" s="7" t="s">
        <v>749</v>
      </c>
      <c r="C742" s="7" t="s">
        <v>746</v>
      </c>
      <c r="D742" s="8">
        <f>(D352*inputs!$E$87)/(inputs!$E$31^inputs!E133)</f>
        <v>0</v>
      </c>
      <c r="E742" s="7" t="str">
        <f t="shared" ca="1" si="11"/>
        <v>=(D352*inputs!$E$87)/(inputs!$E$31^inputs!E133)</v>
      </c>
    </row>
    <row r="743" spans="1:5" x14ac:dyDescent="0.3">
      <c r="A743" s="7" t="s">
        <v>495</v>
      </c>
      <c r="B743" s="7" t="s">
        <v>749</v>
      </c>
      <c r="C743" s="7" t="s">
        <v>747</v>
      </c>
      <c r="D743" s="8">
        <f>(D353*inputs!$E$87)/(inputs!$E$31^inputs!E134)</f>
        <v>0</v>
      </c>
      <c r="E743" s="7" t="str">
        <f t="shared" ca="1" si="11"/>
        <v>=(D353*inputs!$E$87)/(inputs!$E$31^inputs!E134)</v>
      </c>
    </row>
    <row r="744" spans="1:5" x14ac:dyDescent="0.3">
      <c r="A744" s="7" t="s">
        <v>495</v>
      </c>
      <c r="B744" s="7" t="s">
        <v>749</v>
      </c>
      <c r="C744" s="7" t="s">
        <v>748</v>
      </c>
      <c r="D744" s="8">
        <f>(D354*inputs!$E$87)/(inputs!$E$31^inputs!E135)</f>
        <v>0</v>
      </c>
      <c r="E744" s="7" t="str">
        <f t="shared" ca="1" si="11"/>
        <v>=(D354*inputs!$E$87)/(inputs!$E$31^inputs!E135)</v>
      </c>
    </row>
    <row r="745" spans="1:5" x14ac:dyDescent="0.3">
      <c r="A745" s="7" t="s">
        <v>495</v>
      </c>
      <c r="B745" s="7" t="s">
        <v>750</v>
      </c>
      <c r="C745" s="7" t="s">
        <v>665</v>
      </c>
      <c r="D745" s="8">
        <f>D149*inputs!E89</f>
        <v>16308821.680187535</v>
      </c>
      <c r="E745" s="7" t="str">
        <f t="shared" ca="1" si="11"/>
        <v>=D149*inputs!E89</v>
      </c>
    </row>
    <row r="746" spans="1:5" x14ac:dyDescent="0.3">
      <c r="A746" s="7" t="s">
        <v>495</v>
      </c>
      <c r="B746" s="7" t="s">
        <v>750</v>
      </c>
      <c r="C746" s="7" t="s">
        <v>666</v>
      </c>
      <c r="D746" s="8">
        <f>D150*inputs!E90</f>
        <v>9503594.4773476571</v>
      </c>
      <c r="E746" s="7" t="str">
        <f t="shared" ca="1" si="11"/>
        <v>=D150*inputs!E90</v>
      </c>
    </row>
    <row r="747" spans="1:5" x14ac:dyDescent="0.3">
      <c r="A747" s="7" t="s">
        <v>495</v>
      </c>
      <c r="B747" s="7" t="s">
        <v>750</v>
      </c>
      <c r="C747" s="7" t="s">
        <v>667</v>
      </c>
      <c r="D747" s="8">
        <f>D152*inputs!E91</f>
        <v>0</v>
      </c>
      <c r="E747" s="7" t="str">
        <f t="shared" ca="1" si="11"/>
        <v>=D152*inputs!E91</v>
      </c>
    </row>
    <row r="748" spans="1:5" x14ac:dyDescent="0.3">
      <c r="A748" s="7" t="s">
        <v>495</v>
      </c>
      <c r="B748" s="7" t="s">
        <v>750</v>
      </c>
      <c r="C748" s="7" t="s">
        <v>668</v>
      </c>
      <c r="D748" s="8">
        <f>D153*inputs!E92</f>
        <v>0</v>
      </c>
      <c r="E748" s="7" t="str">
        <f t="shared" ca="1" si="11"/>
        <v>=D153*inputs!E92</v>
      </c>
    </row>
    <row r="749" spans="1:5" x14ac:dyDescent="0.3">
      <c r="A749" s="7" t="s">
        <v>495</v>
      </c>
      <c r="B749" s="7" t="s">
        <v>750</v>
      </c>
      <c r="C749" s="7" t="s">
        <v>669</v>
      </c>
      <c r="D749" s="8">
        <f>D154*inputs!E93</f>
        <v>0</v>
      </c>
      <c r="E749" s="7" t="str">
        <f t="shared" ca="1" si="11"/>
        <v>=D154*inputs!E93</v>
      </c>
    </row>
    <row r="750" spans="1:5" x14ac:dyDescent="0.3">
      <c r="A750" s="7" t="s">
        <v>495</v>
      </c>
      <c r="B750" s="7" t="s">
        <v>750</v>
      </c>
      <c r="C750" s="7" t="s">
        <v>672</v>
      </c>
      <c r="D750" s="8">
        <f>D155*inputs!E94</f>
        <v>32626546.958244383</v>
      </c>
      <c r="E750" s="7" t="str">
        <f t="shared" ca="1" si="11"/>
        <v>=D155*inputs!E94</v>
      </c>
    </row>
    <row r="751" spans="1:5" x14ac:dyDescent="0.3">
      <c r="A751" s="7" t="s">
        <v>495</v>
      </c>
      <c r="B751" s="7" t="s">
        <v>750</v>
      </c>
      <c r="C751" s="7" t="s">
        <v>673</v>
      </c>
      <c r="D751" s="8">
        <f>D156*inputs!E95</f>
        <v>0</v>
      </c>
      <c r="E751" s="7" t="str">
        <f t="shared" ca="1" si="11"/>
        <v>=D156*inputs!E95</v>
      </c>
    </row>
    <row r="752" spans="1:5" x14ac:dyDescent="0.3">
      <c r="A752" s="7"/>
      <c r="B752" s="7"/>
      <c r="C752" s="7"/>
      <c r="D752" s="8"/>
      <c r="E752" s="7"/>
    </row>
    <row r="753" spans="1:5" x14ac:dyDescent="0.3">
      <c r="A753" s="7"/>
      <c r="B753" s="7"/>
      <c r="C753" s="7"/>
      <c r="D753" s="8"/>
      <c r="E753" s="7"/>
    </row>
    <row r="754" spans="1:5" x14ac:dyDescent="0.3">
      <c r="A754" s="7"/>
      <c r="B754" s="7"/>
      <c r="C754" s="7"/>
      <c r="D754" s="8"/>
      <c r="E754" s="7"/>
    </row>
    <row r="755" spans="1:5" x14ac:dyDescent="0.3">
      <c r="A755" s="7"/>
      <c r="B755" s="7"/>
      <c r="C755" s="7"/>
      <c r="D755" s="8"/>
      <c r="E755" s="7"/>
    </row>
    <row r="756" spans="1:5" x14ac:dyDescent="0.3">
      <c r="A756" s="7"/>
      <c r="B756" s="7"/>
      <c r="C756" s="7"/>
      <c r="D756" s="8"/>
      <c r="E756" s="7"/>
    </row>
    <row r="757" spans="1:5" x14ac:dyDescent="0.3">
      <c r="A757" s="7"/>
      <c r="B757" s="7"/>
      <c r="C757" s="7"/>
      <c r="D757" s="8"/>
      <c r="E757" s="7"/>
    </row>
    <row r="758" spans="1:5" x14ac:dyDescent="0.3">
      <c r="A758" s="7"/>
      <c r="B758" s="7"/>
      <c r="C758" s="7"/>
      <c r="D758" s="8"/>
      <c r="E758" s="7"/>
    </row>
    <row r="759" spans="1:5" x14ac:dyDescent="0.3">
      <c r="A759" s="7"/>
      <c r="B759" s="7"/>
      <c r="C759" s="7"/>
      <c r="D759" s="8"/>
      <c r="E759" s="7"/>
    </row>
    <row r="760" spans="1:5" x14ac:dyDescent="0.3">
      <c r="A760" s="7"/>
      <c r="B760" s="7"/>
      <c r="C760" s="7"/>
      <c r="D760" s="8"/>
      <c r="E760" s="7"/>
    </row>
    <row r="761" spans="1:5" x14ac:dyDescent="0.3">
      <c r="A761" s="7"/>
      <c r="B761" s="7"/>
      <c r="C761" s="7"/>
      <c r="D761" s="8"/>
      <c r="E761" s="7"/>
    </row>
    <row r="762" spans="1:5" x14ac:dyDescent="0.3">
      <c r="A762" s="7"/>
      <c r="B762" s="7"/>
      <c r="C762" s="7"/>
      <c r="D762" s="8"/>
      <c r="E762" s="7"/>
    </row>
    <row r="763" spans="1:5" x14ac:dyDescent="0.3">
      <c r="A763" s="7"/>
      <c r="B763" s="7"/>
      <c r="C763" s="7"/>
      <c r="D763" s="8"/>
      <c r="E763" s="7"/>
    </row>
    <row r="764" spans="1:5" x14ac:dyDescent="0.3">
      <c r="A764" s="7"/>
      <c r="B764" s="7"/>
      <c r="C764" s="7"/>
      <c r="D764" s="8"/>
      <c r="E764" s="7"/>
    </row>
    <row r="765" spans="1:5" x14ac:dyDescent="0.3">
      <c r="A765" s="7"/>
      <c r="B765" s="7"/>
      <c r="C765" s="7"/>
      <c r="D765" s="8"/>
      <c r="E765" s="7"/>
    </row>
    <row r="766" spans="1:5" x14ac:dyDescent="0.3">
      <c r="A766" s="7"/>
      <c r="B766" s="7"/>
      <c r="C766" s="7"/>
      <c r="D766" s="8"/>
      <c r="E766" s="7"/>
    </row>
    <row r="767" spans="1:5" x14ac:dyDescent="0.3">
      <c r="A767" s="7"/>
      <c r="B767" s="7"/>
      <c r="C767" s="7"/>
      <c r="D767" s="8"/>
      <c r="E767" s="7"/>
    </row>
    <row r="768" spans="1:5" x14ac:dyDescent="0.3">
      <c r="A768" s="7"/>
      <c r="B768" s="7"/>
      <c r="C768" s="7"/>
      <c r="D768" s="8"/>
      <c r="E768" s="7"/>
    </row>
    <row r="769" spans="1:5" x14ac:dyDescent="0.3">
      <c r="A769" s="7"/>
      <c r="B769" s="7"/>
      <c r="C769" s="7"/>
      <c r="D769" s="8"/>
      <c r="E769" s="7"/>
    </row>
    <row r="770" spans="1:5" x14ac:dyDescent="0.3">
      <c r="A770" s="7"/>
      <c r="B770" s="7"/>
      <c r="C770" s="7"/>
      <c r="D770" s="8"/>
      <c r="E770" s="7"/>
    </row>
    <row r="771" spans="1:5" x14ac:dyDescent="0.3">
      <c r="A771" s="7"/>
      <c r="B771" s="7"/>
      <c r="C771" s="7"/>
      <c r="D771" s="8"/>
      <c r="E771" s="7"/>
    </row>
    <row r="772" spans="1:5" x14ac:dyDescent="0.3">
      <c r="A772" s="7"/>
      <c r="B772" s="7"/>
      <c r="C772" s="7"/>
      <c r="D772" s="8"/>
      <c r="E772" s="7"/>
    </row>
    <row r="773" spans="1:5" x14ac:dyDescent="0.3">
      <c r="A773" s="7"/>
      <c r="B773" s="7"/>
      <c r="C773" s="7"/>
      <c r="D773" s="8"/>
      <c r="E773" s="7"/>
    </row>
    <row r="774" spans="1:5" x14ac:dyDescent="0.3">
      <c r="A774" s="7"/>
      <c r="B774" s="7"/>
      <c r="C774" s="7"/>
      <c r="D774" s="8"/>
      <c r="E774" s="7"/>
    </row>
    <row r="775" spans="1:5" x14ac:dyDescent="0.3">
      <c r="A775" s="7"/>
      <c r="B775" s="7"/>
      <c r="C775" s="7"/>
      <c r="D775" s="8"/>
      <c r="E775" s="7"/>
    </row>
    <row r="776" spans="1:5" x14ac:dyDescent="0.3">
      <c r="A776" s="7"/>
      <c r="B776" s="7"/>
      <c r="C776" s="7"/>
      <c r="D776" s="8"/>
      <c r="E776" s="7"/>
    </row>
    <row r="777" spans="1:5" x14ac:dyDescent="0.3">
      <c r="A777" s="7"/>
      <c r="B777" s="7"/>
      <c r="C777" s="7"/>
      <c r="D777" s="8"/>
      <c r="E777" s="7"/>
    </row>
    <row r="778" spans="1:5" x14ac:dyDescent="0.3">
      <c r="A778" s="7"/>
      <c r="B778" s="7"/>
      <c r="C778" s="7"/>
      <c r="D778" s="8"/>
      <c r="E778" s="7"/>
    </row>
    <row r="779" spans="1:5" x14ac:dyDescent="0.3">
      <c r="A779" s="7"/>
      <c r="B779" s="7"/>
      <c r="C779" s="7"/>
      <c r="D779" s="8"/>
      <c r="E779" s="7"/>
    </row>
    <row r="780" spans="1:5" x14ac:dyDescent="0.3">
      <c r="A780" s="7"/>
      <c r="B780" s="7"/>
      <c r="C780" s="7"/>
      <c r="D780" s="8"/>
      <c r="E780" s="7"/>
    </row>
    <row r="781" spans="1:5" x14ac:dyDescent="0.3">
      <c r="A781" s="7"/>
      <c r="B781" s="7"/>
      <c r="C781" s="7"/>
      <c r="D781" s="8"/>
      <c r="E781" s="7"/>
    </row>
    <row r="782" spans="1:5" x14ac:dyDescent="0.3">
      <c r="A782" s="7"/>
      <c r="B782" s="7"/>
      <c r="C782" s="7"/>
      <c r="D782" s="8"/>
      <c r="E782" s="7"/>
    </row>
    <row r="783" spans="1:5" x14ac:dyDescent="0.3">
      <c r="A783" s="7"/>
      <c r="B783" s="7"/>
      <c r="C783" s="7"/>
      <c r="D783" s="8"/>
      <c r="E783" s="7"/>
    </row>
    <row r="784" spans="1:5" x14ac:dyDescent="0.3">
      <c r="A784" s="7"/>
      <c r="B784" s="7"/>
      <c r="C784" s="7"/>
      <c r="D784" s="8"/>
      <c r="E784" s="7"/>
    </row>
    <row r="785" spans="1:5" x14ac:dyDescent="0.3">
      <c r="A785" s="7"/>
      <c r="B785" s="7"/>
      <c r="C785" s="7"/>
      <c r="D785" s="8"/>
      <c r="E785" s="7"/>
    </row>
    <row r="786" spans="1:5" x14ac:dyDescent="0.3">
      <c r="A786" s="7"/>
      <c r="B786" s="7"/>
      <c r="C786" s="7"/>
      <c r="D786" s="8"/>
      <c r="E786" s="7"/>
    </row>
    <row r="787" spans="1:5" x14ac:dyDescent="0.3">
      <c r="A787" s="7"/>
      <c r="B787" s="7"/>
      <c r="C787" s="7"/>
      <c r="D787" s="8"/>
      <c r="E787" s="7"/>
    </row>
    <row r="788" spans="1:5" x14ac:dyDescent="0.3">
      <c r="A788" s="7"/>
      <c r="B788" s="7"/>
      <c r="C788" s="7"/>
      <c r="D788" s="8"/>
      <c r="E788" s="7"/>
    </row>
    <row r="789" spans="1:5" x14ac:dyDescent="0.3">
      <c r="A789" s="7"/>
      <c r="B789" s="7"/>
      <c r="C789" s="7"/>
      <c r="D789" s="8"/>
      <c r="E789" s="7"/>
    </row>
    <row r="790" spans="1:5" x14ac:dyDescent="0.3">
      <c r="A790" s="7"/>
      <c r="B790" s="7"/>
      <c r="C790" s="7"/>
      <c r="D790" s="8"/>
      <c r="E790" s="7"/>
    </row>
    <row r="791" spans="1:5" x14ac:dyDescent="0.3">
      <c r="A791" s="7"/>
      <c r="B791" s="7"/>
      <c r="C791" s="7"/>
      <c r="D791" s="8"/>
      <c r="E791" s="7"/>
    </row>
    <row r="792" spans="1:5" x14ac:dyDescent="0.3">
      <c r="A792" s="7"/>
      <c r="B792" s="7"/>
      <c r="C792" s="7"/>
      <c r="D792" s="8"/>
      <c r="E792" s="7"/>
    </row>
    <row r="793" spans="1:5" x14ac:dyDescent="0.3">
      <c r="A793" s="7"/>
      <c r="B793" s="7"/>
      <c r="C793" s="7"/>
      <c r="D793" s="8"/>
      <c r="E793" s="7"/>
    </row>
    <row r="794" spans="1:5" x14ac:dyDescent="0.3">
      <c r="A794" s="7"/>
      <c r="B794" s="7"/>
      <c r="C794" s="7"/>
      <c r="D794" s="8"/>
      <c r="E794" s="7"/>
    </row>
    <row r="795" spans="1:5" x14ac:dyDescent="0.3">
      <c r="A795" s="7"/>
      <c r="B795" s="7"/>
      <c r="C795" s="7"/>
      <c r="D795" s="8"/>
      <c r="E795" s="7"/>
    </row>
    <row r="796" spans="1:5" x14ac:dyDescent="0.3">
      <c r="A796" s="7"/>
      <c r="B796" s="7"/>
      <c r="C796" s="7"/>
      <c r="D796" s="8"/>
      <c r="E796" s="7"/>
    </row>
    <row r="797" spans="1:5" x14ac:dyDescent="0.3">
      <c r="A797" s="7"/>
      <c r="B797" s="7"/>
      <c r="C797" s="7"/>
      <c r="D797" s="8"/>
      <c r="E797" s="7"/>
    </row>
    <row r="798" spans="1:5" x14ac:dyDescent="0.3">
      <c r="A798" s="7"/>
      <c r="B798" s="7"/>
      <c r="C798" s="7"/>
      <c r="D798" s="8"/>
      <c r="E798" s="7"/>
    </row>
    <row r="799" spans="1:5" x14ac:dyDescent="0.3">
      <c r="A799" s="7"/>
      <c r="B799" s="7"/>
      <c r="C799" s="7"/>
      <c r="D799" s="8"/>
      <c r="E799" s="7"/>
    </row>
    <row r="800" spans="1:5" x14ac:dyDescent="0.3">
      <c r="A800" s="7"/>
      <c r="B800" s="7"/>
      <c r="C800" s="7"/>
      <c r="D800" s="8"/>
      <c r="E800" s="7"/>
    </row>
    <row r="801" spans="1:5" x14ac:dyDescent="0.3">
      <c r="A801" s="7"/>
      <c r="B801" s="7"/>
      <c r="C801" s="7"/>
      <c r="D801" s="8"/>
      <c r="E801" s="7"/>
    </row>
    <row r="802" spans="1:5" x14ac:dyDescent="0.3">
      <c r="A802" s="7"/>
      <c r="B802" s="7"/>
      <c r="C802" s="7"/>
      <c r="D802" s="8"/>
      <c r="E802" s="7"/>
    </row>
    <row r="803" spans="1:5" x14ac:dyDescent="0.3">
      <c r="A803" s="7"/>
      <c r="B803" s="7"/>
      <c r="C803" s="7"/>
      <c r="D803" s="8"/>
      <c r="E803" s="7"/>
    </row>
    <row r="804" spans="1:5" x14ac:dyDescent="0.3">
      <c r="A804" s="7"/>
      <c r="B804" s="7"/>
      <c r="C804" s="7"/>
      <c r="D804" s="8"/>
      <c r="E804" s="7"/>
    </row>
    <row r="805" spans="1:5" x14ac:dyDescent="0.3">
      <c r="A805" s="7"/>
      <c r="B805" s="7"/>
      <c r="C805" s="7"/>
      <c r="D805" s="8"/>
      <c r="E805" s="7"/>
    </row>
    <row r="806" spans="1:5" x14ac:dyDescent="0.3">
      <c r="A806" s="7"/>
      <c r="B806" s="7"/>
      <c r="C806" s="7"/>
      <c r="D806" s="8"/>
      <c r="E806" s="7"/>
    </row>
    <row r="807" spans="1:5" x14ac:dyDescent="0.3">
      <c r="A807" s="7"/>
      <c r="B807" s="7"/>
      <c r="C807" s="7"/>
      <c r="D807" s="8"/>
      <c r="E807" s="7"/>
    </row>
    <row r="808" spans="1:5" x14ac:dyDescent="0.3">
      <c r="A808" s="7"/>
      <c r="B808" s="7"/>
      <c r="C808" s="7"/>
      <c r="D808" s="8"/>
      <c r="E808" s="7"/>
    </row>
    <row r="809" spans="1:5" x14ac:dyDescent="0.3">
      <c r="A809" s="7"/>
      <c r="B809" s="7"/>
      <c r="C809" s="7"/>
      <c r="D809" s="8"/>
      <c r="E809" s="7"/>
    </row>
    <row r="810" spans="1:5" x14ac:dyDescent="0.3">
      <c r="A810" s="7"/>
      <c r="B810" s="7"/>
      <c r="C810" s="7"/>
      <c r="D810" s="8"/>
      <c r="E810" s="7"/>
    </row>
    <row r="811" spans="1:5" x14ac:dyDescent="0.3">
      <c r="A811" s="7"/>
      <c r="B811" s="7"/>
      <c r="C811" s="7"/>
      <c r="D811" s="8"/>
      <c r="E811" s="7"/>
    </row>
    <row r="812" spans="1:5" x14ac:dyDescent="0.3">
      <c r="A812" s="7"/>
      <c r="B812" s="7"/>
      <c r="C812" s="7"/>
      <c r="D812" s="8"/>
      <c r="E812" s="7"/>
    </row>
    <row r="813" spans="1:5" x14ac:dyDescent="0.3">
      <c r="A813" s="7"/>
      <c r="B813" s="7"/>
      <c r="C813" s="7"/>
      <c r="D813" s="8"/>
      <c r="E813" s="7"/>
    </row>
    <row r="814" spans="1:5" x14ac:dyDescent="0.3">
      <c r="A814" s="7"/>
      <c r="B814" s="7"/>
      <c r="C814" s="7"/>
      <c r="D814" s="8"/>
      <c r="E814" s="7"/>
    </row>
    <row r="815" spans="1:5" x14ac:dyDescent="0.3">
      <c r="A815" s="7"/>
      <c r="B815" s="7"/>
      <c r="C815" s="7"/>
      <c r="D815" s="8"/>
      <c r="E815" s="7"/>
    </row>
    <row r="816" spans="1:5" x14ac:dyDescent="0.3">
      <c r="A816" s="7"/>
      <c r="B816" s="7"/>
      <c r="C816" s="7"/>
      <c r="D816" s="8"/>
      <c r="E816" s="7"/>
    </row>
    <row r="817" spans="1:5" x14ac:dyDescent="0.3">
      <c r="A817" s="7"/>
      <c r="B817" s="7"/>
      <c r="C817" s="7"/>
      <c r="D817" s="8"/>
      <c r="E817" s="7"/>
    </row>
    <row r="818" spans="1:5" x14ac:dyDescent="0.3">
      <c r="A818" s="7"/>
      <c r="B818" s="7"/>
      <c r="C818" s="7"/>
      <c r="D818" s="8"/>
      <c r="E818" s="7"/>
    </row>
    <row r="819" spans="1:5" x14ac:dyDescent="0.3">
      <c r="A819" s="7"/>
      <c r="B819" s="7"/>
      <c r="C819" s="7"/>
      <c r="D819" s="8"/>
      <c r="E819" s="7"/>
    </row>
    <row r="820" spans="1:5" x14ac:dyDescent="0.3">
      <c r="A820" s="7"/>
      <c r="B820" s="7"/>
      <c r="C820" s="7"/>
      <c r="D820" s="8"/>
      <c r="E820" s="7"/>
    </row>
    <row r="821" spans="1:5" x14ac:dyDescent="0.3">
      <c r="A821" s="7"/>
      <c r="B821" s="7"/>
      <c r="C821" s="7"/>
      <c r="D821" s="8"/>
      <c r="E821" s="7"/>
    </row>
    <row r="822" spans="1:5" x14ac:dyDescent="0.3">
      <c r="A822" s="7"/>
      <c r="B822" s="7"/>
      <c r="C822" s="7"/>
      <c r="D822" s="8"/>
      <c r="E822" s="7"/>
    </row>
    <row r="823" spans="1:5" x14ac:dyDescent="0.3">
      <c r="A823" s="7"/>
      <c r="B823" s="7"/>
      <c r="C823" s="7"/>
      <c r="D823" s="8"/>
      <c r="E823" s="7"/>
    </row>
    <row r="824" spans="1:5" x14ac:dyDescent="0.3">
      <c r="A824" s="7"/>
      <c r="B824" s="7"/>
      <c r="C824" s="7"/>
      <c r="D824" s="8"/>
      <c r="E824" s="7"/>
    </row>
    <row r="825" spans="1:5" x14ac:dyDescent="0.3">
      <c r="A825" s="7"/>
      <c r="B825" s="7"/>
      <c r="C825" s="7"/>
      <c r="D825" s="8"/>
      <c r="E825" s="7"/>
    </row>
    <row r="826" spans="1:5" x14ac:dyDescent="0.3">
      <c r="A826" s="7"/>
      <c r="B826" s="7"/>
      <c r="C826" s="7"/>
      <c r="D826" s="8"/>
      <c r="E826" s="7"/>
    </row>
    <row r="827" spans="1:5" x14ac:dyDescent="0.3">
      <c r="A827" s="7"/>
      <c r="B827" s="7"/>
      <c r="C827" s="7"/>
      <c r="D827" s="8"/>
      <c r="E827" s="7"/>
    </row>
    <row r="828" spans="1:5" x14ac:dyDescent="0.3">
      <c r="A828" s="7"/>
      <c r="B828" s="7"/>
      <c r="C828" s="7"/>
      <c r="D828" s="8"/>
      <c r="E828" s="7"/>
    </row>
    <row r="829" spans="1:5" x14ac:dyDescent="0.3">
      <c r="A829" s="7"/>
      <c r="B829" s="7"/>
      <c r="C829" s="7"/>
      <c r="D829" s="8"/>
      <c r="E829" s="7"/>
    </row>
    <row r="830" spans="1:5" x14ac:dyDescent="0.3">
      <c r="A830" s="7"/>
      <c r="B830" s="7"/>
      <c r="C830" s="7"/>
      <c r="D830" s="8"/>
      <c r="E830" s="7"/>
    </row>
    <row r="831" spans="1:5" x14ac:dyDescent="0.3">
      <c r="A831" s="7"/>
      <c r="B831" s="7"/>
      <c r="C831" s="7"/>
      <c r="D831" s="8"/>
      <c r="E831" s="7"/>
    </row>
    <row r="832" spans="1:5" x14ac:dyDescent="0.3">
      <c r="A832" s="7"/>
      <c r="B832" s="7"/>
      <c r="C832" s="7"/>
      <c r="D832" s="8"/>
      <c r="E832" s="7"/>
    </row>
    <row r="833" spans="1:5" x14ac:dyDescent="0.3">
      <c r="A833" s="7"/>
      <c r="B833" s="7"/>
      <c r="C833" s="7"/>
      <c r="D833" s="8"/>
      <c r="E833" s="7"/>
    </row>
    <row r="834" spans="1:5" x14ac:dyDescent="0.3">
      <c r="A834" s="7"/>
      <c r="B834" s="7"/>
      <c r="C834" s="7"/>
      <c r="D834" s="8"/>
      <c r="E834" s="7"/>
    </row>
    <row r="835" spans="1:5" x14ac:dyDescent="0.3">
      <c r="A835" s="7"/>
      <c r="B835" s="7"/>
      <c r="C835" s="7"/>
      <c r="D835" s="8"/>
      <c r="E835" s="7"/>
    </row>
    <row r="836" spans="1:5" x14ac:dyDescent="0.3">
      <c r="A836" s="7"/>
      <c r="B836" s="7"/>
      <c r="C836" s="7"/>
      <c r="D836" s="8"/>
      <c r="E836" s="7"/>
    </row>
    <row r="837" spans="1:5" x14ac:dyDescent="0.3">
      <c r="A837" s="7"/>
      <c r="B837" s="7"/>
      <c r="C837" s="7"/>
      <c r="D837" s="8"/>
      <c r="E837" s="7"/>
    </row>
    <row r="838" spans="1:5" x14ac:dyDescent="0.3">
      <c r="A838" s="7"/>
      <c r="B838" s="7"/>
      <c r="C838" s="7"/>
      <c r="D838" s="8"/>
      <c r="E838" s="7"/>
    </row>
    <row r="839" spans="1:5" x14ac:dyDescent="0.3">
      <c r="A839" s="7"/>
      <c r="B839" s="7"/>
      <c r="C839" s="7"/>
      <c r="D839" s="8"/>
      <c r="E839" s="7"/>
    </row>
    <row r="840" spans="1:5" x14ac:dyDescent="0.3">
      <c r="A840" s="7"/>
      <c r="B840" s="7"/>
      <c r="C840" s="7"/>
      <c r="D840" s="8"/>
      <c r="E840" s="7"/>
    </row>
    <row r="841" spans="1:5" x14ac:dyDescent="0.3">
      <c r="A841" s="7"/>
      <c r="B841" s="7"/>
      <c r="C841" s="7"/>
      <c r="D841" s="8"/>
      <c r="E841" s="7"/>
    </row>
    <row r="842" spans="1:5" x14ac:dyDescent="0.3">
      <c r="A842" s="7"/>
      <c r="B842" s="7"/>
      <c r="C842" s="7"/>
      <c r="D842" s="8"/>
      <c r="E842" s="7"/>
    </row>
    <row r="843" spans="1:5" x14ac:dyDescent="0.3">
      <c r="A843" s="7"/>
      <c r="B843" s="7"/>
      <c r="C843" s="7"/>
      <c r="D843" s="8"/>
      <c r="E843" s="7"/>
    </row>
    <row r="844" spans="1:5" x14ac:dyDescent="0.3">
      <c r="A844" s="7"/>
      <c r="B844" s="7"/>
      <c r="C844" s="7"/>
      <c r="D844" s="8"/>
      <c r="E844" s="7"/>
    </row>
    <row r="845" spans="1:5" x14ac:dyDescent="0.3">
      <c r="A845" s="7"/>
      <c r="B845" s="7"/>
      <c r="C845" s="7"/>
      <c r="D845" s="8"/>
      <c r="E845" s="7"/>
    </row>
    <row r="846" spans="1:5" x14ac:dyDescent="0.3">
      <c r="A846" s="7"/>
      <c r="B846" s="7"/>
      <c r="C846" s="7"/>
      <c r="D846" s="8"/>
      <c r="E846" s="7"/>
    </row>
    <row r="847" spans="1:5" x14ac:dyDescent="0.3">
      <c r="A847" s="7"/>
      <c r="B847" s="7"/>
      <c r="C847" s="7"/>
      <c r="D847" s="8"/>
      <c r="E847" s="7"/>
    </row>
    <row r="848" spans="1:5" x14ac:dyDescent="0.3">
      <c r="A848" s="7"/>
      <c r="B848" s="7"/>
      <c r="C848" s="7"/>
      <c r="D848" s="8"/>
      <c r="E848" s="7"/>
    </row>
    <row r="849" spans="1:5" x14ac:dyDescent="0.3">
      <c r="A849" s="7"/>
      <c r="B849" s="7"/>
      <c r="C849" s="7"/>
      <c r="D849" s="8"/>
      <c r="E849" s="7"/>
    </row>
    <row r="850" spans="1:5" x14ac:dyDescent="0.3">
      <c r="A850" s="7"/>
      <c r="B850" s="7"/>
      <c r="C850" s="7"/>
      <c r="D850" s="8"/>
      <c r="E850" s="7"/>
    </row>
    <row r="851" spans="1:5" x14ac:dyDescent="0.3">
      <c r="A851" s="7"/>
      <c r="B851" s="7"/>
      <c r="C851" s="7"/>
      <c r="D851" s="8"/>
      <c r="E851" s="7"/>
    </row>
    <row r="852" spans="1:5" x14ac:dyDescent="0.3">
      <c r="A852" s="7"/>
      <c r="B852" s="7"/>
      <c r="C852" s="7"/>
      <c r="D852" s="8"/>
      <c r="E852" s="7"/>
    </row>
    <row r="853" spans="1:5" x14ac:dyDescent="0.3">
      <c r="A853" s="7"/>
      <c r="B853" s="7"/>
      <c r="C853" s="7"/>
      <c r="D853" s="8"/>
      <c r="E853" s="7"/>
    </row>
    <row r="854" spans="1:5" x14ac:dyDescent="0.3">
      <c r="A854" s="7"/>
      <c r="B854" s="7"/>
      <c r="C854" s="7"/>
      <c r="D854" s="8"/>
      <c r="E854" s="7"/>
    </row>
    <row r="855" spans="1:5" x14ac:dyDescent="0.3">
      <c r="A855" s="7"/>
      <c r="B855" s="7"/>
      <c r="C855" s="7"/>
      <c r="D855" s="8"/>
      <c r="E855" s="7"/>
    </row>
    <row r="856" spans="1:5" x14ac:dyDescent="0.3">
      <c r="A856" s="7"/>
      <c r="B856" s="7"/>
      <c r="C856" s="7"/>
      <c r="D856" s="8"/>
      <c r="E856" s="7"/>
    </row>
    <row r="857" spans="1:5" x14ac:dyDescent="0.3">
      <c r="A857" s="7"/>
      <c r="B857" s="7"/>
      <c r="C857" s="7"/>
      <c r="D857" s="8"/>
      <c r="E857" s="7"/>
    </row>
    <row r="858" spans="1:5" x14ac:dyDescent="0.3">
      <c r="A858" s="7"/>
      <c r="B858" s="7"/>
      <c r="C858" s="7"/>
      <c r="D858" s="8"/>
      <c r="E858" s="7"/>
    </row>
    <row r="859" spans="1:5" x14ac:dyDescent="0.3">
      <c r="A859" s="7"/>
      <c r="B859" s="7"/>
      <c r="C859" s="7"/>
      <c r="D859" s="8"/>
      <c r="E859" s="7"/>
    </row>
    <row r="860" spans="1:5" x14ac:dyDescent="0.3">
      <c r="A860" s="7"/>
      <c r="B860" s="7"/>
      <c r="C860" s="7"/>
      <c r="D860" s="8"/>
      <c r="E860" s="7"/>
    </row>
    <row r="861" spans="1:5" x14ac:dyDescent="0.3">
      <c r="A861" s="7"/>
      <c r="B861" s="7"/>
      <c r="C861" s="7"/>
      <c r="D861" s="8"/>
      <c r="E861" s="7"/>
    </row>
    <row r="862" spans="1:5" x14ac:dyDescent="0.3">
      <c r="A862" s="7"/>
      <c r="B862" s="7"/>
      <c r="C862" s="7"/>
      <c r="D862" s="8"/>
      <c r="E862" s="7"/>
    </row>
    <row r="863" spans="1:5" x14ac:dyDescent="0.3">
      <c r="A863" s="7"/>
      <c r="B863" s="7"/>
      <c r="C863" s="7"/>
      <c r="D863" s="8"/>
      <c r="E863" s="7"/>
    </row>
    <row r="864" spans="1:5" x14ac:dyDescent="0.3">
      <c r="A864" s="7"/>
      <c r="B864" s="7"/>
      <c r="C864" s="7"/>
      <c r="D864" s="8"/>
      <c r="E864" s="7"/>
    </row>
    <row r="865" spans="1:5" x14ac:dyDescent="0.3">
      <c r="A865" s="7"/>
      <c r="B865" s="7"/>
      <c r="C865" s="7"/>
      <c r="D865" s="8"/>
      <c r="E865" s="7"/>
    </row>
    <row r="866" spans="1:5" x14ac:dyDescent="0.3">
      <c r="A866" s="7"/>
      <c r="B866" s="7"/>
      <c r="C866" s="7"/>
      <c r="D866" s="8"/>
      <c r="E866" s="7"/>
    </row>
    <row r="867" spans="1:5" x14ac:dyDescent="0.3">
      <c r="A867" s="7"/>
      <c r="B867" s="7"/>
      <c r="C867" s="7"/>
      <c r="D867" s="8"/>
      <c r="E867" s="7"/>
    </row>
    <row r="868" spans="1:5" x14ac:dyDescent="0.3">
      <c r="A868" s="7"/>
      <c r="B868" s="7"/>
      <c r="C868" s="7"/>
      <c r="D868" s="8"/>
      <c r="E868" s="7"/>
    </row>
    <row r="869" spans="1:5" x14ac:dyDescent="0.3">
      <c r="A869" s="7"/>
      <c r="B869" s="7"/>
      <c r="C869" s="7"/>
      <c r="D869" s="8"/>
      <c r="E869" s="7"/>
    </row>
    <row r="870" spans="1:5" x14ac:dyDescent="0.3">
      <c r="A870" s="7"/>
      <c r="B870" s="7"/>
      <c r="C870" s="7"/>
      <c r="D870" s="8"/>
      <c r="E870" s="7"/>
    </row>
    <row r="871" spans="1:5" x14ac:dyDescent="0.3">
      <c r="A871" s="7"/>
      <c r="B871" s="7"/>
      <c r="C871" s="7"/>
      <c r="D871" s="8"/>
      <c r="E871" s="7"/>
    </row>
    <row r="872" spans="1:5" x14ac:dyDescent="0.3">
      <c r="A872" s="7"/>
      <c r="B872" s="7"/>
      <c r="C872" s="7"/>
      <c r="D872" s="8"/>
      <c r="E872" s="7"/>
    </row>
    <row r="873" spans="1:5" x14ac:dyDescent="0.3">
      <c r="A873" s="7"/>
      <c r="B873" s="7"/>
      <c r="C873" s="7"/>
      <c r="D873" s="8"/>
      <c r="E873" s="7"/>
    </row>
    <row r="874" spans="1:5" x14ac:dyDescent="0.3">
      <c r="A874" s="7"/>
      <c r="B874" s="7"/>
      <c r="C874" s="7"/>
      <c r="D874" s="8"/>
      <c r="E874" s="7"/>
    </row>
    <row r="875" spans="1:5" x14ac:dyDescent="0.3">
      <c r="A875" s="7"/>
      <c r="B875" s="7"/>
      <c r="C875" s="7"/>
      <c r="D875" s="8"/>
      <c r="E875" s="7"/>
    </row>
    <row r="876" spans="1:5" x14ac:dyDescent="0.3">
      <c r="A876" s="7"/>
      <c r="B876" s="7"/>
      <c r="C876" s="7"/>
      <c r="D876" s="8"/>
      <c r="E876" s="7"/>
    </row>
    <row r="877" spans="1:5" x14ac:dyDescent="0.3">
      <c r="A877" s="7"/>
      <c r="B877" s="7"/>
      <c r="C877" s="7"/>
      <c r="D877" s="8"/>
      <c r="E877" s="7"/>
    </row>
    <row r="878" spans="1:5" x14ac:dyDescent="0.3">
      <c r="A878" s="7"/>
      <c r="B878" s="7"/>
      <c r="C878" s="7"/>
      <c r="D878" s="8"/>
      <c r="E878" s="7"/>
    </row>
    <row r="879" spans="1:5" x14ac:dyDescent="0.3">
      <c r="A879" s="7"/>
      <c r="B879" s="7"/>
      <c r="C879" s="7"/>
      <c r="D879" s="8"/>
      <c r="E879" s="7"/>
    </row>
    <row r="880" spans="1:5" x14ac:dyDescent="0.3">
      <c r="A880" s="7"/>
      <c r="B880" s="7"/>
      <c r="C880" s="7"/>
      <c r="D880" s="8"/>
      <c r="E880" s="7"/>
    </row>
    <row r="881" spans="1:5" x14ac:dyDescent="0.3">
      <c r="A881" s="7"/>
      <c r="B881" s="7"/>
      <c r="C881" s="7"/>
      <c r="D881" s="8"/>
      <c r="E881" s="7"/>
    </row>
    <row r="882" spans="1:5" x14ac:dyDescent="0.3">
      <c r="A882" s="7"/>
      <c r="B882" s="7"/>
      <c r="C882" s="7"/>
      <c r="D882" s="8"/>
      <c r="E882" s="7"/>
    </row>
    <row r="883" spans="1:5" x14ac:dyDescent="0.3">
      <c r="A883" s="7"/>
      <c r="B883" s="7"/>
      <c r="C883" s="7"/>
      <c r="D883" s="8"/>
      <c r="E883" s="7"/>
    </row>
    <row r="884" spans="1:5" x14ac:dyDescent="0.3">
      <c r="A884" s="7"/>
      <c r="B884" s="7"/>
      <c r="C884" s="7"/>
      <c r="D884" s="8"/>
      <c r="E884" s="7"/>
    </row>
    <row r="885" spans="1:5" x14ac:dyDescent="0.3">
      <c r="A885" s="7"/>
      <c r="B885" s="7"/>
      <c r="C885" s="7"/>
      <c r="D885" s="8"/>
      <c r="E885" s="7"/>
    </row>
    <row r="886" spans="1:5" x14ac:dyDescent="0.3">
      <c r="A886" s="7"/>
      <c r="B886" s="7"/>
      <c r="C886" s="7"/>
      <c r="D886" s="8"/>
      <c r="E886" s="7"/>
    </row>
    <row r="887" spans="1:5" x14ac:dyDescent="0.3">
      <c r="A887" s="7"/>
      <c r="B887" s="7"/>
      <c r="C887" s="7"/>
      <c r="D887" s="8"/>
      <c r="E887" s="7"/>
    </row>
    <row r="888" spans="1:5" x14ac:dyDescent="0.3">
      <c r="A888" s="7"/>
      <c r="B888" s="7"/>
      <c r="C888" s="7"/>
      <c r="D888" s="8"/>
      <c r="E888" s="7"/>
    </row>
    <row r="889" spans="1:5" x14ac:dyDescent="0.3">
      <c r="A889" s="7"/>
      <c r="B889" s="7"/>
      <c r="C889" s="7"/>
      <c r="D889" s="8"/>
      <c r="E889" s="7"/>
    </row>
    <row r="890" spans="1:5" x14ac:dyDescent="0.3">
      <c r="A890" s="7"/>
      <c r="B890" s="7"/>
      <c r="C890" s="7"/>
      <c r="D890" s="8"/>
      <c r="E890" s="7"/>
    </row>
    <row r="891" spans="1:5" x14ac:dyDescent="0.3">
      <c r="A891" s="7"/>
      <c r="B891" s="7"/>
      <c r="C891" s="7"/>
      <c r="D891" s="8"/>
      <c r="E891" s="7"/>
    </row>
    <row r="892" spans="1:5" x14ac:dyDescent="0.3">
      <c r="A892" s="7"/>
      <c r="B892" s="7"/>
      <c r="C892" s="7"/>
      <c r="D892" s="8"/>
      <c r="E892" s="7"/>
    </row>
    <row r="893" spans="1:5" x14ac:dyDescent="0.3">
      <c r="A893" s="7"/>
      <c r="B893" s="7"/>
      <c r="C893" s="7"/>
      <c r="D893" s="8"/>
      <c r="E893" s="7"/>
    </row>
    <row r="894" spans="1:5" x14ac:dyDescent="0.3">
      <c r="A894" s="7"/>
      <c r="B894" s="7"/>
      <c r="C894" s="7"/>
      <c r="D894" s="8"/>
      <c r="E894" s="7"/>
    </row>
    <row r="895" spans="1:5" x14ac:dyDescent="0.3">
      <c r="A895" s="7"/>
      <c r="B895" s="7"/>
      <c r="C895" s="7"/>
      <c r="D895" s="8"/>
      <c r="E895" s="7"/>
    </row>
    <row r="896" spans="1:5" x14ac:dyDescent="0.3">
      <c r="A896" s="7"/>
      <c r="B896" s="7"/>
      <c r="C896" s="7"/>
      <c r="D896" s="8"/>
      <c r="E896" s="7"/>
    </row>
    <row r="897" spans="1:5" x14ac:dyDescent="0.3">
      <c r="A897" s="7"/>
      <c r="B897" s="7"/>
      <c r="C897" s="7"/>
      <c r="D897" s="8"/>
      <c r="E897" s="7"/>
    </row>
    <row r="898" spans="1:5" x14ac:dyDescent="0.3">
      <c r="A898" s="7"/>
      <c r="B898" s="7"/>
      <c r="C898" s="7"/>
      <c r="D898" s="8"/>
      <c r="E898" s="7"/>
    </row>
    <row r="899" spans="1:5" x14ac:dyDescent="0.3">
      <c r="A899" s="7"/>
      <c r="B899" s="7"/>
      <c r="C899" s="7"/>
      <c r="D899" s="8"/>
      <c r="E899" s="7"/>
    </row>
    <row r="900" spans="1:5" x14ac:dyDescent="0.3">
      <c r="A900" s="7"/>
      <c r="B900" s="7"/>
      <c r="C900" s="7"/>
      <c r="D900" s="8"/>
      <c r="E900" s="7"/>
    </row>
    <row r="901" spans="1:5" x14ac:dyDescent="0.3">
      <c r="A901" s="7"/>
      <c r="B901" s="7"/>
      <c r="C901" s="7"/>
      <c r="D901" s="8"/>
      <c r="E901" s="7"/>
    </row>
    <row r="902" spans="1:5" x14ac:dyDescent="0.3">
      <c r="A902" s="7"/>
      <c r="B902" s="7"/>
      <c r="C902" s="7"/>
      <c r="D902" s="8"/>
      <c r="E902" s="7"/>
    </row>
    <row r="903" spans="1:5" x14ac:dyDescent="0.3">
      <c r="A903" s="7"/>
      <c r="B903" s="7"/>
      <c r="C903" s="7"/>
      <c r="D903" s="8"/>
      <c r="E903" s="7"/>
    </row>
    <row r="904" spans="1:5" x14ac:dyDescent="0.3">
      <c r="A904" s="7"/>
      <c r="B904" s="7"/>
      <c r="C904" s="7"/>
      <c r="D904" s="8"/>
      <c r="E904" s="7"/>
    </row>
    <row r="905" spans="1:5" x14ac:dyDescent="0.3">
      <c r="A905" s="7"/>
      <c r="B905" s="7"/>
      <c r="C905" s="7"/>
      <c r="D905" s="8"/>
      <c r="E905" s="7"/>
    </row>
    <row r="906" spans="1:5" x14ac:dyDescent="0.3">
      <c r="A906" s="7"/>
      <c r="B906" s="7"/>
      <c r="C906" s="7"/>
      <c r="D906" s="8"/>
      <c r="E906" s="7"/>
    </row>
    <row r="907" spans="1:5" x14ac:dyDescent="0.3">
      <c r="A907" s="7"/>
      <c r="B907" s="7"/>
      <c r="C907" s="7"/>
      <c r="D907" s="8"/>
      <c r="E907" s="7"/>
    </row>
    <row r="908" spans="1:5" x14ac:dyDescent="0.3">
      <c r="A908" s="7"/>
      <c r="B908" s="7"/>
      <c r="C908" s="7"/>
      <c r="D908" s="8"/>
      <c r="E908" s="7"/>
    </row>
    <row r="909" spans="1:5" x14ac:dyDescent="0.3">
      <c r="A909" s="7"/>
      <c r="B909" s="7"/>
      <c r="C909" s="7"/>
      <c r="D909" s="8"/>
      <c r="E909" s="7"/>
    </row>
    <row r="910" spans="1:5" x14ac:dyDescent="0.3">
      <c r="A910" s="7"/>
      <c r="B910" s="7"/>
      <c r="C910" s="7"/>
      <c r="D910" s="8"/>
      <c r="E910" s="7"/>
    </row>
    <row r="911" spans="1:5" x14ac:dyDescent="0.3">
      <c r="A911" s="7"/>
      <c r="B911" s="7"/>
      <c r="C911" s="7"/>
      <c r="D911" s="8"/>
      <c r="E911" s="7"/>
    </row>
    <row r="912" spans="1:5" x14ac:dyDescent="0.3">
      <c r="A912" s="7"/>
      <c r="B912" s="7"/>
      <c r="C912" s="7"/>
      <c r="D912" s="8"/>
      <c r="E912" s="7"/>
    </row>
    <row r="913" spans="1:5" x14ac:dyDescent="0.3">
      <c r="A913" s="7"/>
      <c r="B913" s="7"/>
      <c r="C913" s="7"/>
      <c r="D913" s="8"/>
      <c r="E913" s="7"/>
    </row>
    <row r="914" spans="1:5" x14ac:dyDescent="0.3">
      <c r="A914" s="7"/>
      <c r="B914" s="7"/>
      <c r="C914" s="7"/>
      <c r="D914" s="8"/>
      <c r="E914" s="7"/>
    </row>
    <row r="915" spans="1:5" x14ac:dyDescent="0.3">
      <c r="A915" s="7"/>
      <c r="B915" s="7"/>
      <c r="C915" s="7"/>
      <c r="D915" s="8"/>
      <c r="E915" s="7"/>
    </row>
    <row r="916" spans="1:5" x14ac:dyDescent="0.3">
      <c r="A916" s="7"/>
      <c r="B916" s="7"/>
      <c r="C916" s="7"/>
      <c r="D916" s="8"/>
      <c r="E916" s="7"/>
    </row>
    <row r="917" spans="1:5" x14ac:dyDescent="0.3">
      <c r="A917" s="7"/>
      <c r="B917" s="7"/>
      <c r="C917" s="7"/>
      <c r="D917" s="8"/>
      <c r="E917" s="7"/>
    </row>
    <row r="918" spans="1:5" x14ac:dyDescent="0.3">
      <c r="A918" s="7"/>
      <c r="B918" s="7"/>
      <c r="C918" s="7"/>
      <c r="D918" s="8"/>
      <c r="E918" s="7"/>
    </row>
    <row r="919" spans="1:5" x14ac:dyDescent="0.3">
      <c r="A919" s="7"/>
      <c r="B919" s="7"/>
      <c r="C919" s="7"/>
      <c r="D919" s="8"/>
      <c r="E919" s="7"/>
    </row>
    <row r="920" spans="1:5" x14ac:dyDescent="0.3">
      <c r="A920" s="7"/>
      <c r="B920" s="7"/>
      <c r="C920" s="7"/>
      <c r="D920" s="8"/>
      <c r="E920" s="7"/>
    </row>
    <row r="921" spans="1:5" x14ac:dyDescent="0.3">
      <c r="A921" s="7"/>
      <c r="B921" s="7"/>
      <c r="C921" s="7"/>
      <c r="D921" s="8"/>
      <c r="E921" s="7"/>
    </row>
    <row r="922" spans="1:5" x14ac:dyDescent="0.3">
      <c r="A922" s="7"/>
      <c r="B922" s="7"/>
      <c r="C922" s="7"/>
      <c r="D922" s="8"/>
      <c r="E922" s="7"/>
    </row>
    <row r="923" spans="1:5" x14ac:dyDescent="0.3">
      <c r="A923" s="7"/>
      <c r="B923" s="7"/>
      <c r="C923" s="7"/>
      <c r="D923" s="8"/>
      <c r="E923" s="7"/>
    </row>
    <row r="924" spans="1:5" x14ac:dyDescent="0.3">
      <c r="A924" s="7"/>
      <c r="B924" s="7"/>
      <c r="C924" s="7"/>
      <c r="D924" s="8"/>
      <c r="E924" s="7"/>
    </row>
    <row r="925" spans="1:5" x14ac:dyDescent="0.3">
      <c r="A925" s="7"/>
      <c r="B925" s="7"/>
      <c r="C925" s="7"/>
      <c r="D925" s="8"/>
      <c r="E925" s="7"/>
    </row>
    <row r="926" spans="1:5" x14ac:dyDescent="0.3">
      <c r="A926" s="7"/>
      <c r="B926" s="7"/>
      <c r="C926" s="7"/>
      <c r="D926" s="8"/>
      <c r="E926" s="7"/>
    </row>
    <row r="927" spans="1:5" x14ac:dyDescent="0.3">
      <c r="A927" s="7"/>
      <c r="B927" s="7"/>
      <c r="C927" s="7"/>
      <c r="D927" s="8"/>
      <c r="E927" s="7"/>
    </row>
    <row r="928" spans="1:5" x14ac:dyDescent="0.3">
      <c r="A928" s="7"/>
      <c r="B928" s="7"/>
      <c r="C928" s="7"/>
      <c r="D928" s="8"/>
      <c r="E928" s="7"/>
    </row>
    <row r="929" spans="1:5" x14ac:dyDescent="0.3">
      <c r="A929" s="7"/>
      <c r="B929" s="7"/>
      <c r="C929" s="7"/>
      <c r="D929" s="8"/>
      <c r="E929" s="7"/>
    </row>
    <row r="930" spans="1:5" x14ac:dyDescent="0.3">
      <c r="A930" s="7"/>
      <c r="B930" s="7"/>
      <c r="C930" s="7"/>
      <c r="D930" s="8"/>
      <c r="E930" s="7"/>
    </row>
    <row r="931" spans="1:5" x14ac:dyDescent="0.3">
      <c r="A931" s="7"/>
      <c r="B931" s="7"/>
      <c r="C931" s="7"/>
      <c r="D931" s="8"/>
      <c r="E931" s="7"/>
    </row>
    <row r="932" spans="1:5" x14ac:dyDescent="0.3">
      <c r="A932" s="7"/>
      <c r="B932" s="7"/>
      <c r="C932" s="7"/>
      <c r="D932" s="8"/>
      <c r="E932" s="7"/>
    </row>
    <row r="933" spans="1:5" x14ac:dyDescent="0.3">
      <c r="A933" s="7"/>
      <c r="B933" s="7"/>
      <c r="C933" s="7"/>
      <c r="D933" s="8"/>
      <c r="E933" s="7"/>
    </row>
    <row r="934" spans="1:5" x14ac:dyDescent="0.3">
      <c r="A934" s="7"/>
      <c r="B934" s="7"/>
      <c r="C934" s="7"/>
      <c r="D934" s="8"/>
      <c r="E934" s="7"/>
    </row>
    <row r="935" spans="1:5" x14ac:dyDescent="0.3">
      <c r="A935" s="7"/>
      <c r="B935" s="7"/>
      <c r="C935" s="7"/>
      <c r="D935" s="8"/>
      <c r="E935" s="7"/>
    </row>
    <row r="936" spans="1:5" x14ac:dyDescent="0.3">
      <c r="A936" s="7"/>
      <c r="B936" s="7"/>
      <c r="C936" s="7"/>
      <c r="D936" s="8"/>
      <c r="E936" s="7"/>
    </row>
    <row r="937" spans="1:5" x14ac:dyDescent="0.3">
      <c r="A937" s="7"/>
      <c r="B937" s="7"/>
      <c r="C937" s="7"/>
      <c r="D937" s="8"/>
      <c r="E937" s="7"/>
    </row>
    <row r="938" spans="1:5" x14ac:dyDescent="0.3">
      <c r="A938" s="7"/>
      <c r="B938" s="7"/>
      <c r="C938" s="7"/>
      <c r="D938" s="8"/>
      <c r="E938" s="7"/>
    </row>
    <row r="939" spans="1:5" x14ac:dyDescent="0.3">
      <c r="A939" s="7"/>
      <c r="B939" s="7"/>
      <c r="C939" s="7"/>
      <c r="D939" s="8"/>
      <c r="E939" s="7"/>
    </row>
    <row r="940" spans="1:5" x14ac:dyDescent="0.3">
      <c r="A940" s="7"/>
      <c r="B940" s="7"/>
      <c r="C940" s="7"/>
      <c r="D940" s="8"/>
      <c r="E940" s="7"/>
    </row>
    <row r="941" spans="1:5" x14ac:dyDescent="0.3">
      <c r="A941" s="7"/>
      <c r="B941" s="7"/>
      <c r="C941" s="7"/>
      <c r="D941" s="8"/>
      <c r="E941" s="7"/>
    </row>
    <row r="942" spans="1:5" x14ac:dyDescent="0.3">
      <c r="A942" s="7"/>
      <c r="B942" s="7"/>
      <c r="C942" s="7"/>
      <c r="D942" s="8"/>
      <c r="E942" s="7"/>
    </row>
    <row r="943" spans="1:5" x14ac:dyDescent="0.3">
      <c r="A943" s="7"/>
      <c r="B943" s="7"/>
      <c r="C943" s="7"/>
      <c r="D943" s="8"/>
      <c r="E943" s="7"/>
    </row>
    <row r="944" spans="1:5" x14ac:dyDescent="0.3">
      <c r="A944" s="7"/>
      <c r="B944" s="7"/>
      <c r="C944" s="7"/>
      <c r="D944" s="8"/>
      <c r="E944" s="7"/>
    </row>
    <row r="945" spans="1:5" x14ac:dyDescent="0.3">
      <c r="A945" s="7"/>
      <c r="B945" s="7"/>
      <c r="C945" s="7"/>
      <c r="D945" s="8"/>
      <c r="E945" s="7"/>
    </row>
    <row r="946" spans="1:5" x14ac:dyDescent="0.3">
      <c r="A946" s="7"/>
      <c r="B946" s="7"/>
      <c r="C946" s="7"/>
      <c r="D946" s="8"/>
      <c r="E946" s="7"/>
    </row>
    <row r="947" spans="1:5" x14ac:dyDescent="0.3">
      <c r="A947" s="7"/>
      <c r="B947" s="7"/>
      <c r="C947" s="7"/>
      <c r="D947" s="8"/>
      <c r="E947" s="7"/>
    </row>
    <row r="948" spans="1:5" x14ac:dyDescent="0.3">
      <c r="A948" s="7"/>
      <c r="B948" s="7"/>
      <c r="C948" s="7"/>
      <c r="D948" s="8"/>
      <c r="E948" s="7"/>
    </row>
    <row r="949" spans="1:5" x14ac:dyDescent="0.3">
      <c r="A949" s="7"/>
      <c r="B949" s="7"/>
      <c r="C949" s="7"/>
      <c r="D949" s="8"/>
      <c r="E949" s="7"/>
    </row>
    <row r="950" spans="1:5" x14ac:dyDescent="0.3">
      <c r="A950" s="7"/>
      <c r="B950" s="7"/>
      <c r="C950" s="7"/>
      <c r="D950" s="8"/>
      <c r="E950" s="7"/>
    </row>
    <row r="951" spans="1:5" x14ac:dyDescent="0.3">
      <c r="A951" s="7"/>
      <c r="B951" s="7"/>
      <c r="C951" s="7"/>
      <c r="D951" s="8"/>
      <c r="E951" s="7"/>
    </row>
    <row r="952" spans="1:5" x14ac:dyDescent="0.3">
      <c r="A952" s="7"/>
      <c r="B952" s="7"/>
      <c r="C952" s="7"/>
      <c r="D952" s="8"/>
      <c r="E952" s="7"/>
    </row>
    <row r="953" spans="1:5" x14ac:dyDescent="0.3">
      <c r="A953" s="7"/>
      <c r="B953" s="7"/>
      <c r="C953" s="7"/>
      <c r="D953" s="8"/>
      <c r="E953" s="7"/>
    </row>
    <row r="954" spans="1:5" x14ac:dyDescent="0.3">
      <c r="A954" s="7"/>
      <c r="B954" s="7"/>
      <c r="C954" s="7"/>
      <c r="D954" s="8"/>
      <c r="E954" s="7"/>
    </row>
    <row r="955" spans="1:5" x14ac:dyDescent="0.3">
      <c r="A955" s="7"/>
      <c r="B955" s="7"/>
      <c r="C955" s="7"/>
      <c r="D955" s="8"/>
      <c r="E955" s="7"/>
    </row>
    <row r="956" spans="1:5" x14ac:dyDescent="0.3">
      <c r="A956" s="7"/>
      <c r="B956" s="7"/>
      <c r="C956" s="7"/>
      <c r="D956" s="8"/>
      <c r="E956" s="7"/>
    </row>
    <row r="957" spans="1:5" x14ac:dyDescent="0.3">
      <c r="A957" s="7"/>
      <c r="B957" s="7"/>
      <c r="C957" s="7"/>
      <c r="D957" s="8"/>
      <c r="E957" s="7"/>
    </row>
    <row r="958" spans="1:5" x14ac:dyDescent="0.3">
      <c r="A958" s="7"/>
      <c r="B958" s="7"/>
      <c r="C958" s="7"/>
      <c r="D958" s="8"/>
      <c r="E958" s="7"/>
    </row>
    <row r="959" spans="1:5" x14ac:dyDescent="0.3">
      <c r="A959" s="7"/>
      <c r="B959" s="7"/>
      <c r="C959" s="7"/>
      <c r="D959" s="8"/>
      <c r="E959" s="7"/>
    </row>
    <row r="960" spans="1:5" x14ac:dyDescent="0.3">
      <c r="A960" s="7"/>
      <c r="B960" s="7"/>
      <c r="C960" s="7"/>
      <c r="D960" s="8"/>
      <c r="E960" s="7"/>
    </row>
    <row r="961" spans="1:5" x14ac:dyDescent="0.3">
      <c r="A961" s="7"/>
      <c r="B961" s="7"/>
      <c r="C961" s="7"/>
      <c r="D961" s="8"/>
      <c r="E961" s="7"/>
    </row>
    <row r="962" spans="1:5" x14ac:dyDescent="0.3">
      <c r="A962" s="7"/>
      <c r="B962" s="7"/>
      <c r="C962" s="7"/>
      <c r="D962" s="8"/>
      <c r="E962" s="7"/>
    </row>
    <row r="963" spans="1:5" x14ac:dyDescent="0.3">
      <c r="A963" s="7"/>
      <c r="B963" s="7"/>
      <c r="C963" s="7"/>
      <c r="D963" s="8"/>
      <c r="E963" s="7"/>
    </row>
    <row r="964" spans="1:5" x14ac:dyDescent="0.3">
      <c r="A964" s="7"/>
      <c r="B964" s="7"/>
      <c r="C964" s="7"/>
      <c r="D964" s="8"/>
      <c r="E964" s="7"/>
    </row>
    <row r="965" spans="1:5" x14ac:dyDescent="0.3">
      <c r="A965" s="7"/>
      <c r="B965" s="7"/>
      <c r="C965" s="7"/>
      <c r="D965" s="8"/>
      <c r="E965" s="7"/>
    </row>
    <row r="966" spans="1:5" x14ac:dyDescent="0.3">
      <c r="A966" s="7"/>
      <c r="B966" s="7"/>
      <c r="C966" s="7"/>
      <c r="D966" s="8"/>
      <c r="E966" s="7"/>
    </row>
    <row r="967" spans="1:5" x14ac:dyDescent="0.3">
      <c r="A967" s="7"/>
      <c r="B967" s="7"/>
      <c r="C967" s="7"/>
      <c r="D967" s="8"/>
      <c r="E967" s="7"/>
    </row>
    <row r="968" spans="1:5" x14ac:dyDescent="0.3">
      <c r="A968" s="7"/>
      <c r="B968" s="7"/>
      <c r="C968" s="7"/>
      <c r="D968" s="8"/>
      <c r="E968" s="7"/>
    </row>
    <row r="969" spans="1:5" x14ac:dyDescent="0.3">
      <c r="A969" s="7"/>
      <c r="B969" s="7"/>
      <c r="C969" s="7"/>
      <c r="D969" s="8"/>
      <c r="E969" s="7"/>
    </row>
    <row r="970" spans="1:5" x14ac:dyDescent="0.3">
      <c r="A970" s="7"/>
      <c r="B970" s="7"/>
      <c r="C970" s="7"/>
      <c r="D970" s="8"/>
      <c r="E970" s="7"/>
    </row>
    <row r="971" spans="1:5" x14ac:dyDescent="0.3">
      <c r="A971" s="7"/>
      <c r="B971" s="7"/>
      <c r="C971" s="7"/>
      <c r="D971" s="8"/>
      <c r="E971" s="7"/>
    </row>
    <row r="972" spans="1:5" x14ac:dyDescent="0.3">
      <c r="A972" s="7"/>
      <c r="B972" s="7"/>
      <c r="C972" s="7"/>
      <c r="D972" s="8"/>
      <c r="E972" s="7"/>
    </row>
    <row r="973" spans="1:5" x14ac:dyDescent="0.3">
      <c r="A973" s="7"/>
      <c r="B973" s="7"/>
      <c r="C973" s="7"/>
      <c r="D973" s="8"/>
      <c r="E973" s="7"/>
    </row>
    <row r="974" spans="1:5" x14ac:dyDescent="0.3">
      <c r="A974" s="7"/>
      <c r="B974" s="7"/>
      <c r="C974" s="7"/>
      <c r="D974" s="8"/>
      <c r="E974" s="7"/>
    </row>
    <row r="975" spans="1:5" x14ac:dyDescent="0.3">
      <c r="A975" s="7"/>
      <c r="B975" s="7"/>
      <c r="C975" s="7"/>
      <c r="D975" s="8"/>
      <c r="E975" s="7"/>
    </row>
    <row r="976" spans="1:5" x14ac:dyDescent="0.3">
      <c r="A976" s="7"/>
      <c r="B976" s="7"/>
      <c r="C976" s="7"/>
      <c r="D976" s="8"/>
      <c r="E976" s="7"/>
    </row>
    <row r="977" spans="1:5" x14ac:dyDescent="0.3">
      <c r="A977" s="7"/>
      <c r="B977" s="7"/>
      <c r="C977" s="7"/>
      <c r="D977" s="8"/>
      <c r="E977" s="7"/>
    </row>
    <row r="978" spans="1:5" x14ac:dyDescent="0.3">
      <c r="A978" s="7"/>
      <c r="B978" s="7"/>
      <c r="C978" s="7"/>
      <c r="D978" s="8"/>
      <c r="E978" s="7"/>
    </row>
    <row r="979" spans="1:5" x14ac:dyDescent="0.3">
      <c r="A979" s="7"/>
      <c r="B979" s="7"/>
      <c r="C979" s="7"/>
      <c r="D979" s="8"/>
      <c r="E979" s="7"/>
    </row>
    <row r="980" spans="1:5" x14ac:dyDescent="0.3">
      <c r="A980" s="7"/>
      <c r="B980" s="7"/>
      <c r="C980" s="7"/>
      <c r="D980" s="8"/>
      <c r="E980" s="7"/>
    </row>
    <row r="981" spans="1:5" x14ac:dyDescent="0.3">
      <c r="A981" s="7"/>
      <c r="B981" s="7"/>
      <c r="C981" s="7"/>
      <c r="D981" s="8"/>
      <c r="E981" s="7"/>
    </row>
    <row r="982" spans="1:5" x14ac:dyDescent="0.3">
      <c r="A982" s="7"/>
      <c r="B982" s="7"/>
      <c r="C982" s="7"/>
      <c r="D982" s="8"/>
      <c r="E982" s="7"/>
    </row>
    <row r="983" spans="1:5" x14ac:dyDescent="0.3">
      <c r="A983" s="7"/>
      <c r="B983" s="7"/>
      <c r="C983" s="7"/>
      <c r="D983" s="8"/>
      <c r="E983" s="7"/>
    </row>
    <row r="984" spans="1:5" x14ac:dyDescent="0.3">
      <c r="A984" s="7"/>
      <c r="B984" s="7"/>
      <c r="C984" s="7"/>
      <c r="D984" s="8"/>
      <c r="E984" s="7"/>
    </row>
    <row r="985" spans="1:5" x14ac:dyDescent="0.3">
      <c r="A985" s="7"/>
      <c r="B985" s="7"/>
      <c r="C985" s="7"/>
      <c r="D985" s="8"/>
      <c r="E985" s="7"/>
    </row>
    <row r="986" spans="1:5" x14ac:dyDescent="0.3">
      <c r="A986" s="7"/>
      <c r="B986" s="7"/>
      <c r="C986" s="7"/>
      <c r="D986" s="8"/>
      <c r="E986" s="7"/>
    </row>
    <row r="987" spans="1:5" x14ac:dyDescent="0.3">
      <c r="A987" s="7"/>
      <c r="B987" s="7"/>
      <c r="C987" s="7"/>
      <c r="D987" s="8"/>
      <c r="E987" s="7"/>
    </row>
    <row r="988" spans="1:5" x14ac:dyDescent="0.3">
      <c r="A988" s="7"/>
      <c r="B988" s="7"/>
      <c r="C988" s="7"/>
      <c r="D988" s="8"/>
      <c r="E988" s="7"/>
    </row>
    <row r="989" spans="1:5" x14ac:dyDescent="0.3">
      <c r="A989" s="7"/>
      <c r="B989" s="7"/>
      <c r="C989" s="7"/>
      <c r="D989" s="8"/>
      <c r="E989" s="7"/>
    </row>
    <row r="990" spans="1:5" x14ac:dyDescent="0.3">
      <c r="A990" s="7"/>
      <c r="B990" s="7"/>
      <c r="C990" s="7"/>
      <c r="D990" s="8"/>
      <c r="E990" s="7"/>
    </row>
    <row r="991" spans="1:5" x14ac:dyDescent="0.3">
      <c r="A991" s="7"/>
      <c r="B991" s="7"/>
      <c r="C991" s="7"/>
      <c r="D991" s="8"/>
      <c r="E991" s="7"/>
    </row>
    <row r="992" spans="1:5" x14ac:dyDescent="0.3">
      <c r="A992" s="7"/>
      <c r="B992" s="7"/>
      <c r="C992" s="7"/>
      <c r="D992" s="8"/>
      <c r="E992" s="7"/>
    </row>
    <row r="993" spans="1:5" x14ac:dyDescent="0.3">
      <c r="A993" s="7"/>
      <c r="B993" s="7"/>
      <c r="C993" s="7"/>
      <c r="D993" s="8"/>
      <c r="E993" s="7"/>
    </row>
    <row r="994" spans="1:5" x14ac:dyDescent="0.3">
      <c r="A994" s="7"/>
      <c r="B994" s="7"/>
      <c r="C994" s="7"/>
      <c r="D994" s="8"/>
      <c r="E994" s="7"/>
    </row>
    <row r="995" spans="1:5" x14ac:dyDescent="0.3">
      <c r="A995" s="7"/>
      <c r="B995" s="7"/>
      <c r="C995" s="7"/>
      <c r="D995" s="8"/>
      <c r="E995" s="7"/>
    </row>
    <row r="996" spans="1:5" x14ac:dyDescent="0.3">
      <c r="A996" s="7"/>
      <c r="B996" s="7"/>
      <c r="C996" s="7"/>
      <c r="D996" s="8"/>
      <c r="E996" s="7"/>
    </row>
    <row r="997" spans="1:5" x14ac:dyDescent="0.3">
      <c r="A997" s="7"/>
      <c r="B997" s="7"/>
      <c r="C997" s="7"/>
      <c r="D997" s="8"/>
      <c r="E997" s="7"/>
    </row>
    <row r="998" spans="1:5" x14ac:dyDescent="0.3">
      <c r="A998" s="7"/>
      <c r="B998" s="7"/>
      <c r="C998" s="7"/>
      <c r="D998" s="8"/>
      <c r="E998" s="7"/>
    </row>
    <row r="999" spans="1:5" x14ac:dyDescent="0.3">
      <c r="A999" s="7"/>
      <c r="B999" s="7"/>
      <c r="C999" s="7"/>
      <c r="D999" s="8"/>
      <c r="E999" s="7"/>
    </row>
    <row r="1000" spans="1:5" x14ac:dyDescent="0.3">
      <c r="A1000" s="7"/>
      <c r="B1000" s="7"/>
      <c r="C1000" s="7"/>
      <c r="D1000" s="8"/>
      <c r="E1000" s="7"/>
    </row>
    <row r="1001" spans="1:5" x14ac:dyDescent="0.3">
      <c r="A1001" s="7"/>
      <c r="B1001" s="7"/>
      <c r="C1001" s="7"/>
      <c r="D1001" s="8"/>
      <c r="E1001" s="7"/>
    </row>
    <row r="1002" spans="1:5" x14ac:dyDescent="0.3">
      <c r="A1002" s="7"/>
      <c r="B1002" s="7"/>
      <c r="C1002" s="7"/>
      <c r="D1002" s="8"/>
      <c r="E1002" s="7"/>
    </row>
    <row r="1003" spans="1:5" x14ac:dyDescent="0.3">
      <c r="A1003" s="7"/>
      <c r="B1003" s="7"/>
      <c r="C1003" s="7"/>
      <c r="D1003" s="8"/>
      <c r="E1003" s="7"/>
    </row>
    <row r="1004" spans="1:5" x14ac:dyDescent="0.3">
      <c r="A1004" s="7"/>
      <c r="B1004" s="7"/>
      <c r="C1004" s="7"/>
      <c r="D1004" s="8"/>
      <c r="E1004" s="7"/>
    </row>
    <row r="1005" spans="1:5" x14ac:dyDescent="0.3">
      <c r="A1005" s="7"/>
      <c r="B1005" s="7"/>
      <c r="C1005" s="7"/>
      <c r="D1005" s="8"/>
      <c r="E1005" s="7"/>
    </row>
    <row r="1006" spans="1:5" x14ac:dyDescent="0.3">
      <c r="A1006" s="7"/>
      <c r="B1006" s="7"/>
      <c r="C1006" s="7"/>
      <c r="D1006" s="8"/>
      <c r="E1006" s="7"/>
    </row>
    <row r="1007" spans="1:5" x14ac:dyDescent="0.3">
      <c r="A1007" s="7"/>
      <c r="B1007" s="7"/>
      <c r="C1007" s="7"/>
      <c r="D1007" s="8"/>
      <c r="E1007" s="7"/>
    </row>
    <row r="1008" spans="1:5" x14ac:dyDescent="0.3">
      <c r="A1008" s="7"/>
      <c r="B1008" s="7"/>
      <c r="C1008" s="7"/>
      <c r="D1008" s="8"/>
      <c r="E1008" s="7"/>
    </row>
    <row r="1009" spans="1:5" x14ac:dyDescent="0.3">
      <c r="A1009" s="7"/>
      <c r="B1009" s="7"/>
      <c r="C1009" s="7"/>
      <c r="D1009" s="8"/>
      <c r="E1009" s="7"/>
    </row>
    <row r="1010" spans="1:5" x14ac:dyDescent="0.3">
      <c r="A1010" s="7"/>
      <c r="B1010" s="7"/>
      <c r="C1010" s="7"/>
      <c r="D1010" s="8"/>
      <c r="E1010" s="7"/>
    </row>
    <row r="1011" spans="1:5" x14ac:dyDescent="0.3">
      <c r="A1011" s="7"/>
      <c r="B1011" s="7"/>
      <c r="C1011" s="7"/>
      <c r="D1011" s="8"/>
      <c r="E1011" s="7"/>
    </row>
    <row r="1012" spans="1:5" x14ac:dyDescent="0.3">
      <c r="A1012" s="7"/>
      <c r="B1012" s="7"/>
      <c r="C1012" s="7"/>
      <c r="D1012" s="8"/>
      <c r="E1012" s="7"/>
    </row>
    <row r="1013" spans="1:5" x14ac:dyDescent="0.3">
      <c r="A1013" s="7"/>
      <c r="B1013" s="7"/>
      <c r="C1013" s="7"/>
      <c r="D1013" s="8"/>
      <c r="E1013" s="7"/>
    </row>
    <row r="1014" spans="1:5" x14ac:dyDescent="0.3">
      <c r="A1014" s="7"/>
      <c r="B1014" s="7"/>
      <c r="C1014" s="7"/>
      <c r="D1014" s="8"/>
      <c r="E1014" s="7"/>
    </row>
    <row r="1015" spans="1:5" x14ac:dyDescent="0.3">
      <c r="A1015" s="7"/>
      <c r="B1015" s="7"/>
      <c r="C1015" s="7"/>
      <c r="D1015" s="8"/>
      <c r="E1015" s="7"/>
    </row>
    <row r="1016" spans="1:5" x14ac:dyDescent="0.3">
      <c r="A1016" s="7"/>
      <c r="B1016" s="7"/>
      <c r="C1016" s="7"/>
      <c r="D1016" s="8"/>
      <c r="E1016" s="7"/>
    </row>
    <row r="1017" spans="1:5" x14ac:dyDescent="0.3">
      <c r="A1017" s="7"/>
      <c r="B1017" s="7"/>
      <c r="C1017" s="7"/>
      <c r="D1017" s="8"/>
      <c r="E1017" s="7"/>
    </row>
    <row r="1018" spans="1:5" x14ac:dyDescent="0.3">
      <c r="A1018" s="7"/>
      <c r="B1018" s="7"/>
      <c r="C1018" s="7"/>
      <c r="D1018" s="8"/>
      <c r="E1018" s="7"/>
    </row>
    <row r="1019" spans="1:5" x14ac:dyDescent="0.3">
      <c r="A1019" s="7"/>
      <c r="B1019" s="7"/>
      <c r="C1019" s="7"/>
      <c r="D1019" s="8"/>
      <c r="E1019" s="7"/>
    </row>
    <row r="1020" spans="1:5" x14ac:dyDescent="0.3">
      <c r="A1020" s="7"/>
      <c r="B1020" s="7"/>
      <c r="C1020" s="7"/>
      <c r="D1020" s="8"/>
      <c r="E1020" s="7"/>
    </row>
    <row r="1021" spans="1:5" x14ac:dyDescent="0.3">
      <c r="A1021" s="7"/>
      <c r="B1021" s="7"/>
      <c r="C1021" s="7"/>
      <c r="D1021" s="8"/>
      <c r="E1021" s="7"/>
    </row>
    <row r="1022" spans="1:5" x14ac:dyDescent="0.3">
      <c r="A1022" s="7"/>
      <c r="B1022" s="7"/>
      <c r="C1022" s="7"/>
      <c r="D1022" s="8"/>
      <c r="E1022" s="7"/>
    </row>
    <row r="1023" spans="1:5" x14ac:dyDescent="0.3">
      <c r="A1023" s="7"/>
      <c r="B1023" s="7"/>
      <c r="C1023" s="7"/>
      <c r="D1023" s="8"/>
      <c r="E1023" s="7"/>
    </row>
    <row r="1024" spans="1:5" x14ac:dyDescent="0.3">
      <c r="A1024" s="7"/>
      <c r="B1024" s="7"/>
      <c r="C1024" s="7"/>
      <c r="D1024" s="8"/>
      <c r="E1024" s="7"/>
    </row>
    <row r="1025" spans="1:5" x14ac:dyDescent="0.3">
      <c r="A1025" s="7"/>
      <c r="B1025" s="7"/>
      <c r="C1025" s="7"/>
      <c r="D1025" s="8"/>
      <c r="E1025" s="7"/>
    </row>
    <row r="1026" spans="1:5" x14ac:dyDescent="0.3">
      <c r="A1026" s="7"/>
      <c r="B1026" s="7"/>
      <c r="C1026" s="7"/>
      <c r="D1026" s="8"/>
      <c r="E1026" s="7"/>
    </row>
    <row r="1027" spans="1:5" x14ac:dyDescent="0.3">
      <c r="A1027" s="7"/>
      <c r="B1027" s="7"/>
      <c r="C1027" s="7"/>
      <c r="D1027" s="8"/>
      <c r="E1027" s="7"/>
    </row>
    <row r="1028" spans="1:5" x14ac:dyDescent="0.3">
      <c r="A1028" s="7"/>
      <c r="B1028" s="7"/>
      <c r="C1028" s="7"/>
      <c r="D1028" s="8"/>
      <c r="E1028" s="7"/>
    </row>
    <row r="1029" spans="1:5" x14ac:dyDescent="0.3">
      <c r="A1029" s="7"/>
      <c r="B1029" s="7"/>
      <c r="C1029" s="7"/>
      <c r="D1029" s="8"/>
      <c r="E1029" s="7"/>
    </row>
    <row r="1030" spans="1:5" x14ac:dyDescent="0.3">
      <c r="A1030" s="7"/>
      <c r="B1030" s="7"/>
      <c r="C1030" s="7"/>
      <c r="D1030" s="8"/>
      <c r="E1030" s="7"/>
    </row>
    <row r="1031" spans="1:5" x14ac:dyDescent="0.3">
      <c r="A1031" s="7"/>
      <c r="B1031" s="7"/>
      <c r="C1031" s="7"/>
      <c r="D1031" s="8"/>
      <c r="E1031" s="7"/>
    </row>
    <row r="1032" spans="1:5" x14ac:dyDescent="0.3">
      <c r="A1032" s="7"/>
      <c r="B1032" s="7"/>
      <c r="C1032" s="7"/>
      <c r="D1032" s="8"/>
      <c r="E1032" s="7"/>
    </row>
    <row r="1033" spans="1:5" x14ac:dyDescent="0.3">
      <c r="A1033" s="7"/>
      <c r="B1033" s="7"/>
      <c r="C1033" s="7"/>
      <c r="D1033" s="8"/>
      <c r="E1033" s="7"/>
    </row>
    <row r="1034" spans="1:5" x14ac:dyDescent="0.3">
      <c r="A1034" s="7"/>
      <c r="B1034" s="7"/>
      <c r="C1034" s="7"/>
      <c r="D1034" s="8"/>
      <c r="E1034" s="7"/>
    </row>
    <row r="1035" spans="1:5" x14ac:dyDescent="0.3">
      <c r="A1035" s="7"/>
      <c r="B1035" s="7"/>
      <c r="C1035" s="7"/>
      <c r="D1035" s="8"/>
      <c r="E1035" s="7"/>
    </row>
    <row r="1036" spans="1:5" x14ac:dyDescent="0.3">
      <c r="A1036" s="7"/>
      <c r="B1036" s="7"/>
      <c r="C1036" s="7"/>
      <c r="D1036" s="8"/>
      <c r="E1036" s="7"/>
    </row>
    <row r="1037" spans="1:5" x14ac:dyDescent="0.3">
      <c r="A1037" s="7"/>
      <c r="B1037" s="7"/>
      <c r="C1037" s="7"/>
      <c r="D1037" s="8"/>
      <c r="E1037" s="7"/>
    </row>
    <row r="1038" spans="1:5" x14ac:dyDescent="0.3">
      <c r="A1038" s="7"/>
      <c r="B1038" s="7"/>
      <c r="C1038" s="7"/>
      <c r="D1038" s="8"/>
      <c r="E1038" s="7"/>
    </row>
    <row r="1039" spans="1:5" x14ac:dyDescent="0.3">
      <c r="A1039" s="7"/>
      <c r="B1039" s="7"/>
      <c r="C1039" s="7"/>
      <c r="D1039" s="8"/>
      <c r="E1039" s="7"/>
    </row>
    <row r="1040" spans="1:5" x14ac:dyDescent="0.3">
      <c r="A1040" s="7"/>
      <c r="B1040" s="7"/>
      <c r="C1040" s="7"/>
      <c r="D1040" s="8"/>
      <c r="E1040" s="7"/>
    </row>
    <row r="1041" spans="1:5" x14ac:dyDescent="0.3">
      <c r="A1041" s="7"/>
      <c r="B1041" s="7"/>
      <c r="C1041" s="7"/>
      <c r="D1041" s="8"/>
      <c r="E1041" s="7"/>
    </row>
    <row r="1042" spans="1:5" x14ac:dyDescent="0.3">
      <c r="A1042" s="7"/>
      <c r="B1042" s="7"/>
      <c r="C1042" s="7"/>
      <c r="D1042" s="8"/>
      <c r="E1042" s="7"/>
    </row>
    <row r="1043" spans="1:5" x14ac:dyDescent="0.3">
      <c r="A1043" s="7"/>
      <c r="B1043" s="7"/>
      <c r="C1043" s="7"/>
      <c r="D1043" s="8"/>
      <c r="E1043" s="7"/>
    </row>
    <row r="1044" spans="1:5" x14ac:dyDescent="0.3">
      <c r="A1044" s="7"/>
      <c r="B1044" s="7"/>
      <c r="C1044" s="7"/>
      <c r="D1044" s="8"/>
      <c r="E1044" s="7"/>
    </row>
    <row r="1045" spans="1:5" x14ac:dyDescent="0.3">
      <c r="A1045" s="7"/>
      <c r="B1045" s="7"/>
      <c r="C1045" s="7"/>
      <c r="D1045" s="8"/>
      <c r="E1045" s="7"/>
    </row>
    <row r="1046" spans="1:5" x14ac:dyDescent="0.3">
      <c r="A1046" s="7"/>
      <c r="B1046" s="7"/>
      <c r="C1046" s="7"/>
      <c r="D1046" s="8"/>
      <c r="E1046" s="7"/>
    </row>
    <row r="1047" spans="1:5" x14ac:dyDescent="0.3">
      <c r="A1047" s="7"/>
      <c r="B1047" s="7"/>
      <c r="C1047" s="7"/>
      <c r="D1047" s="8"/>
      <c r="E1047" s="7"/>
    </row>
    <row r="1048" spans="1:5" x14ac:dyDescent="0.3">
      <c r="A1048" s="7"/>
      <c r="B1048" s="7"/>
      <c r="C1048" s="7"/>
      <c r="D1048" s="8"/>
      <c r="E1048" s="7"/>
    </row>
    <row r="1049" spans="1:5" x14ac:dyDescent="0.3">
      <c r="A1049" s="7"/>
      <c r="B1049" s="7"/>
      <c r="C1049" s="7"/>
      <c r="D1049" s="8"/>
      <c r="E1049" s="7"/>
    </row>
    <row r="1050" spans="1:5" x14ac:dyDescent="0.3">
      <c r="A1050" s="7"/>
      <c r="B1050" s="7"/>
      <c r="C1050" s="7"/>
      <c r="D1050" s="8"/>
      <c r="E1050" s="7"/>
    </row>
    <row r="1051" spans="1:5" x14ac:dyDescent="0.3">
      <c r="A1051" s="7"/>
      <c r="B1051" s="7"/>
      <c r="C1051" s="7"/>
      <c r="D1051" s="8"/>
      <c r="E1051" s="7"/>
    </row>
    <row r="1052" spans="1:5" x14ac:dyDescent="0.3">
      <c r="A1052" s="7"/>
      <c r="B1052" s="7"/>
      <c r="C1052" s="7"/>
      <c r="D1052" s="8"/>
      <c r="E1052" s="7"/>
    </row>
    <row r="1053" spans="1:5" x14ac:dyDescent="0.3">
      <c r="A1053" s="7"/>
      <c r="B1053" s="7"/>
      <c r="C1053" s="7"/>
      <c r="D1053" s="8"/>
      <c r="E1053" s="7"/>
    </row>
    <row r="1054" spans="1:5" x14ac:dyDescent="0.3">
      <c r="A1054" s="7"/>
      <c r="B1054" s="7"/>
      <c r="C1054" s="7"/>
      <c r="D1054" s="8"/>
      <c r="E1054" s="7"/>
    </row>
    <row r="1055" spans="1:5" x14ac:dyDescent="0.3">
      <c r="A1055" s="7"/>
      <c r="B1055" s="7"/>
      <c r="C1055" s="7"/>
      <c r="D1055" s="8"/>
      <c r="E1055" s="7"/>
    </row>
    <row r="1056" spans="1:5" x14ac:dyDescent="0.3">
      <c r="A1056" s="7"/>
      <c r="B1056" s="7"/>
      <c r="C1056" s="7"/>
      <c r="D1056" s="8"/>
      <c r="E1056" s="7"/>
    </row>
    <row r="1057" spans="1:5" x14ac:dyDescent="0.3">
      <c r="A1057" s="7"/>
      <c r="B1057" s="7"/>
      <c r="C1057" s="7"/>
      <c r="D1057" s="8"/>
      <c r="E1057" s="7"/>
    </row>
    <row r="1058" spans="1:5" x14ac:dyDescent="0.3">
      <c r="A1058" s="7"/>
      <c r="B1058" s="7"/>
      <c r="C1058" s="7"/>
      <c r="D1058" s="8"/>
      <c r="E1058" s="7"/>
    </row>
    <row r="1059" spans="1:5" x14ac:dyDescent="0.3">
      <c r="A1059" s="7"/>
      <c r="B1059" s="7"/>
      <c r="C1059" s="7"/>
      <c r="D1059" s="8"/>
      <c r="E1059" s="7"/>
    </row>
    <row r="1060" spans="1:5" x14ac:dyDescent="0.3">
      <c r="A1060" s="7"/>
      <c r="B1060" s="7"/>
      <c r="C1060" s="7"/>
      <c r="D1060" s="8"/>
      <c r="E1060" s="7"/>
    </row>
    <row r="1061" spans="1:5" x14ac:dyDescent="0.3">
      <c r="A1061" s="7"/>
      <c r="B1061" s="7"/>
      <c r="C1061" s="7"/>
      <c r="D1061" s="8"/>
      <c r="E1061" s="7"/>
    </row>
    <row r="1062" spans="1:5" x14ac:dyDescent="0.3">
      <c r="A1062" s="7"/>
      <c r="B1062" s="7"/>
      <c r="C1062" s="7"/>
      <c r="D1062" s="8"/>
      <c r="E1062" s="7"/>
    </row>
    <row r="1063" spans="1:5" x14ac:dyDescent="0.3">
      <c r="A1063" s="7"/>
      <c r="B1063" s="7"/>
      <c r="C1063" s="7"/>
      <c r="D1063" s="8"/>
      <c r="E1063" s="7"/>
    </row>
    <row r="1064" spans="1:5" x14ac:dyDescent="0.3">
      <c r="A1064" s="7"/>
      <c r="B1064" s="7"/>
      <c r="C1064" s="7"/>
      <c r="D1064" s="8"/>
      <c r="E1064" s="7"/>
    </row>
    <row r="1065" spans="1:5" x14ac:dyDescent="0.3">
      <c r="A1065" s="7"/>
      <c r="B1065" s="7"/>
      <c r="C1065" s="7"/>
      <c r="D1065" s="8"/>
      <c r="E1065" s="7"/>
    </row>
    <row r="1066" spans="1:5" x14ac:dyDescent="0.3">
      <c r="A1066" s="7"/>
      <c r="B1066" s="7"/>
      <c r="C1066" s="7"/>
      <c r="D1066" s="8"/>
      <c r="E1066" s="7"/>
    </row>
    <row r="1067" spans="1:5" x14ac:dyDescent="0.3">
      <c r="A1067" s="7"/>
      <c r="B1067" s="7"/>
      <c r="C1067" s="7"/>
      <c r="D1067" s="8"/>
      <c r="E1067" s="7"/>
    </row>
    <row r="1068" spans="1:5" x14ac:dyDescent="0.3">
      <c r="A1068" s="7"/>
      <c r="B1068" s="7"/>
      <c r="C1068" s="7"/>
      <c r="D1068" s="8"/>
      <c r="E1068" s="7"/>
    </row>
    <row r="1069" spans="1:5" x14ac:dyDescent="0.3">
      <c r="A1069" s="7"/>
      <c r="B1069" s="7"/>
      <c r="C1069" s="7"/>
      <c r="D1069" s="8"/>
      <c r="E1069" s="7"/>
    </row>
    <row r="1070" spans="1:5" x14ac:dyDescent="0.3">
      <c r="A1070" s="7"/>
      <c r="B1070" s="7"/>
      <c r="C1070" s="7"/>
      <c r="D1070" s="8"/>
      <c r="E1070" s="7"/>
    </row>
    <row r="1071" spans="1:5" x14ac:dyDescent="0.3">
      <c r="A1071" s="7"/>
      <c r="B1071" s="7"/>
      <c r="C1071" s="7"/>
      <c r="D1071" s="8"/>
      <c r="E1071" s="7"/>
    </row>
    <row r="1072" spans="1:5" x14ac:dyDescent="0.3">
      <c r="A1072" s="7"/>
      <c r="B1072" s="7"/>
      <c r="C1072" s="7"/>
      <c r="D1072" s="8"/>
      <c r="E1072" s="7"/>
    </row>
    <row r="1073" spans="1:5" x14ac:dyDescent="0.3">
      <c r="A1073" s="7"/>
      <c r="B1073" s="7"/>
      <c r="C1073" s="7"/>
      <c r="D1073" s="8"/>
      <c r="E1073" s="7"/>
    </row>
    <row r="1074" spans="1:5" x14ac:dyDescent="0.3">
      <c r="A1074" s="7"/>
      <c r="B1074" s="7"/>
      <c r="C1074" s="7"/>
      <c r="D1074" s="8"/>
      <c r="E1074" s="7"/>
    </row>
    <row r="1075" spans="1:5" x14ac:dyDescent="0.3">
      <c r="A1075" s="7"/>
      <c r="B1075" s="7"/>
      <c r="C1075" s="7"/>
      <c r="D1075" s="8"/>
      <c r="E1075" s="7"/>
    </row>
    <row r="1076" spans="1:5" x14ac:dyDescent="0.3">
      <c r="A1076" s="7"/>
      <c r="B1076" s="7"/>
      <c r="C1076" s="7"/>
      <c r="D1076" s="8"/>
      <c r="E1076" s="7"/>
    </row>
    <row r="1077" spans="1:5" x14ac:dyDescent="0.3">
      <c r="A1077" s="7"/>
      <c r="B1077" s="7"/>
      <c r="C1077" s="7"/>
      <c r="D1077" s="8"/>
      <c r="E1077" s="7"/>
    </row>
    <row r="1078" spans="1:5" x14ac:dyDescent="0.3">
      <c r="A1078" s="7"/>
      <c r="B1078" s="7"/>
      <c r="C1078" s="7"/>
      <c r="D1078" s="8"/>
      <c r="E1078" s="7"/>
    </row>
    <row r="1079" spans="1:5" x14ac:dyDescent="0.3">
      <c r="A1079" s="7"/>
      <c r="B1079" s="7"/>
      <c r="C1079" s="7"/>
      <c r="D1079" s="8"/>
      <c r="E1079" s="7"/>
    </row>
    <row r="1080" spans="1:5" x14ac:dyDescent="0.3">
      <c r="A1080" s="7"/>
      <c r="B1080" s="7"/>
      <c r="C1080" s="7"/>
      <c r="D1080" s="8"/>
      <c r="E1080" s="7"/>
    </row>
    <row r="1081" spans="1:5" x14ac:dyDescent="0.3">
      <c r="A1081" s="7"/>
      <c r="B1081" s="7"/>
      <c r="C1081" s="7"/>
      <c r="D1081" s="8"/>
      <c r="E1081" s="7"/>
    </row>
    <row r="1082" spans="1:5" x14ac:dyDescent="0.3">
      <c r="A1082" s="7"/>
      <c r="B1082" s="7"/>
      <c r="C1082" s="7"/>
      <c r="D1082" s="8"/>
      <c r="E1082" s="7"/>
    </row>
    <row r="1083" spans="1:5" x14ac:dyDescent="0.3">
      <c r="A1083" s="7"/>
      <c r="B1083" s="7"/>
      <c r="C1083" s="7"/>
      <c r="D1083" s="8"/>
      <c r="E1083" s="7"/>
    </row>
    <row r="1084" spans="1:5" x14ac:dyDescent="0.3">
      <c r="A1084" s="7"/>
      <c r="B1084" s="7"/>
      <c r="C1084" s="7"/>
      <c r="D1084" s="8"/>
      <c r="E1084" s="7"/>
    </row>
    <row r="1085" spans="1:5" x14ac:dyDescent="0.3">
      <c r="A1085" s="7"/>
      <c r="B1085" s="7"/>
      <c r="C1085" s="7"/>
      <c r="D1085" s="8"/>
      <c r="E1085" s="7"/>
    </row>
    <row r="1086" spans="1:5" x14ac:dyDescent="0.3">
      <c r="A1086" s="7"/>
      <c r="B1086" s="7"/>
      <c r="C1086" s="7"/>
      <c r="D1086" s="8"/>
      <c r="E1086" s="7"/>
    </row>
    <row r="1087" spans="1:5" x14ac:dyDescent="0.3">
      <c r="A1087" s="7"/>
      <c r="B1087" s="7"/>
      <c r="C1087" s="7"/>
      <c r="D1087" s="8"/>
      <c r="E1087" s="7"/>
    </row>
    <row r="1088" spans="1:5" x14ac:dyDescent="0.3">
      <c r="A1088" s="7"/>
      <c r="B1088" s="7"/>
      <c r="C1088" s="7"/>
      <c r="D1088" s="8"/>
      <c r="E1088" s="7"/>
    </row>
    <row r="1089" spans="1:5" x14ac:dyDescent="0.3">
      <c r="A1089" s="7"/>
      <c r="B1089" s="7"/>
      <c r="C1089" s="7"/>
      <c r="D1089" s="8"/>
      <c r="E1089" s="7"/>
    </row>
    <row r="1090" spans="1:5" x14ac:dyDescent="0.3">
      <c r="A1090" s="7"/>
      <c r="B1090" s="7"/>
      <c r="C1090" s="7"/>
      <c r="D1090" s="8"/>
      <c r="E1090" s="7"/>
    </row>
    <row r="1091" spans="1:5" x14ac:dyDescent="0.3">
      <c r="A1091" s="7"/>
      <c r="B1091" s="7"/>
      <c r="C1091" s="7"/>
      <c r="D1091" s="8"/>
      <c r="E1091" s="7"/>
    </row>
    <row r="1092" spans="1:5" x14ac:dyDescent="0.3">
      <c r="A1092" s="7"/>
      <c r="B1092" s="7"/>
      <c r="C1092" s="7"/>
      <c r="D1092" s="8"/>
      <c r="E1092" s="7"/>
    </row>
    <row r="1093" spans="1:5" x14ac:dyDescent="0.3">
      <c r="A1093" s="7"/>
      <c r="B1093" s="7"/>
      <c r="C1093" s="7"/>
      <c r="D1093" s="8"/>
      <c r="E1093" s="7"/>
    </row>
    <row r="1094" spans="1:5" x14ac:dyDescent="0.3">
      <c r="A1094" s="7"/>
      <c r="B1094" s="7"/>
      <c r="C1094" s="7"/>
      <c r="D1094" s="8"/>
      <c r="E1094" s="7"/>
    </row>
    <row r="1095" spans="1:5" x14ac:dyDescent="0.3">
      <c r="A1095" s="7"/>
      <c r="B1095" s="7"/>
      <c r="C1095" s="7"/>
      <c r="D1095" s="8"/>
      <c r="E1095" s="7"/>
    </row>
    <row r="1096" spans="1:5" x14ac:dyDescent="0.3">
      <c r="A1096" s="7"/>
      <c r="B1096" s="7"/>
      <c r="C1096" s="7"/>
      <c r="D1096" s="8"/>
      <c r="E1096" s="7"/>
    </row>
    <row r="1097" spans="1:5" x14ac:dyDescent="0.3">
      <c r="A1097" s="7"/>
      <c r="B1097" s="7"/>
      <c r="C1097" s="7"/>
      <c r="D1097" s="8"/>
      <c r="E1097" s="7"/>
    </row>
    <row r="1098" spans="1:5" x14ac:dyDescent="0.3">
      <c r="A1098" s="7"/>
      <c r="B1098" s="7"/>
      <c r="C1098" s="7"/>
      <c r="D1098" s="8"/>
      <c r="E1098" s="7"/>
    </row>
    <row r="1099" spans="1:5" x14ac:dyDescent="0.3">
      <c r="A1099" s="7"/>
      <c r="B1099" s="7"/>
      <c r="C1099" s="7"/>
      <c r="D1099" s="8"/>
      <c r="E1099" s="7"/>
    </row>
    <row r="1100" spans="1:5" x14ac:dyDescent="0.3">
      <c r="A1100" s="7"/>
      <c r="B1100" s="7"/>
      <c r="C1100" s="7"/>
      <c r="D1100" s="8"/>
      <c r="E1100" s="7"/>
    </row>
    <row r="1101" spans="1:5" x14ac:dyDescent="0.3">
      <c r="A1101" s="7"/>
      <c r="B1101" s="7"/>
      <c r="C1101" s="7"/>
      <c r="D1101" s="8"/>
      <c r="E1101" s="7"/>
    </row>
    <row r="1102" spans="1:5" x14ac:dyDescent="0.3">
      <c r="A1102" s="7"/>
      <c r="B1102" s="7"/>
      <c r="C1102" s="7"/>
      <c r="D1102" s="8"/>
      <c r="E1102" s="7"/>
    </row>
    <row r="1103" spans="1:5" x14ac:dyDescent="0.3">
      <c r="A1103" s="7"/>
      <c r="B1103" s="7"/>
      <c r="C1103" s="7"/>
      <c r="D1103" s="8"/>
      <c r="E1103" s="7"/>
    </row>
    <row r="1104" spans="1:5" x14ac:dyDescent="0.3">
      <c r="A1104" s="7"/>
      <c r="B1104" s="7"/>
      <c r="C1104" s="7"/>
      <c r="D1104" s="8"/>
      <c r="E1104" s="7"/>
    </row>
    <row r="1105" spans="1:5" x14ac:dyDescent="0.3">
      <c r="A1105" s="7"/>
      <c r="B1105" s="7"/>
      <c r="C1105" s="7"/>
      <c r="D1105" s="8"/>
      <c r="E1105" s="7"/>
    </row>
    <row r="1106" spans="1:5" x14ac:dyDescent="0.3">
      <c r="A1106" s="7"/>
      <c r="B1106" s="7"/>
      <c r="C1106" s="7"/>
      <c r="D1106" s="8"/>
      <c r="E1106" s="7"/>
    </row>
    <row r="1107" spans="1:5" x14ac:dyDescent="0.3">
      <c r="A1107" s="7"/>
      <c r="B1107" s="7"/>
      <c r="C1107" s="7"/>
      <c r="D1107" s="8"/>
      <c r="E1107" s="7"/>
    </row>
    <row r="1108" spans="1:5" x14ac:dyDescent="0.3">
      <c r="A1108" s="7"/>
      <c r="B1108" s="7"/>
      <c r="C1108" s="7"/>
      <c r="D1108" s="8"/>
      <c r="E1108" s="7"/>
    </row>
    <row r="1109" spans="1:5" x14ac:dyDescent="0.3">
      <c r="A1109" s="7"/>
      <c r="B1109" s="7"/>
      <c r="C1109" s="7"/>
      <c r="D1109" s="8"/>
      <c r="E1109" s="7"/>
    </row>
    <row r="1110" spans="1:5" x14ac:dyDescent="0.3">
      <c r="A1110" s="7"/>
      <c r="B1110" s="7"/>
      <c r="C1110" s="7"/>
      <c r="D1110" s="8"/>
      <c r="E1110" s="7"/>
    </row>
    <row r="1111" spans="1:5" x14ac:dyDescent="0.3">
      <c r="A1111" s="7"/>
      <c r="B1111" s="7"/>
      <c r="C1111" s="7"/>
      <c r="D1111" s="8"/>
      <c r="E1111" s="7"/>
    </row>
    <row r="1112" spans="1:5" x14ac:dyDescent="0.3">
      <c r="A1112" s="7"/>
      <c r="B1112" s="7"/>
      <c r="C1112" s="7"/>
      <c r="D1112" s="8"/>
      <c r="E1112" s="7"/>
    </row>
    <row r="1113" spans="1:5" x14ac:dyDescent="0.3">
      <c r="A1113" s="7"/>
      <c r="B1113" s="7"/>
      <c r="C1113" s="7"/>
      <c r="D1113" s="8"/>
      <c r="E1113" s="7"/>
    </row>
    <row r="1114" spans="1:5" x14ac:dyDescent="0.3">
      <c r="A1114" s="7"/>
      <c r="B1114" s="7"/>
      <c r="C1114" s="7"/>
      <c r="D1114" s="8"/>
      <c r="E1114" s="7"/>
    </row>
    <row r="1115" spans="1:5" x14ac:dyDescent="0.3">
      <c r="A1115" s="7"/>
      <c r="B1115" s="7"/>
      <c r="C1115" s="7"/>
      <c r="D1115" s="8"/>
      <c r="E1115" s="7"/>
    </row>
    <row r="1116" spans="1:5" x14ac:dyDescent="0.3">
      <c r="A1116" s="7"/>
      <c r="B1116" s="7"/>
      <c r="C1116" s="7"/>
      <c r="D1116" s="8"/>
      <c r="E1116" s="7"/>
    </row>
    <row r="1117" spans="1:5" x14ac:dyDescent="0.3">
      <c r="A1117" s="7"/>
      <c r="B1117" s="7"/>
      <c r="C1117" s="7"/>
      <c r="D1117" s="8"/>
      <c r="E1117" s="7"/>
    </row>
    <row r="1118" spans="1:5" x14ac:dyDescent="0.3">
      <c r="A1118" s="7"/>
      <c r="B1118" s="7"/>
      <c r="C1118" s="7"/>
      <c r="D1118" s="8"/>
      <c r="E1118" s="7"/>
    </row>
    <row r="1119" spans="1:5" x14ac:dyDescent="0.3">
      <c r="A1119" s="7"/>
      <c r="B1119" s="7"/>
      <c r="C1119" s="7"/>
      <c r="D1119" s="8"/>
      <c r="E1119" s="7"/>
    </row>
    <row r="1120" spans="1:5" x14ac:dyDescent="0.3">
      <c r="A1120" s="7"/>
      <c r="B1120" s="7"/>
      <c r="C1120" s="7"/>
      <c r="D1120" s="8"/>
      <c r="E1120" s="7"/>
    </row>
    <row r="1121" spans="1:5" x14ac:dyDescent="0.3">
      <c r="A1121" s="7"/>
      <c r="B1121" s="7"/>
      <c r="C1121" s="7"/>
      <c r="D1121" s="8"/>
      <c r="E1121" s="7"/>
    </row>
    <row r="1122" spans="1:5" x14ac:dyDescent="0.3">
      <c r="A1122" s="7"/>
      <c r="B1122" s="7"/>
      <c r="C1122" s="7"/>
      <c r="D1122" s="8"/>
      <c r="E1122" s="7"/>
    </row>
    <row r="1123" spans="1:5" x14ac:dyDescent="0.3">
      <c r="A1123" s="7"/>
      <c r="B1123" s="7"/>
      <c r="C1123" s="7"/>
      <c r="D1123" s="8"/>
      <c r="E1123" s="7"/>
    </row>
    <row r="1124" spans="1:5" x14ac:dyDescent="0.3">
      <c r="A1124" s="7"/>
      <c r="B1124" s="7"/>
      <c r="C1124" s="7"/>
      <c r="D1124" s="8"/>
      <c r="E1124" s="7"/>
    </row>
    <row r="1125" spans="1:5" x14ac:dyDescent="0.3">
      <c r="A1125" s="7"/>
      <c r="B1125" s="7"/>
      <c r="C1125" s="7"/>
      <c r="D1125" s="8"/>
      <c r="E1125" s="7"/>
    </row>
    <row r="1126" spans="1:5" x14ac:dyDescent="0.3">
      <c r="A1126" s="7"/>
      <c r="B1126" s="7"/>
      <c r="C1126" s="7"/>
      <c r="D1126" s="8"/>
      <c r="E1126" s="7"/>
    </row>
    <row r="1127" spans="1:5" x14ac:dyDescent="0.3">
      <c r="A1127" s="7"/>
      <c r="B1127" s="7"/>
      <c r="C1127" s="7"/>
      <c r="D1127" s="8"/>
      <c r="E1127" s="7"/>
    </row>
    <row r="1128" spans="1:5" x14ac:dyDescent="0.3">
      <c r="A1128" s="7"/>
      <c r="B1128" s="7"/>
      <c r="C1128" s="7"/>
      <c r="D1128" s="8"/>
      <c r="E1128" s="7"/>
    </row>
    <row r="1129" spans="1:5" x14ac:dyDescent="0.3">
      <c r="A1129" s="7"/>
      <c r="B1129" s="7"/>
      <c r="C1129" s="7"/>
      <c r="D1129" s="8"/>
      <c r="E1129" s="7"/>
    </row>
    <row r="1130" spans="1:5" x14ac:dyDescent="0.3">
      <c r="A1130" s="7"/>
      <c r="B1130" s="7"/>
      <c r="C1130" s="7"/>
      <c r="D1130" s="8"/>
      <c r="E1130" s="7"/>
    </row>
    <row r="1131" spans="1:5" x14ac:dyDescent="0.3">
      <c r="A1131" s="7"/>
      <c r="B1131" s="7"/>
      <c r="C1131" s="7"/>
      <c r="D1131" s="8"/>
      <c r="E1131" s="7"/>
    </row>
    <row r="1132" spans="1:5" x14ac:dyDescent="0.3">
      <c r="A1132" s="7"/>
      <c r="B1132" s="7"/>
      <c r="C1132" s="7"/>
      <c r="D1132" s="8"/>
      <c r="E1132" s="7"/>
    </row>
    <row r="1133" spans="1:5" x14ac:dyDescent="0.3">
      <c r="A1133" s="7"/>
      <c r="B1133" s="7"/>
      <c r="C1133" s="7"/>
      <c r="D1133" s="8"/>
      <c r="E1133" s="7"/>
    </row>
    <row r="1134" spans="1:5" x14ac:dyDescent="0.3">
      <c r="A1134" s="7"/>
      <c r="B1134" s="7"/>
      <c r="C1134" s="7"/>
      <c r="D1134" s="8"/>
      <c r="E1134" s="7"/>
    </row>
    <row r="1135" spans="1:5" x14ac:dyDescent="0.3">
      <c r="A1135" s="7"/>
      <c r="B1135" s="7"/>
      <c r="C1135" s="7"/>
      <c r="D1135" s="8"/>
      <c r="E1135" s="7"/>
    </row>
    <row r="1136" spans="1:5" x14ac:dyDescent="0.3">
      <c r="A1136" s="7"/>
      <c r="B1136" s="7"/>
      <c r="C1136" s="7"/>
      <c r="D1136" s="8"/>
      <c r="E1136" s="7"/>
    </row>
    <row r="1137" spans="1:5" x14ac:dyDescent="0.3">
      <c r="A1137" s="7"/>
      <c r="B1137" s="7"/>
      <c r="C1137" s="7"/>
      <c r="D1137" s="8"/>
      <c r="E1137" s="7"/>
    </row>
    <row r="1138" spans="1:5" x14ac:dyDescent="0.3">
      <c r="A1138" s="7"/>
      <c r="B1138" s="7"/>
      <c r="C1138" s="7"/>
      <c r="D1138" s="8"/>
      <c r="E1138" s="7"/>
    </row>
    <row r="1139" spans="1:5" x14ac:dyDescent="0.3">
      <c r="A1139" s="7"/>
      <c r="B1139" s="7"/>
      <c r="C1139" s="7"/>
      <c r="D1139" s="8"/>
      <c r="E1139" s="7"/>
    </row>
    <row r="1140" spans="1:5" x14ac:dyDescent="0.3">
      <c r="A1140" s="7"/>
      <c r="B1140" s="7"/>
      <c r="C1140" s="7"/>
      <c r="D1140" s="8"/>
      <c r="E1140" s="7"/>
    </row>
    <row r="1141" spans="1:5" x14ac:dyDescent="0.3">
      <c r="A1141" s="7"/>
      <c r="B1141" s="7"/>
      <c r="C1141" s="7"/>
      <c r="D1141" s="8"/>
      <c r="E1141" s="7"/>
    </row>
    <row r="1142" spans="1:5" x14ac:dyDescent="0.3">
      <c r="A1142" s="7"/>
      <c r="B1142" s="7"/>
      <c r="C1142" s="7"/>
      <c r="D1142" s="8"/>
      <c r="E1142" s="7"/>
    </row>
    <row r="1143" spans="1:5" x14ac:dyDescent="0.3">
      <c r="A1143" s="7"/>
      <c r="B1143" s="7"/>
      <c r="C1143" s="7"/>
      <c r="D1143" s="8"/>
      <c r="E1143" s="7"/>
    </row>
    <row r="1144" spans="1:5" x14ac:dyDescent="0.3">
      <c r="A1144" s="7"/>
      <c r="B1144" s="7"/>
      <c r="C1144" s="7"/>
      <c r="D1144" s="8"/>
      <c r="E1144" s="7"/>
    </row>
    <row r="1145" spans="1:5" x14ac:dyDescent="0.3">
      <c r="A1145" s="7"/>
      <c r="B1145" s="7"/>
      <c r="C1145" s="7"/>
      <c r="D1145" s="8"/>
      <c r="E1145" s="7"/>
    </row>
    <row r="1146" spans="1:5" x14ac:dyDescent="0.3">
      <c r="A1146" s="7"/>
      <c r="B1146" s="7"/>
      <c r="C1146" s="7"/>
      <c r="D1146" s="8"/>
      <c r="E1146" s="7"/>
    </row>
    <row r="1147" spans="1:5" x14ac:dyDescent="0.3">
      <c r="A1147" s="7"/>
      <c r="B1147" s="7"/>
      <c r="C1147" s="7"/>
      <c r="D1147" s="8"/>
      <c r="E1147" s="7"/>
    </row>
    <row r="1148" spans="1:5" x14ac:dyDescent="0.3">
      <c r="A1148" s="7"/>
      <c r="B1148" s="7"/>
      <c r="C1148" s="7"/>
      <c r="D1148" s="8"/>
      <c r="E1148" s="7"/>
    </row>
    <row r="1149" spans="1:5" x14ac:dyDescent="0.3">
      <c r="A1149" s="7"/>
      <c r="B1149" s="7"/>
      <c r="C1149" s="7"/>
      <c r="D1149" s="8"/>
      <c r="E1149" s="7"/>
    </row>
    <row r="1150" spans="1:5" x14ac:dyDescent="0.3">
      <c r="A1150" s="7"/>
      <c r="B1150" s="7"/>
      <c r="C1150" s="7"/>
      <c r="D1150" s="8"/>
      <c r="E1150" s="7"/>
    </row>
    <row r="1151" spans="1:5" x14ac:dyDescent="0.3">
      <c r="A1151" s="7"/>
      <c r="B1151" s="7"/>
      <c r="C1151" s="7"/>
      <c r="D1151" s="8"/>
      <c r="E1151" s="7"/>
    </row>
    <row r="1152" spans="1:5" x14ac:dyDescent="0.3">
      <c r="A1152" s="7"/>
      <c r="B1152" s="7"/>
      <c r="C1152" s="7"/>
      <c r="D1152" s="8"/>
      <c r="E1152" s="7"/>
    </row>
    <row r="1153" spans="1:5" x14ac:dyDescent="0.3">
      <c r="A1153" s="7"/>
      <c r="B1153" s="7"/>
      <c r="C1153" s="7"/>
      <c r="D1153" s="8"/>
      <c r="E1153" s="7"/>
    </row>
    <row r="1154" spans="1:5" x14ac:dyDescent="0.3">
      <c r="A1154" s="7"/>
      <c r="B1154" s="7"/>
      <c r="C1154" s="7"/>
      <c r="D1154" s="8"/>
      <c r="E1154" s="7"/>
    </row>
    <row r="1155" spans="1:5" x14ac:dyDescent="0.3">
      <c r="A1155" s="7"/>
      <c r="B1155" s="7"/>
      <c r="C1155" s="7"/>
      <c r="D1155" s="8"/>
      <c r="E1155" s="7"/>
    </row>
    <row r="1156" spans="1:5" x14ac:dyDescent="0.3">
      <c r="A1156" s="7"/>
      <c r="B1156" s="7"/>
      <c r="C1156" s="7"/>
      <c r="D1156" s="8"/>
      <c r="E1156" s="7"/>
    </row>
    <row r="1157" spans="1:5" x14ac:dyDescent="0.3">
      <c r="A1157" s="7"/>
      <c r="B1157" s="7"/>
      <c r="C1157" s="7"/>
      <c r="D1157" s="8"/>
      <c r="E1157" s="7"/>
    </row>
    <row r="1158" spans="1:5" x14ac:dyDescent="0.3">
      <c r="A1158" s="7"/>
      <c r="B1158" s="7"/>
      <c r="C1158" s="7"/>
      <c r="D1158" s="8"/>
      <c r="E1158" s="7"/>
    </row>
    <row r="1159" spans="1:5" x14ac:dyDescent="0.3">
      <c r="A1159" s="7"/>
      <c r="B1159" s="7"/>
      <c r="C1159" s="7"/>
      <c r="D1159" s="8"/>
      <c r="E1159" s="7"/>
    </row>
    <row r="1160" spans="1:5" x14ac:dyDescent="0.3">
      <c r="A1160" s="7"/>
      <c r="B1160" s="7"/>
      <c r="C1160" s="7"/>
      <c r="D1160" s="8"/>
      <c r="E1160" s="7"/>
    </row>
    <row r="1161" spans="1:5" x14ac:dyDescent="0.3">
      <c r="A1161" s="7"/>
      <c r="B1161" s="7"/>
      <c r="C1161" s="7"/>
      <c r="D1161" s="8"/>
      <c r="E1161" s="7"/>
    </row>
    <row r="1162" spans="1:5" x14ac:dyDescent="0.3">
      <c r="A1162" s="7"/>
      <c r="B1162" s="7"/>
      <c r="C1162" s="7"/>
      <c r="D1162" s="8"/>
      <c r="E1162" s="7"/>
    </row>
    <row r="1163" spans="1:5" x14ac:dyDescent="0.3">
      <c r="A1163" s="7"/>
      <c r="B1163" s="7"/>
      <c r="C1163" s="7"/>
      <c r="D1163" s="8"/>
      <c r="E1163" s="7"/>
    </row>
    <row r="1164" spans="1:5" x14ac:dyDescent="0.3">
      <c r="A1164" s="7"/>
      <c r="B1164" s="7"/>
      <c r="C1164" s="7"/>
      <c r="D1164" s="8"/>
      <c r="E1164" s="7"/>
    </row>
    <row r="1165" spans="1:5" x14ac:dyDescent="0.3">
      <c r="A1165" s="7"/>
      <c r="B1165" s="7"/>
      <c r="C1165" s="7"/>
      <c r="D1165" s="8"/>
      <c r="E1165" s="7"/>
    </row>
    <row r="1166" spans="1:5" x14ac:dyDescent="0.3">
      <c r="A1166" s="7"/>
      <c r="B1166" s="7"/>
      <c r="C1166" s="7"/>
      <c r="D1166" s="8"/>
      <c r="E1166" s="7"/>
    </row>
    <row r="1167" spans="1:5" x14ac:dyDescent="0.3">
      <c r="A1167" s="7"/>
      <c r="B1167" s="7"/>
      <c r="C1167" s="7"/>
      <c r="D1167" s="8"/>
      <c r="E1167" s="7"/>
    </row>
    <row r="1168" spans="1:5" x14ac:dyDescent="0.3">
      <c r="A1168" s="7"/>
      <c r="B1168" s="7"/>
      <c r="C1168" s="7"/>
      <c r="D1168" s="8"/>
      <c r="E1168" s="7"/>
    </row>
    <row r="1169" spans="1:5" x14ac:dyDescent="0.3">
      <c r="A1169" s="7"/>
      <c r="B1169" s="7"/>
      <c r="C1169" s="7"/>
      <c r="D1169" s="8"/>
      <c r="E1169" s="7"/>
    </row>
    <row r="1170" spans="1:5" x14ac:dyDescent="0.3">
      <c r="A1170" s="7"/>
      <c r="B1170" s="7"/>
      <c r="C1170" s="7"/>
      <c r="D1170" s="8"/>
      <c r="E1170" s="7"/>
    </row>
    <row r="1171" spans="1:5" x14ac:dyDescent="0.3">
      <c r="A1171" s="7"/>
      <c r="B1171" s="7"/>
      <c r="C1171" s="7"/>
      <c r="D1171" s="8"/>
      <c r="E1171" s="7"/>
    </row>
    <row r="1172" spans="1:5" x14ac:dyDescent="0.3">
      <c r="A1172" s="7"/>
      <c r="B1172" s="7"/>
      <c r="C1172" s="7"/>
      <c r="D1172" s="8"/>
      <c r="E1172" s="7"/>
    </row>
    <row r="1173" spans="1:5" x14ac:dyDescent="0.3">
      <c r="A1173" s="7"/>
      <c r="B1173" s="7"/>
      <c r="C1173" s="7"/>
      <c r="D1173" s="8"/>
      <c r="E1173" s="7"/>
    </row>
    <row r="1174" spans="1:5" x14ac:dyDescent="0.3">
      <c r="A1174" s="7"/>
      <c r="B1174" s="7"/>
      <c r="C1174" s="7"/>
      <c r="D1174" s="8"/>
      <c r="E1174" s="7"/>
    </row>
    <row r="1175" spans="1:5" x14ac:dyDescent="0.3">
      <c r="A1175" s="7"/>
      <c r="B1175" s="7"/>
      <c r="C1175" s="7"/>
      <c r="D1175" s="8"/>
      <c r="E1175" s="7"/>
    </row>
    <row r="1176" spans="1:5" x14ac:dyDescent="0.3">
      <c r="A1176" s="7"/>
      <c r="B1176" s="7"/>
      <c r="C1176" s="7"/>
      <c r="D1176" s="8"/>
      <c r="E1176" s="7"/>
    </row>
    <row r="1177" spans="1:5" x14ac:dyDescent="0.3">
      <c r="A1177" s="7"/>
      <c r="B1177" s="7"/>
      <c r="C1177" s="7"/>
      <c r="D1177" s="8"/>
      <c r="E1177" s="7"/>
    </row>
    <row r="1178" spans="1:5" x14ac:dyDescent="0.3">
      <c r="A1178" s="7"/>
      <c r="B1178" s="7"/>
      <c r="C1178" s="7"/>
      <c r="D1178" s="8"/>
      <c r="E1178" s="7"/>
    </row>
    <row r="1179" spans="1:5" x14ac:dyDescent="0.3">
      <c r="A1179" s="7"/>
      <c r="B1179" s="7"/>
      <c r="C1179" s="7"/>
      <c r="D1179" s="8"/>
      <c r="E1179" s="7"/>
    </row>
    <row r="1180" spans="1:5" x14ac:dyDescent="0.3">
      <c r="A1180" s="7"/>
      <c r="B1180" s="7"/>
      <c r="C1180" s="7"/>
      <c r="D1180" s="8"/>
      <c r="E1180" s="7"/>
    </row>
    <row r="1181" spans="1:5" x14ac:dyDescent="0.3">
      <c r="A1181" s="7"/>
      <c r="B1181" s="7"/>
      <c r="C1181" s="7"/>
      <c r="D1181" s="8"/>
      <c r="E1181" s="7"/>
    </row>
    <row r="1182" spans="1:5" x14ac:dyDescent="0.3">
      <c r="A1182" s="7"/>
      <c r="B1182" s="7"/>
      <c r="C1182" s="7"/>
      <c r="D1182" s="8"/>
      <c r="E1182" s="7"/>
    </row>
    <row r="1183" spans="1:5" x14ac:dyDescent="0.3">
      <c r="A1183" s="7"/>
      <c r="B1183" s="7"/>
      <c r="C1183" s="7"/>
      <c r="D1183" s="8"/>
      <c r="E1183" s="7"/>
    </row>
    <row r="1184" spans="1:5" x14ac:dyDescent="0.3">
      <c r="A1184" s="7"/>
      <c r="B1184" s="7"/>
      <c r="C1184" s="7"/>
      <c r="D1184" s="8"/>
      <c r="E1184" s="7"/>
    </row>
    <row r="1185" spans="1:5" x14ac:dyDescent="0.3">
      <c r="A1185" s="7"/>
      <c r="B1185" s="7"/>
      <c r="C1185" s="7"/>
      <c r="D1185" s="8"/>
      <c r="E1185" s="7"/>
    </row>
    <row r="1186" spans="1:5" x14ac:dyDescent="0.3">
      <c r="A1186" s="7"/>
      <c r="B1186" s="7"/>
      <c r="C1186" s="7"/>
      <c r="D1186" s="8"/>
      <c r="E1186" s="7"/>
    </row>
    <row r="1187" spans="1:5" x14ac:dyDescent="0.3">
      <c r="A1187" s="7"/>
      <c r="B1187" s="7"/>
      <c r="C1187" s="7"/>
      <c r="D1187" s="8"/>
      <c r="E1187" s="7"/>
    </row>
    <row r="1188" spans="1:5" x14ac:dyDescent="0.3">
      <c r="A1188" s="7"/>
      <c r="B1188" s="7"/>
      <c r="C1188" s="7"/>
      <c r="D1188" s="8"/>
      <c r="E1188" s="7"/>
    </row>
    <row r="1189" spans="1:5" x14ac:dyDescent="0.3">
      <c r="A1189" s="7"/>
      <c r="B1189" s="7"/>
      <c r="C1189" s="7"/>
      <c r="D1189" s="8"/>
      <c r="E1189" s="7"/>
    </row>
    <row r="1190" spans="1:5" x14ac:dyDescent="0.3">
      <c r="A1190" s="7"/>
      <c r="B1190" s="7"/>
      <c r="C1190" s="7"/>
      <c r="D1190" s="8"/>
      <c r="E1190" s="7"/>
    </row>
    <row r="1191" spans="1:5" x14ac:dyDescent="0.3">
      <c r="A1191" s="7"/>
      <c r="B1191" s="7"/>
      <c r="C1191" s="7"/>
      <c r="D1191" s="8"/>
      <c r="E1191" s="7"/>
    </row>
    <row r="1192" spans="1:5" x14ac:dyDescent="0.3">
      <c r="A1192" s="7"/>
      <c r="B1192" s="7"/>
      <c r="C1192" s="7"/>
      <c r="D1192" s="8"/>
      <c r="E1192" s="7"/>
    </row>
    <row r="1193" spans="1:5" x14ac:dyDescent="0.3">
      <c r="A1193" s="7"/>
      <c r="B1193" s="7"/>
      <c r="C1193" s="7"/>
      <c r="D1193" s="8"/>
      <c r="E1193" s="7"/>
    </row>
    <row r="1194" spans="1:5" x14ac:dyDescent="0.3">
      <c r="A1194" s="7"/>
      <c r="B1194" s="7"/>
      <c r="C1194" s="7"/>
      <c r="D1194" s="8"/>
      <c r="E1194" s="7"/>
    </row>
    <row r="1195" spans="1:5" x14ac:dyDescent="0.3">
      <c r="A1195" s="7"/>
      <c r="B1195" s="7"/>
      <c r="C1195" s="7"/>
      <c r="D1195" s="8"/>
      <c r="E1195" s="7"/>
    </row>
    <row r="1196" spans="1:5" x14ac:dyDescent="0.3">
      <c r="A1196" s="7"/>
      <c r="B1196" s="7"/>
      <c r="C1196" s="7"/>
      <c r="D1196" s="8"/>
      <c r="E1196" s="7"/>
    </row>
    <row r="1197" spans="1:5" x14ac:dyDescent="0.3">
      <c r="A1197" s="7"/>
      <c r="B1197" s="7"/>
      <c r="C1197" s="7"/>
      <c r="D1197" s="8"/>
      <c r="E1197" s="7"/>
    </row>
    <row r="1198" spans="1:5" x14ac:dyDescent="0.3">
      <c r="A1198" s="7"/>
      <c r="B1198" s="7"/>
      <c r="C1198" s="7"/>
      <c r="D1198" s="8"/>
      <c r="E1198" s="7"/>
    </row>
    <row r="1199" spans="1:5" x14ac:dyDescent="0.3">
      <c r="A1199" s="7"/>
      <c r="B1199" s="7"/>
      <c r="C1199" s="7"/>
      <c r="D1199" s="8"/>
      <c r="E1199" s="7"/>
    </row>
    <row r="1200" spans="1:5" x14ac:dyDescent="0.3">
      <c r="A1200" s="7"/>
      <c r="B1200" s="7"/>
      <c r="C1200" s="7"/>
      <c r="D1200" s="8"/>
      <c r="E1200" s="7"/>
    </row>
    <row r="1201" spans="1:5" x14ac:dyDescent="0.3">
      <c r="A1201" s="7"/>
      <c r="B1201" s="7"/>
      <c r="C1201" s="7"/>
      <c r="D1201" s="8"/>
      <c r="E1201" s="7"/>
    </row>
    <row r="1202" spans="1:5" x14ac:dyDescent="0.3">
      <c r="A1202" s="7"/>
      <c r="B1202" s="7"/>
      <c r="C1202" s="7"/>
      <c r="D1202" s="8"/>
      <c r="E1202" s="7"/>
    </row>
    <row r="1203" spans="1:5" x14ac:dyDescent="0.3">
      <c r="A1203" s="7"/>
      <c r="B1203" s="7"/>
      <c r="C1203" s="7"/>
      <c r="D1203" s="8"/>
      <c r="E1203" s="7"/>
    </row>
    <row r="1204" spans="1:5" x14ac:dyDescent="0.3">
      <c r="A1204" s="7"/>
      <c r="B1204" s="7"/>
      <c r="C1204" s="7"/>
      <c r="D1204" s="8"/>
      <c r="E1204" s="7"/>
    </row>
    <row r="1205" spans="1:5" x14ac:dyDescent="0.3">
      <c r="A1205" s="7"/>
      <c r="B1205" s="7"/>
      <c r="C1205" s="7"/>
      <c r="D1205" s="8"/>
      <c r="E1205" s="7"/>
    </row>
    <row r="1206" spans="1:5" x14ac:dyDescent="0.3">
      <c r="A1206" s="7"/>
      <c r="B1206" s="7"/>
      <c r="C1206" s="7"/>
      <c r="D1206" s="8"/>
      <c r="E1206" s="7"/>
    </row>
    <row r="1207" spans="1:5" x14ac:dyDescent="0.3">
      <c r="A1207" s="7"/>
      <c r="B1207" s="7"/>
      <c r="C1207" s="7"/>
      <c r="D1207" s="8"/>
      <c r="E1207" s="7"/>
    </row>
    <row r="1208" spans="1:5" x14ac:dyDescent="0.3">
      <c r="A1208" s="7"/>
      <c r="B1208" s="7"/>
      <c r="C1208" s="7"/>
      <c r="D1208" s="8"/>
      <c r="E1208" s="7"/>
    </row>
    <row r="1209" spans="1:5" x14ac:dyDescent="0.3">
      <c r="A1209" s="7"/>
      <c r="B1209" s="7"/>
      <c r="C1209" s="7"/>
      <c r="D1209" s="8"/>
      <c r="E1209" s="7"/>
    </row>
    <row r="1210" spans="1:5" x14ac:dyDescent="0.3">
      <c r="A1210" s="7"/>
      <c r="B1210" s="7"/>
      <c r="C1210" s="7"/>
      <c r="D1210" s="7"/>
      <c r="E1210" s="7"/>
    </row>
    <row r="1211" spans="1:5" x14ac:dyDescent="0.3">
      <c r="A1211" s="7"/>
      <c r="B1211" s="7"/>
      <c r="C1211" s="7"/>
      <c r="D1211" s="7"/>
      <c r="E1211" s="7"/>
    </row>
    <row r="1212" spans="1:5" x14ac:dyDescent="0.3">
      <c r="A1212" s="7"/>
      <c r="B1212" s="7"/>
      <c r="C1212" s="7"/>
      <c r="D1212" s="7"/>
      <c r="E1212" s="7"/>
    </row>
    <row r="1213" spans="1:5" x14ac:dyDescent="0.3">
      <c r="A1213" s="7"/>
      <c r="B1213" s="7"/>
      <c r="C1213" s="7"/>
      <c r="D1213" s="8"/>
      <c r="E1213" s="7"/>
    </row>
    <row r="1214" spans="1:5" x14ac:dyDescent="0.3">
      <c r="A1214" s="7"/>
      <c r="B1214" s="7"/>
      <c r="C1214" s="7"/>
      <c r="D1214" s="8"/>
      <c r="E1214" s="7"/>
    </row>
    <row r="1215" spans="1:5" x14ac:dyDescent="0.3">
      <c r="A1215" s="7"/>
      <c r="B1215" s="7"/>
      <c r="C1215" s="7"/>
      <c r="D1215" s="8"/>
      <c r="E1215" s="7"/>
    </row>
    <row r="1216" spans="1:5" x14ac:dyDescent="0.3">
      <c r="A1216" s="7"/>
      <c r="B1216" s="7"/>
      <c r="C1216" s="7"/>
      <c r="D1216" s="8"/>
      <c r="E1216" s="7"/>
    </row>
    <row r="1217" spans="1:5" x14ac:dyDescent="0.3">
      <c r="A1217" s="7"/>
      <c r="B1217" s="7"/>
      <c r="C1217" s="7"/>
      <c r="D1217" s="8"/>
      <c r="E1217" s="7"/>
    </row>
    <row r="1218" spans="1:5" x14ac:dyDescent="0.3">
      <c r="A1218" s="7"/>
      <c r="B1218" s="7"/>
      <c r="C1218" s="7"/>
      <c r="D1218" s="8"/>
      <c r="E1218" s="7"/>
    </row>
    <row r="1219" spans="1:5" x14ac:dyDescent="0.3">
      <c r="A1219" s="7"/>
      <c r="B1219" s="7"/>
      <c r="C1219" s="7"/>
      <c r="D1219" s="8"/>
      <c r="E1219" s="7"/>
    </row>
    <row r="1220" spans="1:5" x14ac:dyDescent="0.3">
      <c r="A1220" s="7"/>
      <c r="B1220" s="7"/>
      <c r="C1220" s="7"/>
      <c r="D1220" s="8"/>
      <c r="E1220" s="7"/>
    </row>
    <row r="1221" spans="1:5" x14ac:dyDescent="0.3">
      <c r="A1221" s="7"/>
      <c r="B1221" s="7"/>
      <c r="C1221" s="7"/>
      <c r="D1221" s="8"/>
      <c r="E1221" s="7"/>
    </row>
    <row r="1222" spans="1:5" x14ac:dyDescent="0.3">
      <c r="A1222" s="7"/>
      <c r="B1222" s="7"/>
      <c r="C1222" s="7"/>
      <c r="D1222" s="8"/>
      <c r="E1222" s="7"/>
    </row>
    <row r="1223" spans="1:5" x14ac:dyDescent="0.3">
      <c r="A1223" s="7"/>
      <c r="B1223" s="7"/>
      <c r="C1223" s="7"/>
      <c r="D1223" s="8"/>
      <c r="E1223" s="7"/>
    </row>
    <row r="1224" spans="1:5" x14ac:dyDescent="0.3">
      <c r="A1224" s="7"/>
      <c r="B1224" s="7"/>
      <c r="C1224" s="7"/>
      <c r="D1224" s="8"/>
      <c r="E1224" s="7"/>
    </row>
    <row r="1225" spans="1:5" x14ac:dyDescent="0.3">
      <c r="A1225" s="7"/>
      <c r="B1225" s="7"/>
      <c r="C1225" s="7"/>
      <c r="D1225" s="8"/>
      <c r="E1225" s="7"/>
    </row>
    <row r="1226" spans="1:5" x14ac:dyDescent="0.3">
      <c r="A1226" s="7"/>
      <c r="B1226" s="7"/>
      <c r="C1226" s="7"/>
      <c r="D1226" s="8"/>
      <c r="E1226" s="7"/>
    </row>
    <row r="1227" spans="1:5" x14ac:dyDescent="0.3">
      <c r="A1227" s="7"/>
      <c r="B1227" s="7"/>
      <c r="C1227" s="7"/>
      <c r="D1227" s="8"/>
      <c r="E1227" s="7"/>
    </row>
    <row r="1228" spans="1:5" x14ac:dyDescent="0.3">
      <c r="A1228" s="7"/>
      <c r="B1228" s="7"/>
      <c r="C1228" s="7"/>
      <c r="D1228" s="8"/>
      <c r="E1228" s="7"/>
    </row>
    <row r="1229" spans="1:5" x14ac:dyDescent="0.3">
      <c r="A1229" s="7"/>
      <c r="B1229" s="7"/>
      <c r="C1229" s="7"/>
      <c r="D1229" s="8"/>
      <c r="E1229" s="7"/>
    </row>
    <row r="1230" spans="1:5" x14ac:dyDescent="0.3">
      <c r="A1230" s="7"/>
      <c r="B1230" s="7"/>
      <c r="C1230" s="7"/>
      <c r="D1230" s="8"/>
      <c r="E1230" s="7"/>
    </row>
    <row r="1231" spans="1:5" x14ac:dyDescent="0.3">
      <c r="A1231" s="7"/>
      <c r="B1231" s="7"/>
      <c r="C1231" s="7"/>
      <c r="D1231" s="8"/>
      <c r="E1231" s="7"/>
    </row>
    <row r="1232" spans="1:5" x14ac:dyDescent="0.3">
      <c r="A1232" s="7"/>
      <c r="B1232" s="7"/>
      <c r="C1232" s="7"/>
      <c r="D1232" s="8"/>
      <c r="E1232" s="7"/>
    </row>
    <row r="1233" spans="1:5" x14ac:dyDescent="0.3">
      <c r="A1233" s="7"/>
      <c r="B1233" s="7"/>
      <c r="C1233" s="7"/>
      <c r="D1233" s="8"/>
      <c r="E1233" s="7"/>
    </row>
    <row r="1234" spans="1:5" x14ac:dyDescent="0.3">
      <c r="A1234" s="7"/>
      <c r="B1234" s="7"/>
      <c r="C1234" s="7"/>
      <c r="D1234" s="8"/>
      <c r="E1234" s="7"/>
    </row>
    <row r="1235" spans="1:5" x14ac:dyDescent="0.3">
      <c r="A1235" s="7"/>
      <c r="B1235" s="7"/>
      <c r="C1235" s="7"/>
      <c r="D1235" s="8"/>
      <c r="E1235" s="7"/>
    </row>
    <row r="1236" spans="1:5" x14ac:dyDescent="0.3">
      <c r="A1236" s="7"/>
      <c r="B1236" s="7"/>
      <c r="C1236" s="7"/>
      <c r="D1236" s="8"/>
      <c r="E1236" s="7"/>
    </row>
    <row r="1237" spans="1:5" x14ac:dyDescent="0.3">
      <c r="A1237" s="7"/>
      <c r="B1237" s="7"/>
      <c r="C1237" s="7"/>
      <c r="D1237" s="8"/>
      <c r="E1237" s="7"/>
    </row>
    <row r="1238" spans="1:5" x14ac:dyDescent="0.3">
      <c r="A1238" s="7"/>
      <c r="B1238" s="7"/>
      <c r="C1238" s="7"/>
      <c r="D1238" s="8"/>
      <c r="E1238" s="7"/>
    </row>
    <row r="1239" spans="1:5" x14ac:dyDescent="0.3">
      <c r="A1239" s="7"/>
      <c r="B1239" s="7"/>
      <c r="C1239" s="7"/>
      <c r="D1239" s="8"/>
      <c r="E1239" s="7"/>
    </row>
    <row r="1240" spans="1:5" x14ac:dyDescent="0.3">
      <c r="A1240" s="7"/>
      <c r="B1240" s="7"/>
      <c r="C1240" s="7"/>
      <c r="D1240" s="8"/>
      <c r="E1240" s="7"/>
    </row>
    <row r="1241" spans="1:5" x14ac:dyDescent="0.3">
      <c r="A1241" s="7"/>
      <c r="B1241" s="7"/>
      <c r="C1241" s="7"/>
      <c r="D1241" s="8"/>
      <c r="E1241" s="7"/>
    </row>
    <row r="1242" spans="1:5" x14ac:dyDescent="0.3">
      <c r="A1242" s="7"/>
      <c r="B1242" s="7"/>
      <c r="C1242" s="7"/>
      <c r="D1242" s="8"/>
      <c r="E1242" s="7"/>
    </row>
    <row r="1243" spans="1:5" x14ac:dyDescent="0.3">
      <c r="A1243" s="7"/>
      <c r="B1243" s="7"/>
      <c r="C1243" s="7"/>
      <c r="D1243" s="8"/>
      <c r="E1243" s="7"/>
    </row>
    <row r="1244" spans="1:5" x14ac:dyDescent="0.3">
      <c r="A1244" s="7"/>
      <c r="B1244" s="7"/>
      <c r="C1244" s="7"/>
      <c r="D1244" s="8"/>
      <c r="E1244" s="7"/>
    </row>
    <row r="1245" spans="1:5" x14ac:dyDescent="0.3">
      <c r="A1245" s="7"/>
      <c r="B1245" s="7"/>
      <c r="C1245" s="7"/>
      <c r="D1245" s="8"/>
      <c r="E1245" s="7"/>
    </row>
    <row r="1246" spans="1:5" x14ac:dyDescent="0.3">
      <c r="A1246" s="7"/>
      <c r="B1246" s="7"/>
      <c r="C1246" s="7"/>
      <c r="D1246" s="8"/>
      <c r="E1246" s="7"/>
    </row>
    <row r="1247" spans="1:5" x14ac:dyDescent="0.3">
      <c r="A1247" s="7"/>
      <c r="B1247" s="7"/>
      <c r="C1247" s="7"/>
      <c r="D1247" s="8"/>
      <c r="E1247" s="7"/>
    </row>
    <row r="1248" spans="1:5" x14ac:dyDescent="0.3">
      <c r="A1248" s="7"/>
      <c r="B1248" s="7"/>
      <c r="C1248" s="7"/>
      <c r="D1248" s="8"/>
      <c r="E1248" s="7"/>
    </row>
    <row r="1249" spans="1:5" x14ac:dyDescent="0.3">
      <c r="A1249" s="7"/>
      <c r="B1249" s="7"/>
      <c r="C1249" s="7"/>
      <c r="D1249" s="8"/>
      <c r="E1249" s="7"/>
    </row>
    <row r="1250" spans="1:5" x14ac:dyDescent="0.3">
      <c r="A1250" s="7"/>
      <c r="B1250" s="7"/>
      <c r="C1250" s="7"/>
      <c r="D1250" s="8"/>
      <c r="E1250" s="7"/>
    </row>
    <row r="1251" spans="1:5" x14ac:dyDescent="0.3">
      <c r="A1251" s="7"/>
      <c r="B1251" s="7"/>
      <c r="C1251" s="7"/>
      <c r="D1251" s="8"/>
      <c r="E1251" s="7"/>
    </row>
    <row r="1252" spans="1:5" x14ac:dyDescent="0.3">
      <c r="A1252" s="7"/>
      <c r="B1252" s="7"/>
      <c r="C1252" s="7"/>
      <c r="D1252" s="8"/>
      <c r="E1252" s="7"/>
    </row>
    <row r="1253" spans="1:5" x14ac:dyDescent="0.3">
      <c r="A1253" s="7"/>
      <c r="B1253" s="7"/>
      <c r="C1253" s="7"/>
      <c r="D1253" s="8"/>
      <c r="E1253" s="7"/>
    </row>
    <row r="1254" spans="1:5" x14ac:dyDescent="0.3">
      <c r="A1254" s="7"/>
      <c r="B1254" s="7"/>
      <c r="C1254" s="7"/>
      <c r="D1254" s="8"/>
      <c r="E1254" s="7"/>
    </row>
    <row r="1255" spans="1:5" x14ac:dyDescent="0.3">
      <c r="A1255" s="7"/>
      <c r="B1255" s="7"/>
      <c r="C1255" s="7"/>
      <c r="D1255" s="8"/>
      <c r="E1255" s="7"/>
    </row>
    <row r="1256" spans="1:5" x14ac:dyDescent="0.3">
      <c r="A1256" s="7"/>
      <c r="B1256" s="7"/>
      <c r="C1256" s="7"/>
      <c r="D1256" s="8"/>
      <c r="E1256" s="7"/>
    </row>
    <row r="1257" spans="1:5" x14ac:dyDescent="0.3">
      <c r="A1257" s="7"/>
      <c r="B1257" s="7"/>
      <c r="C1257" s="7"/>
      <c r="D1257" s="8"/>
      <c r="E1257" s="7"/>
    </row>
    <row r="1258" spans="1:5" x14ac:dyDescent="0.3">
      <c r="A1258" s="7"/>
      <c r="B1258" s="7"/>
      <c r="C1258" s="7"/>
      <c r="D1258" s="8"/>
      <c r="E1258" s="7"/>
    </row>
    <row r="1259" spans="1:5" x14ac:dyDescent="0.3">
      <c r="A1259" s="7"/>
      <c r="B1259" s="7"/>
      <c r="C1259" s="7"/>
      <c r="D1259" s="8"/>
      <c r="E1259" s="7"/>
    </row>
    <row r="1260" spans="1:5" x14ac:dyDescent="0.3">
      <c r="A1260" s="7"/>
      <c r="B1260" s="7"/>
      <c r="C1260" s="7"/>
      <c r="D1260" s="8"/>
      <c r="E1260" s="7"/>
    </row>
    <row r="1261" spans="1:5" x14ac:dyDescent="0.3">
      <c r="A1261" s="7"/>
      <c r="B1261" s="7"/>
      <c r="C1261" s="7"/>
      <c r="D1261" s="8"/>
      <c r="E1261" s="7"/>
    </row>
    <row r="1262" spans="1:5" x14ac:dyDescent="0.3">
      <c r="A1262" s="7"/>
      <c r="B1262" s="7"/>
      <c r="C1262" s="7"/>
      <c r="D1262" s="8"/>
      <c r="E1262" s="7"/>
    </row>
    <row r="1263" spans="1:5" x14ac:dyDescent="0.3">
      <c r="A1263" s="7"/>
      <c r="B1263" s="7"/>
      <c r="C1263" s="7"/>
      <c r="D1263" s="8"/>
      <c r="E1263" s="7"/>
    </row>
    <row r="1264" spans="1:5" x14ac:dyDescent="0.3">
      <c r="A1264" s="7"/>
      <c r="B1264" s="7"/>
      <c r="C1264" s="7"/>
      <c r="D1264" s="8"/>
      <c r="E1264" s="7"/>
    </row>
    <row r="1265" spans="1:5" x14ac:dyDescent="0.3">
      <c r="A1265" s="7"/>
      <c r="B1265" s="7"/>
      <c r="C1265" s="7"/>
      <c r="D1265" s="8"/>
      <c r="E1265" s="7"/>
    </row>
    <row r="1266" spans="1:5" x14ac:dyDescent="0.3">
      <c r="A1266" s="7"/>
      <c r="B1266" s="7"/>
      <c r="C1266" s="7"/>
      <c r="D1266" s="8"/>
      <c r="E1266" s="7"/>
    </row>
    <row r="1267" spans="1:5" x14ac:dyDescent="0.3">
      <c r="A1267" s="7"/>
      <c r="B1267" s="7"/>
      <c r="C1267" s="7"/>
      <c r="D1267" s="8"/>
      <c r="E1267" s="7"/>
    </row>
    <row r="1268" spans="1:5" x14ac:dyDescent="0.3">
      <c r="A1268" s="7"/>
      <c r="B1268" s="7"/>
      <c r="C1268" s="7"/>
      <c r="D1268" s="8"/>
      <c r="E1268" s="7"/>
    </row>
    <row r="1269" spans="1:5" x14ac:dyDescent="0.3">
      <c r="A1269" s="7"/>
      <c r="B1269" s="7"/>
      <c r="C1269" s="7"/>
      <c r="D1269" s="8"/>
      <c r="E1269" s="7"/>
    </row>
    <row r="1270" spans="1:5" x14ac:dyDescent="0.3">
      <c r="A1270" s="7"/>
      <c r="B1270" s="7"/>
      <c r="C1270" s="7"/>
      <c r="D1270" s="8"/>
      <c r="E1270" s="7"/>
    </row>
    <row r="1271" spans="1:5" x14ac:dyDescent="0.3">
      <c r="A1271" s="7"/>
      <c r="B1271" s="7"/>
      <c r="C1271" s="7"/>
      <c r="D1271" s="8"/>
      <c r="E1271" s="7"/>
    </row>
    <row r="1272" spans="1:5" x14ac:dyDescent="0.3">
      <c r="A1272" s="7"/>
      <c r="B1272" s="7"/>
      <c r="C1272" s="7"/>
      <c r="D1272" s="8"/>
      <c r="E1272" s="7"/>
    </row>
    <row r="1273" spans="1:5" x14ac:dyDescent="0.3">
      <c r="A1273" s="7"/>
      <c r="B1273" s="7"/>
      <c r="C1273" s="7"/>
      <c r="D1273" s="8"/>
      <c r="E1273" s="7"/>
    </row>
    <row r="1274" spans="1:5" x14ac:dyDescent="0.3">
      <c r="A1274" s="7"/>
      <c r="B1274" s="7"/>
      <c r="C1274" s="7"/>
      <c r="D1274" s="8"/>
      <c r="E1274" s="7"/>
    </row>
    <row r="1275" spans="1:5" x14ac:dyDescent="0.3">
      <c r="A1275" s="7"/>
      <c r="B1275" s="7"/>
      <c r="C1275" s="7"/>
      <c r="D1275" s="8"/>
      <c r="E1275" s="7"/>
    </row>
    <row r="1276" spans="1:5" x14ac:dyDescent="0.3">
      <c r="A1276" s="7"/>
      <c r="B1276" s="7"/>
      <c r="C1276" s="7"/>
      <c r="D1276" s="8"/>
      <c r="E1276" s="7"/>
    </row>
    <row r="1277" spans="1:5" x14ac:dyDescent="0.3">
      <c r="A1277" s="7"/>
      <c r="B1277" s="7"/>
      <c r="C1277" s="7"/>
      <c r="D1277" s="8"/>
      <c r="E1277" s="7"/>
    </row>
    <row r="1278" spans="1:5" x14ac:dyDescent="0.3">
      <c r="A1278" s="7"/>
      <c r="B1278" s="7"/>
      <c r="C1278" s="7"/>
      <c r="D1278" s="8"/>
      <c r="E1278" s="7"/>
    </row>
    <row r="1279" spans="1:5" x14ac:dyDescent="0.3">
      <c r="A1279" s="7"/>
      <c r="B1279" s="7"/>
      <c r="C1279" s="7"/>
      <c r="D1279" s="8"/>
      <c r="E1279" s="7"/>
    </row>
    <row r="1280" spans="1:5" x14ac:dyDescent="0.3">
      <c r="A1280" s="7"/>
      <c r="B1280" s="7"/>
      <c r="C1280" s="7"/>
      <c r="D1280" s="8"/>
      <c r="E1280" s="7"/>
    </row>
    <row r="1281" spans="1:5" x14ac:dyDescent="0.3">
      <c r="A1281" s="7"/>
      <c r="B1281" s="7"/>
      <c r="C1281" s="7"/>
      <c r="D1281" s="8"/>
      <c r="E1281" s="7"/>
    </row>
    <row r="1282" spans="1:5" x14ac:dyDescent="0.3">
      <c r="A1282" s="7"/>
      <c r="B1282" s="7"/>
      <c r="C1282" s="7"/>
      <c r="D1282" s="8"/>
      <c r="E1282" s="7"/>
    </row>
    <row r="1283" spans="1:5" x14ac:dyDescent="0.3">
      <c r="A1283" s="7"/>
      <c r="B1283" s="7"/>
      <c r="C1283" s="7"/>
      <c r="D1283" s="8"/>
      <c r="E1283" s="7"/>
    </row>
    <row r="1284" spans="1:5" x14ac:dyDescent="0.3">
      <c r="A1284" s="7"/>
      <c r="B1284" s="7"/>
      <c r="C1284" s="7"/>
      <c r="D1284" s="8"/>
      <c r="E1284" s="7"/>
    </row>
    <row r="1285" spans="1:5" x14ac:dyDescent="0.3">
      <c r="A1285" s="7"/>
      <c r="B1285" s="7"/>
      <c r="C1285" s="7"/>
      <c r="D1285" s="8"/>
      <c r="E1285" s="7"/>
    </row>
    <row r="1286" spans="1:5" x14ac:dyDescent="0.3">
      <c r="A1286" s="7"/>
      <c r="B1286" s="7"/>
      <c r="C1286" s="7"/>
      <c r="D1286" s="8"/>
      <c r="E1286" s="7"/>
    </row>
    <row r="1287" spans="1:5" x14ac:dyDescent="0.3">
      <c r="A1287" s="7"/>
      <c r="B1287" s="7"/>
      <c r="C1287" s="7"/>
      <c r="D1287" s="8"/>
      <c r="E1287" s="7"/>
    </row>
    <row r="1288" spans="1:5" x14ac:dyDescent="0.3">
      <c r="A1288" s="7"/>
      <c r="B1288" s="7"/>
      <c r="C1288" s="7"/>
      <c r="D1288" s="8"/>
      <c r="E1288" s="7"/>
    </row>
    <row r="1289" spans="1:5" x14ac:dyDescent="0.3">
      <c r="A1289" s="7"/>
      <c r="B1289" s="7"/>
      <c r="C1289" s="7"/>
      <c r="D1289" s="8"/>
      <c r="E1289" s="7"/>
    </row>
    <row r="1290" spans="1:5" x14ac:dyDescent="0.3">
      <c r="A1290" s="7"/>
      <c r="B1290" s="7"/>
      <c r="C1290" s="7"/>
      <c r="D1290" s="8"/>
      <c r="E1290" s="7"/>
    </row>
    <row r="1291" spans="1:5" x14ac:dyDescent="0.3">
      <c r="A1291" s="7"/>
      <c r="B1291" s="7"/>
      <c r="C1291" s="7"/>
      <c r="D1291" s="8"/>
      <c r="E1291" s="7"/>
    </row>
    <row r="1292" spans="1:5" x14ac:dyDescent="0.3">
      <c r="A1292" s="7"/>
      <c r="B1292" s="7"/>
      <c r="C1292" s="7"/>
      <c r="D1292" s="8"/>
      <c r="E1292" s="7"/>
    </row>
    <row r="1293" spans="1:5" x14ac:dyDescent="0.3">
      <c r="A1293" s="7"/>
      <c r="B1293" s="7"/>
      <c r="C1293" s="7"/>
      <c r="D1293" s="8"/>
      <c r="E1293" s="7"/>
    </row>
    <row r="1294" spans="1:5" x14ac:dyDescent="0.3">
      <c r="A1294" s="7"/>
      <c r="B1294" s="7"/>
      <c r="C1294" s="7"/>
      <c r="D1294" s="8"/>
      <c r="E1294" s="7"/>
    </row>
    <row r="1295" spans="1:5" x14ac:dyDescent="0.3">
      <c r="A1295" s="7"/>
      <c r="B1295" s="7"/>
      <c r="C1295" s="7"/>
      <c r="D1295" s="8"/>
      <c r="E1295" s="7"/>
    </row>
    <row r="1296" spans="1:5" x14ac:dyDescent="0.3">
      <c r="A1296" s="7"/>
      <c r="B1296" s="7"/>
      <c r="C1296" s="7"/>
      <c r="D1296" s="8"/>
      <c r="E1296" s="7"/>
    </row>
    <row r="1297" spans="1:5" x14ac:dyDescent="0.3">
      <c r="A1297" s="7"/>
      <c r="B1297" s="7"/>
      <c r="C1297" s="7"/>
      <c r="D1297" s="8"/>
      <c r="E1297" s="7"/>
    </row>
    <row r="1298" spans="1:5" x14ac:dyDescent="0.3">
      <c r="A1298" s="7"/>
      <c r="B1298" s="7"/>
      <c r="C1298" s="7"/>
      <c r="D1298" s="8"/>
      <c r="E1298" s="7"/>
    </row>
    <row r="1299" spans="1:5" x14ac:dyDescent="0.3">
      <c r="A1299" s="7"/>
      <c r="B1299" s="7"/>
      <c r="C1299" s="7"/>
      <c r="D1299" s="8"/>
      <c r="E1299" s="7"/>
    </row>
    <row r="1300" spans="1:5" x14ac:dyDescent="0.3">
      <c r="A1300" s="7"/>
      <c r="B1300" s="7"/>
      <c r="C1300" s="7"/>
      <c r="D1300" s="8"/>
      <c r="E1300" s="7"/>
    </row>
    <row r="1301" spans="1:5" x14ac:dyDescent="0.3">
      <c r="A1301" s="7"/>
      <c r="B1301" s="7"/>
      <c r="C1301" s="7"/>
      <c r="D1301" s="8"/>
      <c r="E1301" s="7"/>
    </row>
    <row r="1302" spans="1:5" x14ac:dyDescent="0.3">
      <c r="A1302" s="7"/>
      <c r="B1302" s="7"/>
      <c r="C1302" s="7"/>
      <c r="D1302" s="8"/>
      <c r="E1302" s="7"/>
    </row>
    <row r="1303" spans="1:5" x14ac:dyDescent="0.3">
      <c r="A1303" s="7"/>
      <c r="B1303" s="7"/>
      <c r="C1303" s="7"/>
      <c r="D1303" s="8"/>
      <c r="E1303" s="7"/>
    </row>
    <row r="1304" spans="1:5" x14ac:dyDescent="0.3">
      <c r="A1304" s="7"/>
      <c r="B1304" s="7"/>
      <c r="C1304" s="7"/>
      <c r="D1304" s="8"/>
      <c r="E1304" s="7"/>
    </row>
    <row r="1305" spans="1:5" x14ac:dyDescent="0.3">
      <c r="A1305" s="7"/>
      <c r="B1305" s="7"/>
      <c r="C1305" s="7"/>
      <c r="D1305" s="8"/>
      <c r="E1305" s="7"/>
    </row>
    <row r="1306" spans="1:5" x14ac:dyDescent="0.3">
      <c r="A1306" s="7"/>
      <c r="B1306" s="7"/>
      <c r="C1306" s="7"/>
      <c r="D1306" s="8"/>
      <c r="E1306" s="7"/>
    </row>
    <row r="1307" spans="1:5" x14ac:dyDescent="0.3">
      <c r="A1307" s="7"/>
      <c r="B1307" s="7"/>
      <c r="C1307" s="7"/>
      <c r="D1307" s="8"/>
      <c r="E1307" s="7"/>
    </row>
    <row r="1308" spans="1:5" x14ac:dyDescent="0.3">
      <c r="A1308" s="7"/>
      <c r="B1308" s="7"/>
      <c r="C1308" s="7"/>
      <c r="D1308" s="8"/>
      <c r="E1308" s="7"/>
    </row>
    <row r="1309" spans="1:5" x14ac:dyDescent="0.3">
      <c r="A1309" s="7"/>
      <c r="B1309" s="7"/>
      <c r="C1309" s="7"/>
      <c r="D1309" s="8"/>
      <c r="E1309" s="7"/>
    </row>
    <row r="1310" spans="1:5" x14ac:dyDescent="0.3">
      <c r="A1310" s="7"/>
      <c r="B1310" s="7"/>
      <c r="C1310" s="7"/>
      <c r="D1310" s="8"/>
      <c r="E1310" s="7"/>
    </row>
    <row r="1311" spans="1:5" x14ac:dyDescent="0.3">
      <c r="A1311" s="7"/>
      <c r="B1311" s="7"/>
      <c r="C1311" s="7"/>
      <c r="D1311" s="8"/>
      <c r="E1311" s="7"/>
    </row>
    <row r="1312" spans="1:5" x14ac:dyDescent="0.3">
      <c r="A1312" s="7"/>
      <c r="B1312" s="7"/>
      <c r="C1312" s="7"/>
      <c r="D1312" s="8"/>
      <c r="E1312" s="7"/>
    </row>
    <row r="1313" spans="1:5" x14ac:dyDescent="0.3">
      <c r="A1313" s="7"/>
      <c r="B1313" s="7"/>
      <c r="C1313" s="7"/>
      <c r="D1313" s="8"/>
      <c r="E1313" s="7"/>
    </row>
    <row r="1314" spans="1:5" x14ac:dyDescent="0.3">
      <c r="A1314" s="7"/>
      <c r="B1314" s="7"/>
      <c r="C1314" s="7"/>
      <c r="D1314" s="8"/>
      <c r="E1314" s="7"/>
    </row>
    <row r="1315" spans="1:5" x14ac:dyDescent="0.3">
      <c r="A1315" s="7"/>
      <c r="B1315" s="7"/>
      <c r="C1315" s="7"/>
      <c r="D1315" s="8"/>
      <c r="E1315" s="7"/>
    </row>
    <row r="1316" spans="1:5" x14ac:dyDescent="0.3">
      <c r="A1316" s="7"/>
      <c r="B1316" s="7"/>
      <c r="C1316" s="7"/>
      <c r="D1316" s="8"/>
      <c r="E1316" s="7"/>
    </row>
    <row r="1317" spans="1:5" x14ac:dyDescent="0.3">
      <c r="A1317" s="7"/>
      <c r="B1317" s="7"/>
      <c r="C1317" s="7"/>
      <c r="D1317" s="8"/>
      <c r="E1317" s="7"/>
    </row>
    <row r="1318" spans="1:5" x14ac:dyDescent="0.3">
      <c r="A1318" s="7"/>
      <c r="B1318" s="7"/>
      <c r="C1318" s="7"/>
      <c r="D1318" s="8"/>
      <c r="E1318" s="7"/>
    </row>
    <row r="1319" spans="1:5" x14ac:dyDescent="0.3">
      <c r="A1319" s="7"/>
      <c r="B1319" s="7"/>
      <c r="C1319" s="7"/>
      <c r="D1319" s="8"/>
      <c r="E1319" s="7"/>
    </row>
    <row r="1320" spans="1:5" x14ac:dyDescent="0.3">
      <c r="A1320" s="7"/>
      <c r="B1320" s="7"/>
      <c r="C1320" s="7"/>
      <c r="D1320" s="8"/>
      <c r="E1320" s="7"/>
    </row>
    <row r="1321" spans="1:5" x14ac:dyDescent="0.3">
      <c r="A1321" s="7"/>
      <c r="B1321" s="7"/>
      <c r="C1321" s="7"/>
      <c r="D1321" s="8"/>
      <c r="E1321" s="7"/>
    </row>
    <row r="1322" spans="1:5" x14ac:dyDescent="0.3">
      <c r="A1322" s="7"/>
      <c r="B1322" s="7"/>
      <c r="C1322" s="7"/>
      <c r="D1322" s="8"/>
      <c r="E1322" s="7"/>
    </row>
    <row r="1323" spans="1:5" x14ac:dyDescent="0.3">
      <c r="A1323" s="7"/>
      <c r="B1323" s="7"/>
      <c r="C1323" s="7"/>
      <c r="D1323" s="8"/>
      <c r="E1323" s="7"/>
    </row>
    <row r="1324" spans="1:5" x14ac:dyDescent="0.3">
      <c r="A1324" s="7"/>
      <c r="B1324" s="7"/>
      <c r="C1324" s="7"/>
      <c r="D1324" s="8"/>
      <c r="E1324" s="7"/>
    </row>
    <row r="1325" spans="1:5" x14ac:dyDescent="0.3">
      <c r="A1325" s="7"/>
      <c r="B1325" s="7"/>
      <c r="C1325" s="7"/>
      <c r="D1325" s="8"/>
      <c r="E1325" s="7"/>
    </row>
    <row r="1326" spans="1:5" x14ac:dyDescent="0.3">
      <c r="A1326" s="7"/>
      <c r="B1326" s="7"/>
      <c r="C1326" s="7"/>
      <c r="D1326" s="8"/>
      <c r="E1326" s="7"/>
    </row>
    <row r="1327" spans="1:5" x14ac:dyDescent="0.3">
      <c r="A1327" s="7"/>
      <c r="B1327" s="7"/>
      <c r="C1327" s="7"/>
      <c r="D1327" s="8"/>
      <c r="E1327" s="7"/>
    </row>
    <row r="1328" spans="1:5" x14ac:dyDescent="0.3">
      <c r="A1328" s="7"/>
      <c r="B1328" s="7"/>
      <c r="C1328" s="7"/>
      <c r="D1328" s="8"/>
      <c r="E1328" s="7"/>
    </row>
    <row r="1329" spans="1:5" x14ac:dyDescent="0.3">
      <c r="A1329" s="7"/>
      <c r="B1329" s="7"/>
      <c r="C1329" s="7"/>
      <c r="D1329" s="8"/>
      <c r="E1329" s="7"/>
    </row>
    <row r="1330" spans="1:5" x14ac:dyDescent="0.3">
      <c r="A1330" s="7"/>
      <c r="B1330" s="7"/>
      <c r="C1330" s="7"/>
      <c r="D1330" s="8"/>
      <c r="E1330" s="7"/>
    </row>
    <row r="1331" spans="1:5" x14ac:dyDescent="0.3">
      <c r="A1331" s="7"/>
      <c r="B1331" s="7"/>
      <c r="C1331" s="7"/>
      <c r="D1331" s="8"/>
      <c r="E1331" s="7"/>
    </row>
    <row r="1332" spans="1:5" x14ac:dyDescent="0.3">
      <c r="A1332" s="7"/>
      <c r="B1332" s="7"/>
      <c r="C1332" s="7"/>
      <c r="D1332" s="8"/>
      <c r="E1332" s="7"/>
    </row>
    <row r="1333" spans="1:5" x14ac:dyDescent="0.3">
      <c r="A1333" s="7"/>
      <c r="B1333" s="7"/>
      <c r="C1333" s="7"/>
      <c r="D1333" s="8"/>
      <c r="E1333" s="7"/>
    </row>
    <row r="1334" spans="1:5" x14ac:dyDescent="0.3">
      <c r="A1334" s="7"/>
      <c r="B1334" s="7"/>
      <c r="C1334" s="7"/>
      <c r="D1334" s="8"/>
      <c r="E1334" s="7"/>
    </row>
    <row r="1335" spans="1:5" x14ac:dyDescent="0.3">
      <c r="A1335" s="7"/>
      <c r="B1335" s="7"/>
      <c r="C1335" s="7"/>
      <c r="D1335" s="8"/>
      <c r="E1335" s="7"/>
    </row>
    <row r="1336" spans="1:5" x14ac:dyDescent="0.3">
      <c r="A1336" s="7"/>
      <c r="B1336" s="7"/>
      <c r="C1336" s="7"/>
      <c r="D1336" s="8"/>
      <c r="E1336" s="7"/>
    </row>
    <row r="1337" spans="1:5" x14ac:dyDescent="0.3">
      <c r="A1337" s="7"/>
      <c r="B1337" s="7"/>
      <c r="C1337" s="7"/>
      <c r="D1337" s="8"/>
      <c r="E1337" s="7"/>
    </row>
    <row r="1338" spans="1:5" x14ac:dyDescent="0.3">
      <c r="A1338" s="7"/>
      <c r="B1338" s="7"/>
      <c r="C1338" s="7"/>
      <c r="D1338" s="8"/>
      <c r="E1338" s="7"/>
    </row>
    <row r="1339" spans="1:5" x14ac:dyDescent="0.3">
      <c r="A1339" s="7"/>
      <c r="B1339" s="7"/>
      <c r="C1339" s="7"/>
      <c r="D1339" s="8"/>
      <c r="E1339" s="7"/>
    </row>
    <row r="1340" spans="1:5" x14ac:dyDescent="0.3">
      <c r="A1340" s="7"/>
      <c r="B1340" s="7"/>
      <c r="C1340" s="7"/>
      <c r="D1340" s="8"/>
      <c r="E1340" s="7"/>
    </row>
    <row r="1341" spans="1:5" x14ac:dyDescent="0.3">
      <c r="A1341" s="7"/>
      <c r="B1341" s="7"/>
      <c r="C1341" s="7"/>
      <c r="D1341" s="8"/>
      <c r="E1341" s="7"/>
    </row>
    <row r="1342" spans="1:5" x14ac:dyDescent="0.3">
      <c r="A1342" s="7"/>
      <c r="B1342" s="7"/>
      <c r="C1342" s="7"/>
      <c r="D1342" s="8"/>
      <c r="E1342" s="7"/>
    </row>
    <row r="1343" spans="1:5" x14ac:dyDescent="0.3">
      <c r="A1343" s="7"/>
      <c r="B1343" s="7"/>
      <c r="C1343" s="7"/>
      <c r="D1343" s="8"/>
      <c r="E1343" s="7"/>
    </row>
    <row r="1344" spans="1:5" x14ac:dyDescent="0.3">
      <c r="A1344" s="7"/>
      <c r="B1344" s="7"/>
      <c r="C1344" s="7"/>
      <c r="D1344" s="8"/>
      <c r="E1344" s="7"/>
    </row>
    <row r="1345" spans="1:5" x14ac:dyDescent="0.3">
      <c r="A1345" s="7"/>
      <c r="B1345" s="7"/>
      <c r="C1345" s="7"/>
      <c r="D1345" s="8"/>
      <c r="E1345" s="7"/>
    </row>
    <row r="1346" spans="1:5" x14ac:dyDescent="0.3">
      <c r="A1346" s="7"/>
      <c r="B1346" s="7"/>
      <c r="C1346" s="7"/>
      <c r="D1346" s="8"/>
      <c r="E1346" s="7"/>
    </row>
    <row r="1347" spans="1:5" x14ac:dyDescent="0.3">
      <c r="A1347" s="7"/>
      <c r="B1347" s="7"/>
      <c r="C1347" s="7"/>
      <c r="D1347" s="8"/>
      <c r="E1347" s="7"/>
    </row>
    <row r="1348" spans="1:5" x14ac:dyDescent="0.3">
      <c r="A1348" s="7"/>
      <c r="B1348" s="7"/>
      <c r="C1348" s="7"/>
      <c r="D1348" s="8"/>
      <c r="E1348" s="7"/>
    </row>
    <row r="1349" spans="1:5" x14ac:dyDescent="0.3">
      <c r="A1349" s="7"/>
      <c r="B1349" s="7"/>
      <c r="C1349" s="7"/>
      <c r="D1349" s="8"/>
      <c r="E1349" s="7"/>
    </row>
    <row r="1350" spans="1:5" x14ac:dyDescent="0.3">
      <c r="A1350" s="7"/>
      <c r="B1350" s="7"/>
      <c r="C1350" s="7"/>
      <c r="D1350" s="8"/>
      <c r="E1350" s="7"/>
    </row>
    <row r="1351" spans="1:5" x14ac:dyDescent="0.3">
      <c r="A1351" s="7"/>
      <c r="B1351" s="7"/>
      <c r="C1351" s="7"/>
      <c r="D1351" s="8"/>
      <c r="E1351" s="7"/>
    </row>
    <row r="1352" spans="1:5" x14ac:dyDescent="0.3">
      <c r="A1352" s="7"/>
      <c r="B1352" s="7"/>
      <c r="C1352" s="7"/>
      <c r="D1352" s="8"/>
      <c r="E1352" s="7"/>
    </row>
    <row r="1353" spans="1:5" x14ac:dyDescent="0.3">
      <c r="A1353" s="7"/>
      <c r="B1353" s="7"/>
      <c r="C1353" s="7"/>
      <c r="D1353" s="8"/>
      <c r="E1353" s="7"/>
    </row>
    <row r="1354" spans="1:5" x14ac:dyDescent="0.3">
      <c r="A1354" s="7"/>
      <c r="B1354" s="7"/>
      <c r="C1354" s="7"/>
      <c r="D1354" s="8"/>
      <c r="E1354" s="7"/>
    </row>
    <row r="1355" spans="1:5" x14ac:dyDescent="0.3">
      <c r="A1355" s="7"/>
      <c r="B1355" s="7"/>
      <c r="C1355" s="7"/>
      <c r="D1355" s="8"/>
      <c r="E1355" s="7"/>
    </row>
    <row r="1356" spans="1:5" x14ac:dyDescent="0.3">
      <c r="A1356" s="7"/>
      <c r="B1356" s="7"/>
      <c r="C1356" s="7"/>
      <c r="D1356" s="8"/>
      <c r="E1356" s="7"/>
    </row>
    <row r="1357" spans="1:5" x14ac:dyDescent="0.3">
      <c r="A1357" s="7"/>
      <c r="B1357" s="7"/>
      <c r="C1357" s="7"/>
      <c r="D1357" s="8"/>
      <c r="E1357" s="7"/>
    </row>
    <row r="1358" spans="1:5" x14ac:dyDescent="0.3">
      <c r="A1358" s="7"/>
      <c r="B1358" s="7"/>
      <c r="C1358" s="7"/>
      <c r="D1358" s="8"/>
      <c r="E1358" s="7"/>
    </row>
    <row r="1359" spans="1:5" x14ac:dyDescent="0.3">
      <c r="A1359" s="7"/>
      <c r="B1359" s="7"/>
      <c r="C1359" s="7"/>
      <c r="D1359" s="8"/>
      <c r="E1359" s="7"/>
    </row>
    <row r="1360" spans="1:5" x14ac:dyDescent="0.3">
      <c r="A1360" s="7"/>
      <c r="B1360" s="7"/>
      <c r="C1360" s="7"/>
      <c r="D1360" s="8"/>
      <c r="E1360" s="7"/>
    </row>
    <row r="1361" spans="1:5" x14ac:dyDescent="0.3">
      <c r="A1361" s="7"/>
      <c r="B1361" s="7"/>
      <c r="C1361" s="7"/>
      <c r="D1361" s="8"/>
      <c r="E1361" s="7"/>
    </row>
    <row r="1362" spans="1:5" x14ac:dyDescent="0.3">
      <c r="A1362" s="7"/>
      <c r="B1362" s="7"/>
      <c r="C1362" s="7"/>
      <c r="D1362" s="8"/>
      <c r="E1362" s="7"/>
    </row>
    <row r="1363" spans="1:5" x14ac:dyDescent="0.3">
      <c r="A1363" s="7"/>
      <c r="B1363" s="7"/>
      <c r="C1363" s="7"/>
      <c r="D1363" s="8"/>
      <c r="E1363" s="7"/>
    </row>
    <row r="1364" spans="1:5" x14ac:dyDescent="0.3">
      <c r="A1364" s="7"/>
      <c r="B1364" s="7"/>
      <c r="C1364" s="7"/>
      <c r="D1364" s="8"/>
      <c r="E1364" s="7"/>
    </row>
    <row r="1365" spans="1:5" x14ac:dyDescent="0.3">
      <c r="A1365" s="7"/>
      <c r="B1365" s="7"/>
      <c r="C1365" s="7"/>
      <c r="D1365" s="8"/>
      <c r="E1365" s="7"/>
    </row>
    <row r="1366" spans="1:5" x14ac:dyDescent="0.3">
      <c r="A1366" s="7"/>
      <c r="B1366" s="7"/>
      <c r="C1366" s="7"/>
      <c r="D1366" s="8"/>
      <c r="E1366" s="7"/>
    </row>
    <row r="1367" spans="1:5" x14ac:dyDescent="0.3">
      <c r="A1367" s="7"/>
      <c r="B1367" s="7"/>
      <c r="C1367" s="7"/>
      <c r="D1367" s="8"/>
      <c r="E1367" s="7"/>
    </row>
    <row r="1368" spans="1:5" x14ac:dyDescent="0.3">
      <c r="A1368" s="7"/>
      <c r="B1368" s="7"/>
      <c r="C1368" s="7"/>
      <c r="D1368" s="8"/>
      <c r="E1368" s="7"/>
    </row>
    <row r="1369" spans="1:5" x14ac:dyDescent="0.3">
      <c r="A1369" s="7"/>
      <c r="B1369" s="7"/>
      <c r="C1369" s="7"/>
      <c r="D1369" s="8"/>
      <c r="E1369" s="7"/>
    </row>
    <row r="1370" spans="1:5" x14ac:dyDescent="0.3">
      <c r="A1370" s="7"/>
      <c r="B1370" s="7"/>
      <c r="C1370" s="7"/>
      <c r="D1370" s="8"/>
      <c r="E1370" s="7"/>
    </row>
    <row r="1371" spans="1:5" x14ac:dyDescent="0.3">
      <c r="A1371" s="7"/>
      <c r="B1371" s="7"/>
      <c r="C1371" s="7"/>
      <c r="D1371" s="8"/>
      <c r="E1371" s="7"/>
    </row>
    <row r="1372" spans="1:5" x14ac:dyDescent="0.3">
      <c r="A1372" s="7"/>
      <c r="B1372" s="7"/>
      <c r="C1372" s="7"/>
      <c r="D1372" s="8"/>
      <c r="E1372" s="7"/>
    </row>
    <row r="1373" spans="1:5" x14ac:dyDescent="0.3">
      <c r="A1373" s="7"/>
      <c r="B1373" s="7"/>
      <c r="C1373" s="7"/>
      <c r="D1373" s="8"/>
      <c r="E1373" s="7"/>
    </row>
    <row r="1374" spans="1:5" x14ac:dyDescent="0.3">
      <c r="A1374" s="7"/>
      <c r="B1374" s="7"/>
      <c r="C1374" s="7"/>
      <c r="D1374" s="8"/>
      <c r="E1374" s="7"/>
    </row>
    <row r="1375" spans="1:5" x14ac:dyDescent="0.3">
      <c r="A1375" s="7"/>
      <c r="B1375" s="7"/>
      <c r="C1375" s="7"/>
      <c r="D1375" s="8"/>
      <c r="E1375" s="7"/>
    </row>
    <row r="1376" spans="1:5" x14ac:dyDescent="0.3">
      <c r="A1376" s="7"/>
      <c r="B1376" s="7"/>
      <c r="C1376" s="7"/>
      <c r="D1376" s="8"/>
      <c r="E1376" s="7"/>
    </row>
    <row r="1377" spans="1:5" x14ac:dyDescent="0.3">
      <c r="A1377" s="7"/>
      <c r="B1377" s="7"/>
      <c r="C1377" s="7"/>
      <c r="D1377" s="8"/>
      <c r="E1377" s="7"/>
    </row>
    <row r="1378" spans="1:5" x14ac:dyDescent="0.3">
      <c r="A1378" s="7"/>
      <c r="B1378" s="7"/>
      <c r="C1378" s="7"/>
      <c r="D1378" s="8"/>
      <c r="E1378" s="7"/>
    </row>
    <row r="1379" spans="1:5" x14ac:dyDescent="0.3">
      <c r="A1379" s="7"/>
      <c r="B1379" s="7"/>
      <c r="C1379" s="7"/>
      <c r="D1379" s="8"/>
      <c r="E1379" s="7"/>
    </row>
    <row r="1380" spans="1:5" x14ac:dyDescent="0.3">
      <c r="A1380" s="7"/>
      <c r="B1380" s="7"/>
      <c r="C1380" s="7"/>
      <c r="D1380" s="8"/>
      <c r="E1380" s="7"/>
    </row>
    <row r="1381" spans="1:5" x14ac:dyDescent="0.3">
      <c r="A1381" s="7"/>
      <c r="B1381" s="7"/>
      <c r="C1381" s="7"/>
      <c r="D1381" s="8"/>
      <c r="E1381" s="7"/>
    </row>
    <row r="1382" spans="1:5" x14ac:dyDescent="0.3">
      <c r="A1382" s="7"/>
      <c r="B1382" s="7"/>
      <c r="C1382" s="7"/>
      <c r="D1382" s="8"/>
      <c r="E1382" s="7"/>
    </row>
    <row r="1383" spans="1:5" x14ac:dyDescent="0.3">
      <c r="A1383" s="7"/>
      <c r="B1383" s="7"/>
      <c r="C1383" s="7"/>
      <c r="D1383" s="8"/>
      <c r="E1383" s="7"/>
    </row>
    <row r="1384" spans="1:5" x14ac:dyDescent="0.3">
      <c r="A1384" s="7"/>
      <c r="B1384" s="7"/>
      <c r="C1384" s="7"/>
      <c r="D1384" s="8"/>
      <c r="E1384" s="7"/>
    </row>
    <row r="1385" spans="1:5" x14ac:dyDescent="0.3">
      <c r="A1385" s="7"/>
      <c r="B1385" s="7"/>
      <c r="C1385" s="7"/>
      <c r="D1385" s="8"/>
      <c r="E1385" s="7"/>
    </row>
    <row r="1386" spans="1:5" x14ac:dyDescent="0.3">
      <c r="A1386" s="7"/>
      <c r="B1386" s="7"/>
      <c r="C1386" s="7"/>
      <c r="D1386" s="8"/>
      <c r="E1386" s="7"/>
    </row>
    <row r="1387" spans="1:5" x14ac:dyDescent="0.3">
      <c r="A1387" s="7"/>
      <c r="B1387" s="7"/>
      <c r="C1387" s="7"/>
      <c r="D1387" s="8"/>
      <c r="E1387" s="7"/>
    </row>
    <row r="1388" spans="1:5" x14ac:dyDescent="0.3">
      <c r="A1388" s="7"/>
      <c r="B1388" s="7"/>
      <c r="C1388" s="7"/>
      <c r="D1388" s="8"/>
      <c r="E1388" s="7"/>
    </row>
    <row r="1389" spans="1:5" x14ac:dyDescent="0.3">
      <c r="A1389" s="7"/>
      <c r="B1389" s="7"/>
      <c r="C1389" s="7"/>
      <c r="D1389" s="8"/>
      <c r="E1389" s="7"/>
    </row>
    <row r="1390" spans="1:5" x14ac:dyDescent="0.3">
      <c r="A1390" s="7"/>
      <c r="B1390" s="7"/>
      <c r="C1390" s="7"/>
      <c r="D1390" s="8"/>
      <c r="E1390" s="7"/>
    </row>
    <row r="1391" spans="1:5" x14ac:dyDescent="0.3">
      <c r="A1391" s="7"/>
      <c r="B1391" s="7"/>
      <c r="C1391" s="7"/>
      <c r="D1391" s="8"/>
      <c r="E1391" s="7"/>
    </row>
    <row r="1392" spans="1:5" x14ac:dyDescent="0.3">
      <c r="A1392" s="7"/>
      <c r="B1392" s="7"/>
      <c r="C1392" s="7"/>
      <c r="D1392" s="8"/>
      <c r="E1392" s="7"/>
    </row>
    <row r="1393" spans="1:5" x14ac:dyDescent="0.3">
      <c r="A1393" s="7"/>
      <c r="B1393" s="7"/>
      <c r="C1393" s="7"/>
      <c r="D1393" s="8"/>
      <c r="E1393" s="7"/>
    </row>
    <row r="1394" spans="1:5" x14ac:dyDescent="0.3">
      <c r="A1394" s="7"/>
      <c r="B1394" s="7"/>
      <c r="C1394" s="7"/>
      <c r="D1394" s="8"/>
      <c r="E1394" s="7"/>
    </row>
    <row r="1395" spans="1:5" x14ac:dyDescent="0.3">
      <c r="A1395" s="7"/>
      <c r="B1395" s="7"/>
      <c r="C1395" s="7"/>
      <c r="D1395" s="8"/>
      <c r="E1395" s="7"/>
    </row>
    <row r="1396" spans="1:5" x14ac:dyDescent="0.3">
      <c r="A1396" s="7"/>
      <c r="B1396" s="7"/>
      <c r="C1396" s="7"/>
      <c r="D1396" s="8"/>
      <c r="E1396" s="7"/>
    </row>
    <row r="1397" spans="1:5" x14ac:dyDescent="0.3">
      <c r="A1397" s="7"/>
      <c r="B1397" s="7"/>
      <c r="C1397" s="7"/>
      <c r="D1397" s="8"/>
      <c r="E1397" s="7"/>
    </row>
    <row r="1398" spans="1:5" x14ac:dyDescent="0.3">
      <c r="A1398" s="7"/>
      <c r="B1398" s="7"/>
      <c r="C1398" s="7"/>
      <c r="D1398" s="8"/>
      <c r="E1398" s="7"/>
    </row>
    <row r="1399" spans="1:5" x14ac:dyDescent="0.3">
      <c r="A1399" s="7"/>
      <c r="B1399" s="7"/>
      <c r="C1399" s="7"/>
      <c r="D1399" s="8"/>
      <c r="E1399" s="7"/>
    </row>
    <row r="1400" spans="1:5" x14ac:dyDescent="0.3">
      <c r="A1400" s="7"/>
      <c r="B1400" s="7"/>
      <c r="C1400" s="7"/>
      <c r="D1400" s="8"/>
      <c r="E1400" s="7"/>
    </row>
    <row r="1401" spans="1:5" x14ac:dyDescent="0.3">
      <c r="A1401" s="7"/>
      <c r="B1401" s="7"/>
      <c r="C1401" s="7"/>
      <c r="D1401" s="8"/>
      <c r="E1401" s="7"/>
    </row>
    <row r="1402" spans="1:5" x14ac:dyDescent="0.3">
      <c r="A1402" s="7"/>
      <c r="B1402" s="7"/>
      <c r="C1402" s="7"/>
      <c r="D1402" s="8"/>
      <c r="E1402" s="7"/>
    </row>
    <row r="1403" spans="1:5" x14ac:dyDescent="0.3">
      <c r="A1403" s="7"/>
      <c r="B1403" s="7"/>
      <c r="C1403" s="7"/>
      <c r="D1403" s="8"/>
      <c r="E1403" s="7"/>
    </row>
    <row r="1404" spans="1:5" x14ac:dyDescent="0.3">
      <c r="A1404" s="7"/>
      <c r="B1404" s="7"/>
      <c r="C1404" s="7"/>
      <c r="D1404" s="8"/>
      <c r="E1404" s="7"/>
    </row>
    <row r="1405" spans="1:5" x14ac:dyDescent="0.3">
      <c r="A1405" s="7"/>
      <c r="B1405" s="7"/>
      <c r="C1405" s="7"/>
      <c r="D1405" s="8"/>
      <c r="E1405" s="7"/>
    </row>
    <row r="1406" spans="1:5" x14ac:dyDescent="0.3">
      <c r="A1406" s="7"/>
      <c r="B1406" s="7"/>
      <c r="C1406" s="7"/>
      <c r="D1406" s="8"/>
      <c r="E1406" s="7"/>
    </row>
    <row r="1407" spans="1:5" x14ac:dyDescent="0.3">
      <c r="A1407" s="7"/>
      <c r="B1407" s="7"/>
      <c r="C1407" s="7"/>
      <c r="D1407" s="8"/>
      <c r="E1407" s="7"/>
    </row>
    <row r="1408" spans="1:5" x14ac:dyDescent="0.3">
      <c r="A1408" s="7"/>
      <c r="B1408" s="7"/>
      <c r="C1408" s="7"/>
      <c r="D1408" s="8"/>
      <c r="E1408" s="7"/>
    </row>
    <row r="1409" spans="1:5" x14ac:dyDescent="0.3">
      <c r="A1409" s="7"/>
      <c r="B1409" s="7"/>
      <c r="C1409" s="7"/>
      <c r="D1409" s="8"/>
      <c r="E1409" s="7"/>
    </row>
    <row r="1410" spans="1:5" x14ac:dyDescent="0.3">
      <c r="A1410" s="7"/>
      <c r="B1410" s="7"/>
      <c r="C1410" s="7"/>
      <c r="D1410" s="8"/>
      <c r="E1410" s="7"/>
    </row>
    <row r="1411" spans="1:5" x14ac:dyDescent="0.3">
      <c r="A1411" s="7"/>
      <c r="B1411" s="7"/>
      <c r="C1411" s="7"/>
      <c r="D1411" s="8"/>
      <c r="E1411" s="7"/>
    </row>
    <row r="1412" spans="1:5" x14ac:dyDescent="0.3">
      <c r="A1412" s="7"/>
      <c r="B1412" s="7"/>
      <c r="C1412" s="7"/>
      <c r="D1412" s="8"/>
      <c r="E1412" s="7"/>
    </row>
    <row r="1413" spans="1:5" x14ac:dyDescent="0.3">
      <c r="A1413" s="7"/>
      <c r="B1413" s="7"/>
      <c r="C1413" s="7"/>
      <c r="D1413" s="8"/>
      <c r="E1413" s="7"/>
    </row>
    <row r="1414" spans="1:5" x14ac:dyDescent="0.3">
      <c r="A1414" s="7"/>
      <c r="B1414" s="7"/>
      <c r="C1414" s="7"/>
      <c r="D1414" s="8"/>
      <c r="E1414" s="7"/>
    </row>
    <row r="1415" spans="1:5" x14ac:dyDescent="0.3">
      <c r="A1415" s="7"/>
      <c r="B1415" s="7"/>
      <c r="C1415" s="7"/>
      <c r="D1415" s="8"/>
      <c r="E1415" s="7"/>
    </row>
    <row r="1416" spans="1:5" x14ac:dyDescent="0.3">
      <c r="A1416" s="7"/>
      <c r="B1416" s="7"/>
      <c r="C1416" s="7"/>
      <c r="D1416" s="8"/>
      <c r="E1416" s="7"/>
    </row>
    <row r="1417" spans="1:5" x14ac:dyDescent="0.3">
      <c r="A1417" s="7"/>
      <c r="B1417" s="7"/>
      <c r="C1417" s="7"/>
      <c r="D1417" s="8"/>
      <c r="E1417" s="7"/>
    </row>
    <row r="1418" spans="1:5" x14ac:dyDescent="0.3">
      <c r="A1418" s="7"/>
      <c r="B1418" s="7"/>
      <c r="C1418" s="7"/>
      <c r="D1418" s="8"/>
      <c r="E1418" s="7"/>
    </row>
    <row r="1419" spans="1:5" x14ac:dyDescent="0.3">
      <c r="A1419" s="7"/>
      <c r="B1419" s="7"/>
      <c r="C1419" s="7"/>
      <c r="D1419" s="8"/>
      <c r="E1419" s="7"/>
    </row>
    <row r="1420" spans="1:5" x14ac:dyDescent="0.3">
      <c r="A1420" s="7"/>
      <c r="B1420" s="7"/>
      <c r="C1420" s="7"/>
      <c r="D1420" s="8"/>
      <c r="E1420" s="7"/>
    </row>
    <row r="1421" spans="1:5" x14ac:dyDescent="0.3">
      <c r="A1421" s="7"/>
      <c r="B1421" s="7"/>
      <c r="C1421" s="7"/>
      <c r="D1421" s="8"/>
      <c r="E1421" s="7"/>
    </row>
    <row r="1422" spans="1:5" x14ac:dyDescent="0.3">
      <c r="A1422" s="7"/>
      <c r="B1422" s="7"/>
      <c r="C1422" s="7"/>
      <c r="D1422" s="8"/>
      <c r="E1422" s="7"/>
    </row>
    <row r="1423" spans="1:5" x14ac:dyDescent="0.3">
      <c r="A1423" s="7"/>
      <c r="B1423" s="7"/>
      <c r="C1423" s="7"/>
      <c r="D1423" s="8"/>
      <c r="E1423" s="7"/>
    </row>
    <row r="1424" spans="1:5" x14ac:dyDescent="0.3">
      <c r="A1424" s="7"/>
      <c r="B1424" s="7"/>
      <c r="C1424" s="7"/>
      <c r="D1424" s="8"/>
      <c r="E1424" s="7"/>
    </row>
    <row r="1425" spans="1:5" x14ac:dyDescent="0.3">
      <c r="A1425" s="7"/>
      <c r="B1425" s="7"/>
      <c r="C1425" s="7"/>
      <c r="D1425" s="8"/>
      <c r="E1425" s="7"/>
    </row>
    <row r="1426" spans="1:5" x14ac:dyDescent="0.3">
      <c r="A1426" s="7"/>
      <c r="B1426" s="7"/>
      <c r="C1426" s="7"/>
      <c r="D1426" s="8"/>
      <c r="E1426" s="7"/>
    </row>
    <row r="1427" spans="1:5" x14ac:dyDescent="0.3">
      <c r="A1427" s="7"/>
      <c r="B1427" s="7"/>
      <c r="C1427" s="7"/>
      <c r="D1427" s="8"/>
      <c r="E1427" s="7"/>
    </row>
    <row r="1428" spans="1:5" x14ac:dyDescent="0.3">
      <c r="A1428" s="7"/>
      <c r="B1428" s="7"/>
      <c r="C1428" s="7"/>
      <c r="D1428" s="8"/>
      <c r="E1428" s="7"/>
    </row>
    <row r="1429" spans="1:5" x14ac:dyDescent="0.3">
      <c r="A1429" s="7"/>
      <c r="B1429" s="7"/>
      <c r="C1429" s="7"/>
      <c r="D1429" s="8"/>
      <c r="E1429" s="7"/>
    </row>
    <row r="1430" spans="1:5" x14ac:dyDescent="0.3">
      <c r="A1430" s="7"/>
      <c r="B1430" s="7"/>
      <c r="C1430" s="7"/>
      <c r="D1430" s="8"/>
      <c r="E1430" s="7"/>
    </row>
    <row r="1431" spans="1:5" x14ac:dyDescent="0.3">
      <c r="A1431" s="7"/>
      <c r="B1431" s="7"/>
      <c r="C1431" s="7"/>
      <c r="D1431" s="8"/>
      <c r="E1431" s="7"/>
    </row>
    <row r="1432" spans="1:5" x14ac:dyDescent="0.3">
      <c r="A1432" s="7"/>
      <c r="B1432" s="7"/>
      <c r="C1432" s="7"/>
      <c r="D1432" s="8"/>
      <c r="E1432" s="7"/>
    </row>
    <row r="1433" spans="1:5" x14ac:dyDescent="0.3">
      <c r="A1433" s="7"/>
      <c r="B1433" s="7"/>
      <c r="C1433" s="7"/>
      <c r="D1433" s="8"/>
      <c r="E1433" s="7"/>
    </row>
    <row r="1434" spans="1:5" x14ac:dyDescent="0.3">
      <c r="A1434" s="7"/>
      <c r="B1434" s="7"/>
      <c r="C1434" s="7"/>
      <c r="D1434" s="8"/>
      <c r="E1434" s="7"/>
    </row>
    <row r="1435" spans="1:5" x14ac:dyDescent="0.3">
      <c r="A1435" s="7"/>
      <c r="B1435" s="7"/>
      <c r="C1435" s="7"/>
      <c r="D1435" s="8"/>
      <c r="E1435" s="7"/>
    </row>
    <row r="1436" spans="1:5" x14ac:dyDescent="0.3">
      <c r="A1436" s="7"/>
      <c r="B1436" s="7"/>
      <c r="C1436" s="7"/>
      <c r="D1436" s="8"/>
      <c r="E1436" s="7"/>
    </row>
    <row r="1437" spans="1:5" x14ac:dyDescent="0.3">
      <c r="A1437" s="7"/>
      <c r="B1437" s="7"/>
      <c r="C1437" s="7"/>
      <c r="D1437" s="8"/>
      <c r="E1437" s="7"/>
    </row>
    <row r="1438" spans="1:5" x14ac:dyDescent="0.3">
      <c r="A1438" s="7"/>
      <c r="B1438" s="7"/>
      <c r="C1438" s="7"/>
      <c r="D1438" s="8"/>
      <c r="E1438" s="7"/>
    </row>
    <row r="1439" spans="1:5" x14ac:dyDescent="0.3">
      <c r="A1439" s="7"/>
      <c r="B1439" s="7"/>
      <c r="C1439" s="7"/>
      <c r="D1439" s="8"/>
      <c r="E1439" s="7"/>
    </row>
    <row r="1440" spans="1:5" x14ac:dyDescent="0.3">
      <c r="A1440" s="7"/>
      <c r="B1440" s="7"/>
      <c r="C1440" s="7"/>
      <c r="D1440" s="8"/>
      <c r="E1440" s="7"/>
    </row>
    <row r="1441" spans="1:5" x14ac:dyDescent="0.3">
      <c r="A1441" s="7"/>
      <c r="B1441" s="7"/>
      <c r="C1441" s="7"/>
      <c r="D1441" s="8"/>
      <c r="E1441" s="7"/>
    </row>
    <row r="1442" spans="1:5" x14ac:dyDescent="0.3">
      <c r="A1442" s="7"/>
      <c r="B1442" s="7"/>
      <c r="C1442" s="7"/>
      <c r="D1442" s="8"/>
      <c r="E1442" s="7"/>
    </row>
    <row r="1443" spans="1:5" x14ac:dyDescent="0.3">
      <c r="A1443" s="7"/>
      <c r="B1443" s="7"/>
      <c r="C1443" s="7"/>
      <c r="D1443" s="8"/>
      <c r="E1443" s="7"/>
    </row>
    <row r="1444" spans="1:5" x14ac:dyDescent="0.3">
      <c r="A1444" s="7"/>
      <c r="B1444" s="7"/>
      <c r="C1444" s="7"/>
      <c r="D1444" s="8"/>
      <c r="E1444" s="7"/>
    </row>
    <row r="1445" spans="1:5" x14ac:dyDescent="0.3">
      <c r="A1445" s="7"/>
      <c r="B1445" s="7"/>
      <c r="C1445" s="7"/>
      <c r="D1445" s="8"/>
      <c r="E1445" s="7"/>
    </row>
    <row r="1446" spans="1:5" x14ac:dyDescent="0.3">
      <c r="A1446" s="7"/>
      <c r="B1446" s="7"/>
      <c r="C1446" s="7"/>
      <c r="D1446" s="8"/>
      <c r="E1446" s="7"/>
    </row>
    <row r="1447" spans="1:5" x14ac:dyDescent="0.3">
      <c r="A1447" s="7"/>
      <c r="B1447" s="7"/>
      <c r="C1447" s="7"/>
      <c r="D1447" s="8"/>
      <c r="E1447" s="7"/>
    </row>
    <row r="1448" spans="1:5" x14ac:dyDescent="0.3">
      <c r="A1448" s="7"/>
      <c r="B1448" s="7"/>
      <c r="C1448" s="7"/>
      <c r="D1448" s="8"/>
      <c r="E1448" s="7"/>
    </row>
    <row r="1449" spans="1:5" x14ac:dyDescent="0.3">
      <c r="A1449" s="7"/>
      <c r="B1449" s="7"/>
      <c r="C1449" s="7"/>
      <c r="D1449" s="8"/>
      <c r="E1449" s="7"/>
    </row>
    <row r="1450" spans="1:5" x14ac:dyDescent="0.3">
      <c r="A1450" s="7"/>
      <c r="B1450" s="7"/>
      <c r="C1450" s="7"/>
      <c r="D1450" s="8"/>
      <c r="E1450" s="7"/>
    </row>
    <row r="1451" spans="1:5" x14ac:dyDescent="0.3">
      <c r="A1451" s="7"/>
      <c r="B1451" s="7"/>
      <c r="C1451" s="7"/>
      <c r="D1451" s="8"/>
      <c r="E1451" s="7"/>
    </row>
    <row r="1452" spans="1:5" x14ac:dyDescent="0.3">
      <c r="A1452" s="7"/>
      <c r="B1452" s="7"/>
      <c r="C1452" s="7"/>
      <c r="D1452" s="8"/>
      <c r="E1452" s="7"/>
    </row>
    <row r="1453" spans="1:5" x14ac:dyDescent="0.3">
      <c r="A1453" s="7"/>
      <c r="B1453" s="7"/>
      <c r="C1453" s="7"/>
      <c r="D1453" s="8"/>
      <c r="E1453" s="7"/>
    </row>
    <row r="1454" spans="1:5" x14ac:dyDescent="0.3">
      <c r="A1454" s="7"/>
      <c r="B1454" s="7"/>
      <c r="C1454" s="7"/>
      <c r="D1454" s="7"/>
      <c r="E1454" s="7"/>
    </row>
    <row r="1455" spans="1:5" x14ac:dyDescent="0.3">
      <c r="A1455" s="7"/>
      <c r="B1455" s="7"/>
      <c r="C1455" s="7"/>
      <c r="D1455" s="7"/>
      <c r="E1455" s="7"/>
    </row>
    <row r="1456" spans="1:5" x14ac:dyDescent="0.3">
      <c r="A1456" s="7"/>
      <c r="B1456" s="7"/>
      <c r="C1456" s="7"/>
      <c r="D1456" s="7"/>
      <c r="E1456" s="7"/>
    </row>
    <row r="1457" spans="1:5" x14ac:dyDescent="0.3">
      <c r="A1457" s="7"/>
      <c r="B1457" s="7"/>
      <c r="C1457" s="7"/>
      <c r="D1457" s="7"/>
      <c r="E1457" s="7"/>
    </row>
    <row r="1458" spans="1:5" x14ac:dyDescent="0.3">
      <c r="A1458" s="7"/>
      <c r="B1458" s="7"/>
      <c r="C1458" s="7"/>
      <c r="D1458" s="7"/>
      <c r="E1458" s="7"/>
    </row>
    <row r="1459" spans="1:5" x14ac:dyDescent="0.3">
      <c r="A1459" s="7"/>
      <c r="B1459" s="7"/>
      <c r="C1459" s="7"/>
      <c r="D1459" s="7"/>
      <c r="E1459" s="7"/>
    </row>
    <row r="1460" spans="1:5" x14ac:dyDescent="0.3">
      <c r="A1460" s="7"/>
      <c r="B1460" s="7"/>
      <c r="C1460" s="7"/>
      <c r="D1460" s="7"/>
      <c r="E1460" s="7"/>
    </row>
    <row r="1461" spans="1:5" x14ac:dyDescent="0.3">
      <c r="A1461" s="7"/>
      <c r="B1461" s="7"/>
      <c r="C1461" s="7"/>
      <c r="D1461" s="7"/>
      <c r="E1461" s="7"/>
    </row>
    <row r="1462" spans="1:5" x14ac:dyDescent="0.3">
      <c r="A1462" s="7"/>
      <c r="B1462" s="7"/>
      <c r="C1462" s="7"/>
      <c r="D1462" s="7"/>
      <c r="E1462" s="7"/>
    </row>
    <row r="1463" spans="1:5" x14ac:dyDescent="0.3">
      <c r="A1463" s="7"/>
      <c r="B1463" s="7"/>
    </row>
    <row r="1464" spans="1:5" x14ac:dyDescent="0.3">
      <c r="A1464" s="7"/>
      <c r="B1464" s="7"/>
    </row>
    <row r="1465" spans="1:5" x14ac:dyDescent="0.3">
      <c r="A1465" s="7"/>
      <c r="B1465" s="7"/>
    </row>
    <row r="1466" spans="1:5" x14ac:dyDescent="0.3">
      <c r="A1466" s="7"/>
      <c r="B1466" s="7"/>
    </row>
    <row r="1467" spans="1:5" x14ac:dyDescent="0.3">
      <c r="A1467" s="7"/>
      <c r="B1467" s="7"/>
    </row>
    <row r="1468" spans="1:5" x14ac:dyDescent="0.3">
      <c r="A1468" s="7"/>
      <c r="B1468" s="7"/>
    </row>
    <row r="1469" spans="1:5" x14ac:dyDescent="0.3">
      <c r="A1469" s="7"/>
      <c r="B1469" s="7"/>
    </row>
    <row r="1470" spans="1:5" x14ac:dyDescent="0.3">
      <c r="A1470" s="7"/>
      <c r="B1470" s="7"/>
    </row>
    <row r="1471" spans="1:5" x14ac:dyDescent="0.3">
      <c r="A1471" s="7"/>
      <c r="B1471" s="7"/>
    </row>
    <row r="1472" spans="1:5" x14ac:dyDescent="0.3">
      <c r="A1472" s="7"/>
      <c r="B1472" s="7"/>
    </row>
    <row r="1473" spans="1:2" x14ac:dyDescent="0.3">
      <c r="A1473" s="7"/>
      <c r="B1473" s="7"/>
    </row>
    <row r="1474" spans="1:2" x14ac:dyDescent="0.3">
      <c r="A1474" s="7"/>
      <c r="B1474" s="7"/>
    </row>
    <row r="1475" spans="1:2" x14ac:dyDescent="0.3">
      <c r="A1475" s="7"/>
      <c r="B1475" s="7"/>
    </row>
    <row r="1476" spans="1:2" x14ac:dyDescent="0.3">
      <c r="A1476" s="7"/>
      <c r="B1476" s="7"/>
    </row>
    <row r="1477" spans="1:2" x14ac:dyDescent="0.3">
      <c r="A1477" s="7"/>
      <c r="B1477" s="7"/>
    </row>
    <row r="1478" spans="1:2" x14ac:dyDescent="0.3">
      <c r="A1478" s="7"/>
      <c r="B1478" s="7"/>
    </row>
    <row r="1479" spans="1:2" x14ac:dyDescent="0.3">
      <c r="A1479" s="7"/>
      <c r="B1479" s="7"/>
    </row>
    <row r="1480" spans="1:2" x14ac:dyDescent="0.3">
      <c r="A1480" s="7"/>
      <c r="B1480" s="7"/>
    </row>
    <row r="1481" spans="1:2" x14ac:dyDescent="0.3">
      <c r="A1481" s="7"/>
      <c r="B1481" s="7"/>
    </row>
    <row r="1482" spans="1:2" x14ac:dyDescent="0.3">
      <c r="A1482" s="7"/>
      <c r="B1482" s="7"/>
    </row>
    <row r="1483" spans="1:2" x14ac:dyDescent="0.3">
      <c r="A1483" s="7"/>
      <c r="B1483" s="7"/>
    </row>
    <row r="1484" spans="1:2" x14ac:dyDescent="0.3">
      <c r="A1484" s="7"/>
      <c r="B1484" s="7"/>
    </row>
    <row r="1485" spans="1:2" x14ac:dyDescent="0.3">
      <c r="A1485" s="7"/>
      <c r="B1485" s="7"/>
    </row>
    <row r="1486" spans="1:2" x14ac:dyDescent="0.3">
      <c r="A1486" s="7"/>
    </row>
    <row r="1487" spans="1:2" x14ac:dyDescent="0.3">
      <c r="A1487" s="7"/>
    </row>
    <row r="1488" spans="1:2" x14ac:dyDescent="0.3">
      <c r="A1488" s="7"/>
    </row>
    <row r="1489" spans="1:1" x14ac:dyDescent="0.3">
      <c r="A1489" s="7"/>
    </row>
    <row r="1490" spans="1:1" x14ac:dyDescent="0.3">
      <c r="A1490" s="7"/>
    </row>
    <row r="1491" spans="1:1" x14ac:dyDescent="0.3">
      <c r="A1491" s="7"/>
    </row>
    <row r="1492" spans="1:1" x14ac:dyDescent="0.3">
      <c r="A1492" s="7"/>
    </row>
    <row r="1493" spans="1:1" x14ac:dyDescent="0.3">
      <c r="A1493" s="7"/>
    </row>
    <row r="1494" spans="1:1" x14ac:dyDescent="0.3">
      <c r="A1494" s="7"/>
    </row>
    <row r="1495" spans="1:1" x14ac:dyDescent="0.3">
      <c r="A1495" s="7"/>
    </row>
    <row r="1496" spans="1:1" x14ac:dyDescent="0.3">
      <c r="A1496" s="7"/>
    </row>
    <row r="1497" spans="1:1" x14ac:dyDescent="0.3">
      <c r="A1497" s="7"/>
    </row>
    <row r="1498" spans="1:1" x14ac:dyDescent="0.3">
      <c r="A1498" s="7"/>
    </row>
    <row r="1499" spans="1:1" x14ac:dyDescent="0.3">
      <c r="A1499" s="7"/>
    </row>
    <row r="1500" spans="1:1" x14ac:dyDescent="0.3">
      <c r="A1500" s="7"/>
    </row>
    <row r="1501" spans="1:1" x14ac:dyDescent="0.3">
      <c r="A1501" s="7"/>
    </row>
    <row r="1502" spans="1:1" x14ac:dyDescent="0.3">
      <c r="A1502" s="7"/>
    </row>
    <row r="1503" spans="1:1" x14ac:dyDescent="0.3">
      <c r="A1503" s="7"/>
    </row>
    <row r="1504" spans="1:1" x14ac:dyDescent="0.3">
      <c r="A1504" s="7"/>
    </row>
    <row r="1505" spans="1:1" x14ac:dyDescent="0.3">
      <c r="A1505" s="7"/>
    </row>
    <row r="1506" spans="1:1" x14ac:dyDescent="0.3">
      <c r="A1506" s="7"/>
    </row>
    <row r="1507" spans="1:1" x14ac:dyDescent="0.3">
      <c r="A1507" s="7"/>
    </row>
    <row r="1508" spans="1:1" x14ac:dyDescent="0.3">
      <c r="A1508" s="7"/>
    </row>
    <row r="1509" spans="1:1" x14ac:dyDescent="0.3">
      <c r="A1509" s="7"/>
    </row>
    <row r="1510" spans="1:1" x14ac:dyDescent="0.3">
      <c r="A1510" s="7"/>
    </row>
    <row r="1511" spans="1:1" x14ac:dyDescent="0.3">
      <c r="A1511" s="7"/>
    </row>
    <row r="1512" spans="1:1" x14ac:dyDescent="0.3">
      <c r="A1512" s="7"/>
    </row>
    <row r="1513" spans="1:1" x14ac:dyDescent="0.3">
      <c r="A1513" s="7"/>
    </row>
    <row r="1514" spans="1:1" x14ac:dyDescent="0.3">
      <c r="A1514" s="7"/>
    </row>
  </sheetData>
  <phoneticPr fontId="6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E027-07AB-5B4E-B150-E88615AE26EE}">
  <dimension ref="B2:G56"/>
  <sheetViews>
    <sheetView zoomScale="103" workbookViewId="0">
      <selection activeCell="E36" sqref="E36"/>
    </sheetView>
  </sheetViews>
  <sheetFormatPr defaultColWidth="11.19921875" defaultRowHeight="15.6" x14ac:dyDescent="0.3"/>
  <cols>
    <col min="2" max="2" width="33.5" customWidth="1"/>
    <col min="3" max="3" width="21.5" customWidth="1"/>
    <col min="4" max="4" width="40.8984375" customWidth="1"/>
    <col min="5" max="5" width="22.796875" customWidth="1"/>
    <col min="6" max="6" width="16.69921875" bestFit="1" customWidth="1"/>
  </cols>
  <sheetData>
    <row r="2" spans="2:5" x14ac:dyDescent="0.3">
      <c r="B2" s="1" t="s">
        <v>0</v>
      </c>
      <c r="C2" s="1" t="s">
        <v>1</v>
      </c>
      <c r="D2" s="1" t="s">
        <v>11</v>
      </c>
      <c r="E2" s="1" t="s">
        <v>13</v>
      </c>
    </row>
    <row r="4" spans="2:5" x14ac:dyDescent="0.3">
      <c r="B4" t="s">
        <v>670</v>
      </c>
      <c r="C4" t="s">
        <v>239</v>
      </c>
      <c r="D4" t="s">
        <v>760</v>
      </c>
      <c r="E4" s="10">
        <f>SUM(computations!D51:D74)</f>
        <v>52432.396986101347</v>
      </c>
    </row>
    <row r="5" spans="2:5" x14ac:dyDescent="0.3">
      <c r="B5" t="s">
        <v>752</v>
      </c>
      <c r="C5" t="s">
        <v>239</v>
      </c>
      <c r="D5" t="s">
        <v>761</v>
      </c>
      <c r="E5" s="10">
        <f>SUM(computations!D88:D111)</f>
        <v>188022575.59215948</v>
      </c>
    </row>
    <row r="6" spans="2:5" x14ac:dyDescent="0.3">
      <c r="B6" t="s">
        <v>671</v>
      </c>
      <c r="C6" t="s">
        <v>239</v>
      </c>
      <c r="D6" t="s">
        <v>762</v>
      </c>
      <c r="E6" s="10">
        <f>SUM(computations!D75:D87)</f>
        <v>10642.434745116298</v>
      </c>
    </row>
    <row r="7" spans="2:5" x14ac:dyDescent="0.3">
      <c r="B7" t="s">
        <v>753</v>
      </c>
      <c r="C7" t="s">
        <v>239</v>
      </c>
      <c r="D7" t="s">
        <v>763</v>
      </c>
      <c r="E7" s="10">
        <f>SUM(computations!D112:D123)</f>
        <v>22864101.428552121</v>
      </c>
    </row>
    <row r="8" spans="2:5" x14ac:dyDescent="0.3">
      <c r="B8" t="s">
        <v>751</v>
      </c>
      <c r="C8" t="s">
        <v>239</v>
      </c>
      <c r="D8" t="s">
        <v>764</v>
      </c>
      <c r="E8" s="10">
        <f>computations!D87</f>
        <v>4266.5001582361747</v>
      </c>
    </row>
    <row r="9" spans="2:5" x14ac:dyDescent="0.3">
      <c r="B9" t="s">
        <v>754</v>
      </c>
      <c r="C9" t="s">
        <v>239</v>
      </c>
      <c r="D9" t="s">
        <v>765</v>
      </c>
      <c r="E9" s="10">
        <f>computations!D124</f>
        <v>15299669.567434922</v>
      </c>
    </row>
    <row r="10" spans="2:5" x14ac:dyDescent="0.3">
      <c r="B10" t="s">
        <v>756</v>
      </c>
      <c r="C10" t="s">
        <v>239</v>
      </c>
      <c r="D10" t="s">
        <v>766</v>
      </c>
      <c r="E10" s="10">
        <f>SUM(computations!D125:D136)</f>
        <v>682937347.72831833</v>
      </c>
    </row>
    <row r="11" spans="2:5" x14ac:dyDescent="0.3">
      <c r="B11" t="s">
        <v>757</v>
      </c>
      <c r="C11" t="s">
        <v>239</v>
      </c>
      <c r="D11" t="s">
        <v>767</v>
      </c>
      <c r="E11" s="10">
        <f>SUM(computations!D137:D148)</f>
        <v>248117538.77230087</v>
      </c>
    </row>
    <row r="12" spans="2:5" x14ac:dyDescent="0.3">
      <c r="B12" t="s">
        <v>770</v>
      </c>
      <c r="C12" t="s">
        <v>759</v>
      </c>
      <c r="D12" t="s">
        <v>775</v>
      </c>
      <c r="E12" s="10">
        <f>SUM(computations!D355:D499)</f>
        <v>185152.87963093314</v>
      </c>
    </row>
    <row r="13" spans="2:5" hidden="1" x14ac:dyDescent="0.3">
      <c r="B13" t="s">
        <v>770</v>
      </c>
      <c r="C13" t="s">
        <v>759</v>
      </c>
      <c r="D13" t="s">
        <v>776</v>
      </c>
      <c r="E13" s="10"/>
    </row>
    <row r="14" spans="2:5" hidden="1" x14ac:dyDescent="0.3">
      <c r="B14" t="s">
        <v>770</v>
      </c>
      <c r="C14" t="s">
        <v>759</v>
      </c>
      <c r="D14" t="s">
        <v>777</v>
      </c>
      <c r="E14" s="10"/>
    </row>
    <row r="15" spans="2:5" hidden="1" x14ac:dyDescent="0.3">
      <c r="B15" t="s">
        <v>770</v>
      </c>
      <c r="C15" t="s">
        <v>759</v>
      </c>
      <c r="D15" t="s">
        <v>778</v>
      </c>
      <c r="E15" s="10"/>
    </row>
    <row r="16" spans="2:5" hidden="1" x14ac:dyDescent="0.3">
      <c r="B16" t="s">
        <v>770</v>
      </c>
      <c r="C16" t="s">
        <v>759</v>
      </c>
      <c r="D16" t="s">
        <v>779</v>
      </c>
      <c r="E16" s="10"/>
    </row>
    <row r="17" spans="2:7" hidden="1" x14ac:dyDescent="0.3">
      <c r="B17" t="s">
        <v>770</v>
      </c>
      <c r="C17" t="s">
        <v>759</v>
      </c>
      <c r="D17" t="s">
        <v>780</v>
      </c>
      <c r="E17" s="10"/>
    </row>
    <row r="18" spans="2:7" hidden="1" x14ac:dyDescent="0.3">
      <c r="B18" t="s">
        <v>770</v>
      </c>
      <c r="C18" t="s">
        <v>759</v>
      </c>
      <c r="D18" t="s">
        <v>781</v>
      </c>
      <c r="E18" s="10"/>
    </row>
    <row r="19" spans="2:7" hidden="1" x14ac:dyDescent="0.3">
      <c r="B19" t="s">
        <v>770</v>
      </c>
      <c r="C19" t="s">
        <v>759</v>
      </c>
      <c r="D19" t="s">
        <v>782</v>
      </c>
      <c r="E19" s="10"/>
    </row>
    <row r="20" spans="2:7" hidden="1" x14ac:dyDescent="0.3">
      <c r="B20" t="s">
        <v>770</v>
      </c>
      <c r="C20" t="s">
        <v>759</v>
      </c>
      <c r="D20" t="s">
        <v>783</v>
      </c>
      <c r="E20" s="10"/>
    </row>
    <row r="21" spans="2:7" hidden="1" x14ac:dyDescent="0.3">
      <c r="B21" t="s">
        <v>770</v>
      </c>
      <c r="C21" t="s">
        <v>759</v>
      </c>
      <c r="D21" t="s">
        <v>784</v>
      </c>
      <c r="E21" s="10"/>
    </row>
    <row r="22" spans="2:7" hidden="1" x14ac:dyDescent="0.3">
      <c r="B22" t="s">
        <v>770</v>
      </c>
      <c r="C22" t="s">
        <v>759</v>
      </c>
      <c r="D22" t="s">
        <v>785</v>
      </c>
      <c r="E22" s="10"/>
    </row>
    <row r="23" spans="2:7" hidden="1" x14ac:dyDescent="0.3">
      <c r="B23" t="s">
        <v>770</v>
      </c>
      <c r="C23" t="s">
        <v>759</v>
      </c>
      <c r="D23" t="s">
        <v>786</v>
      </c>
      <c r="E23" s="10"/>
    </row>
    <row r="24" spans="2:7" x14ac:dyDescent="0.3">
      <c r="B24" t="s">
        <v>771</v>
      </c>
      <c r="C24" t="s">
        <v>759</v>
      </c>
      <c r="D24" t="s">
        <v>787</v>
      </c>
      <c r="E24" s="10">
        <f>SUM(computations!D500:D644)</f>
        <v>663958226.35652614</v>
      </c>
      <c r="G24" t="s">
        <v>1054</v>
      </c>
    </row>
    <row r="25" spans="2:7" hidden="1" x14ac:dyDescent="0.3">
      <c r="B25" t="s">
        <v>771</v>
      </c>
      <c r="C25" t="s">
        <v>759</v>
      </c>
      <c r="D25" t="s">
        <v>788</v>
      </c>
      <c r="E25" s="10"/>
    </row>
    <row r="26" spans="2:7" hidden="1" x14ac:dyDescent="0.3">
      <c r="B26" t="s">
        <v>771</v>
      </c>
      <c r="C26" t="s">
        <v>759</v>
      </c>
      <c r="D26" t="s">
        <v>789</v>
      </c>
      <c r="E26" s="10"/>
    </row>
    <row r="27" spans="2:7" hidden="1" x14ac:dyDescent="0.3">
      <c r="B27" t="s">
        <v>771</v>
      </c>
      <c r="C27" t="s">
        <v>759</v>
      </c>
      <c r="D27" t="s">
        <v>790</v>
      </c>
      <c r="E27" s="10"/>
    </row>
    <row r="28" spans="2:7" hidden="1" x14ac:dyDescent="0.3">
      <c r="B28" t="s">
        <v>771</v>
      </c>
      <c r="C28" t="s">
        <v>759</v>
      </c>
      <c r="D28" t="s">
        <v>791</v>
      </c>
      <c r="E28" s="10"/>
    </row>
    <row r="29" spans="2:7" hidden="1" x14ac:dyDescent="0.3">
      <c r="B29" t="s">
        <v>771</v>
      </c>
      <c r="C29" t="s">
        <v>759</v>
      </c>
      <c r="D29" t="s">
        <v>792</v>
      </c>
      <c r="E29" s="10"/>
    </row>
    <row r="30" spans="2:7" hidden="1" x14ac:dyDescent="0.3">
      <c r="B30" t="s">
        <v>771</v>
      </c>
      <c r="C30" t="s">
        <v>759</v>
      </c>
      <c r="D30" t="s">
        <v>793</v>
      </c>
      <c r="E30" s="10"/>
    </row>
    <row r="31" spans="2:7" hidden="1" x14ac:dyDescent="0.3">
      <c r="B31" t="s">
        <v>771</v>
      </c>
      <c r="C31" t="s">
        <v>759</v>
      </c>
      <c r="D31" t="s">
        <v>794</v>
      </c>
      <c r="E31" s="10"/>
    </row>
    <row r="32" spans="2:7" hidden="1" x14ac:dyDescent="0.3">
      <c r="B32" t="s">
        <v>771</v>
      </c>
      <c r="C32" t="s">
        <v>759</v>
      </c>
      <c r="D32" t="s">
        <v>795</v>
      </c>
      <c r="E32" s="10"/>
    </row>
    <row r="33" spans="2:7" hidden="1" x14ac:dyDescent="0.3">
      <c r="B33" t="s">
        <v>771</v>
      </c>
      <c r="C33" t="s">
        <v>759</v>
      </c>
      <c r="D33" t="s">
        <v>796</v>
      </c>
      <c r="E33" s="10"/>
    </row>
    <row r="34" spans="2:7" hidden="1" x14ac:dyDescent="0.3">
      <c r="B34" t="s">
        <v>771</v>
      </c>
      <c r="C34" t="s">
        <v>759</v>
      </c>
      <c r="D34" t="s">
        <v>797</v>
      </c>
      <c r="E34" s="10"/>
    </row>
    <row r="35" spans="2:7" hidden="1" x14ac:dyDescent="0.3">
      <c r="B35" t="s">
        <v>771</v>
      </c>
      <c r="C35" t="s">
        <v>759</v>
      </c>
      <c r="D35" t="s">
        <v>798</v>
      </c>
      <c r="E35" s="10"/>
    </row>
    <row r="36" spans="2:7" x14ac:dyDescent="0.3">
      <c r="B36" t="s">
        <v>772</v>
      </c>
      <c r="C36" t="s">
        <v>759</v>
      </c>
      <c r="D36" t="s">
        <v>799</v>
      </c>
      <c r="E36" s="10">
        <f>SUM(computations!D645:D744)</f>
        <v>270652592.81171632</v>
      </c>
      <c r="G36" s="10">
        <f>E7+E5+E9</f>
        <v>226186346.58814651</v>
      </c>
    </row>
    <row r="37" spans="2:7" hidden="1" x14ac:dyDescent="0.3">
      <c r="B37" t="s">
        <v>772</v>
      </c>
      <c r="C37" t="s">
        <v>759</v>
      </c>
      <c r="D37" t="s">
        <v>801</v>
      </c>
      <c r="E37" s="10"/>
    </row>
    <row r="38" spans="2:7" hidden="1" x14ac:dyDescent="0.3">
      <c r="B38" t="s">
        <v>772</v>
      </c>
      <c r="C38" t="s">
        <v>759</v>
      </c>
      <c r="D38" t="s">
        <v>800</v>
      </c>
      <c r="E38" s="10"/>
    </row>
    <row r="39" spans="2:7" hidden="1" x14ac:dyDescent="0.3">
      <c r="B39" t="s">
        <v>772</v>
      </c>
      <c r="C39" t="s">
        <v>759</v>
      </c>
      <c r="D39" t="s">
        <v>802</v>
      </c>
      <c r="E39" s="10"/>
    </row>
    <row r="40" spans="2:7" hidden="1" x14ac:dyDescent="0.3">
      <c r="B40" t="s">
        <v>772</v>
      </c>
      <c r="C40" t="s">
        <v>759</v>
      </c>
      <c r="D40" t="s">
        <v>803</v>
      </c>
      <c r="E40" s="10"/>
    </row>
    <row r="41" spans="2:7" x14ac:dyDescent="0.3">
      <c r="B41" t="s">
        <v>758</v>
      </c>
      <c r="C41" t="s">
        <v>759</v>
      </c>
      <c r="D41" t="s">
        <v>768</v>
      </c>
      <c r="E41" s="10">
        <f>SUM(computations!D745:D751)</f>
        <v>58438963.115779579</v>
      </c>
      <c r="G41" t="s">
        <v>1055</v>
      </c>
    </row>
    <row r="42" spans="2:7" x14ac:dyDescent="0.3">
      <c r="B42" t="s">
        <v>774</v>
      </c>
      <c r="C42" t="s">
        <v>774</v>
      </c>
      <c r="D42" t="s">
        <v>774</v>
      </c>
      <c r="E42" s="10">
        <f>E5+E7+E9+E10+E11</f>
        <v>1157241233.0887659</v>
      </c>
      <c r="G42" s="10">
        <f>E10+E11</f>
        <v>931054886.50061917</v>
      </c>
    </row>
    <row r="43" spans="2:7" x14ac:dyDescent="0.3">
      <c r="B43" t="s">
        <v>773</v>
      </c>
      <c r="C43" t="s">
        <v>773</v>
      </c>
      <c r="D43" t="s">
        <v>773</v>
      </c>
      <c r="E43" s="10">
        <f>E24+E36+E41</f>
        <v>993049782.28402209</v>
      </c>
    </row>
    <row r="44" spans="2:7" x14ac:dyDescent="0.3">
      <c r="B44" t="s">
        <v>774</v>
      </c>
      <c r="C44" t="s">
        <v>774</v>
      </c>
      <c r="D44" t="s">
        <v>804</v>
      </c>
      <c r="E44">
        <f>E42/1000000000</f>
        <v>1.1572412330887658</v>
      </c>
    </row>
    <row r="45" spans="2:7" x14ac:dyDescent="0.3">
      <c r="B45" t="s">
        <v>773</v>
      </c>
      <c r="C45" t="s">
        <v>773</v>
      </c>
      <c r="D45" t="s">
        <v>805</v>
      </c>
      <c r="E45">
        <f>E43/1000000000</f>
        <v>0.99304978228402208</v>
      </c>
    </row>
    <row r="56" spans="2:6" x14ac:dyDescent="0.3">
      <c r="B56" t="s">
        <v>822</v>
      </c>
      <c r="E56" s="10">
        <f>SUM(E5+E7+E9)/1000000</f>
        <v>226.18634658814651</v>
      </c>
      <c r="F56" t="s">
        <v>823</v>
      </c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inputs</vt:lpstr>
      <vt:lpstr>computations</vt:lpstr>
      <vt:lpstr>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Émile DUGNAT</dc:creator>
  <cp:lastModifiedBy>Samuel Stevens</cp:lastModifiedBy>
  <dcterms:created xsi:type="dcterms:W3CDTF">2024-07-15T16:17:17Z</dcterms:created>
  <dcterms:modified xsi:type="dcterms:W3CDTF">2026-02-28T18:08:24Z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ccept_treatment" linkTarget="prop_accept_treatment">
    <vt:lpwstr>#REF!</vt:lpwstr>
  </property>
  <property fmtid="{D5CDD505-2E9C-101B-9397-08002B2CF9AE}" pid="3" name="access_clinics_AN" linkTarget="prop_access_clinics_AN">
    <vt:lpwstr>#REF!</vt:lpwstr>
  </property>
  <property fmtid="{D5CDD505-2E9C-101B-9397-08002B2CF9AE}" pid="4" name="screened_pos_year_1_AN" linkTarget="prop_screened_pos_year_1_AN">
    <vt:lpwstr>#REF!</vt:lpwstr>
  </property>
  <property fmtid="{D5CDD505-2E9C-101B-9397-08002B2CF9AE}" pid="5" name="screened_year_1" linkTarget="prop_screened_year_1">
    <vt:lpwstr>#REF!</vt:lpwstr>
  </property>
</Properties>
</file>