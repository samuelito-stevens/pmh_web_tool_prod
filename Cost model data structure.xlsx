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9221CDB9-61B3-4127-A49D-7AAFA88486E5}" xr6:coauthVersionLast="47" xr6:coauthVersionMax="47" xr10:uidLastSave="{00000000-0000-0000-0000-000000000000}"/>
  <bookViews>
    <workbookView xWindow="-108" yWindow="-108" windowWidth="23256" windowHeight="1245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" i="2" l="1"/>
  <c r="D136" i="2"/>
  <c r="D135" i="2"/>
  <c r="D134" i="2"/>
  <c r="D133" i="2"/>
  <c r="D132" i="2"/>
  <c r="D131" i="2"/>
  <c r="D130" i="2"/>
  <c r="D129" i="2"/>
  <c r="D128" i="2"/>
  <c r="D2" i="2" l="1"/>
  <c r="D50" i="2" s="1"/>
  <c r="E128" i="2"/>
  <c r="D89" i="2" l="1"/>
  <c r="D90" i="2"/>
  <c r="D91" i="2"/>
  <c r="D92" i="2"/>
  <c r="D93" i="2"/>
  <c r="D94" i="2"/>
  <c r="D95" i="2"/>
  <c r="D96" i="2"/>
  <c r="D97" i="2"/>
  <c r="D98" i="2"/>
  <c r="D99" i="2"/>
  <c r="D101" i="2"/>
  <c r="D102" i="2"/>
  <c r="D103" i="2"/>
  <c r="D104" i="2"/>
  <c r="D105" i="2"/>
  <c r="D106" i="2"/>
  <c r="D107" i="2"/>
  <c r="D108" i="2"/>
  <c r="D109" i="2"/>
  <c r="D110" i="2"/>
  <c r="D111" i="2"/>
  <c r="D113" i="2"/>
  <c r="D114" i="2"/>
  <c r="D115" i="2"/>
  <c r="D116" i="2"/>
  <c r="D117" i="2"/>
  <c r="D118" i="2"/>
  <c r="D119" i="2"/>
  <c r="D120" i="2"/>
  <c r="D121" i="2"/>
  <c r="D122" i="2"/>
  <c r="D123" i="2"/>
  <c r="D126" i="2"/>
  <c r="D12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745" i="2" s="1"/>
  <c r="D150" i="2"/>
  <c r="D355" i="2" s="1"/>
  <c r="D500" i="2" s="1"/>
  <c r="D151" i="2"/>
  <c r="D152" i="2"/>
  <c r="D153" i="2"/>
  <c r="D154" i="2"/>
  <c r="D155" i="2"/>
  <c r="D156" i="2"/>
  <c r="D157" i="2"/>
  <c r="D158" i="2"/>
  <c r="D277" i="2" s="1"/>
  <c r="D278" i="2" s="1"/>
  <c r="D279" i="2" s="1"/>
  <c r="D280" i="2" s="1"/>
  <c r="D159" i="2"/>
  <c r="D160" i="2"/>
  <c r="D161" i="2"/>
  <c r="D162" i="2" s="1"/>
  <c r="D163" i="2" s="1"/>
  <c r="D164" i="2" s="1"/>
  <c r="D165" i="2" s="1"/>
  <c r="D166" i="2"/>
  <c r="D167" i="2" s="1"/>
  <c r="D168" i="2" s="1"/>
  <c r="D169" i="2" s="1"/>
  <c r="D170" i="2" s="1"/>
  <c r="D171" i="2" s="1"/>
  <c r="D172" i="2" s="1"/>
  <c r="D173" i="2" s="1"/>
  <c r="D174" i="2" s="1"/>
  <c r="D199" i="2"/>
  <c r="D200" i="2" s="1"/>
  <c r="D201" i="2" s="1"/>
  <c r="D202" i="2" s="1"/>
  <c r="D238" i="2"/>
  <c r="D239" i="2" s="1"/>
  <c r="D240" i="2" s="1"/>
  <c r="D241" i="2" s="1"/>
  <c r="D316" i="2"/>
  <c r="D317" i="2"/>
  <c r="D318" i="2"/>
  <c r="D319" i="2" s="1"/>
  <c r="D747" i="2"/>
  <c r="D748" i="2"/>
  <c r="D749" i="2"/>
  <c r="D750" i="2"/>
  <c r="D751" i="2"/>
  <c r="D645" i="2" l="1"/>
  <c r="D175" i="2"/>
  <c r="D281" i="2"/>
  <c r="D428" i="2"/>
  <c r="D573" i="2" s="1"/>
  <c r="D203" i="2"/>
  <c r="D356" i="2"/>
  <c r="D501" i="2" s="1"/>
  <c r="D392" i="2"/>
  <c r="D537" i="2" s="1"/>
  <c r="D242" i="2"/>
  <c r="D746" i="2"/>
  <c r="D320" i="2"/>
  <c r="D464" i="2"/>
  <c r="D609" i="2" s="1"/>
  <c r="D393" i="2" l="1"/>
  <c r="D538" i="2" s="1"/>
  <c r="D243" i="2"/>
  <c r="D282" i="2"/>
  <c r="D429" i="2"/>
  <c r="D574" i="2" s="1"/>
  <c r="D321" i="2"/>
  <c r="D465" i="2"/>
  <c r="D610" i="2" s="1"/>
  <c r="D176" i="2"/>
  <c r="D646" i="2"/>
  <c r="D204" i="2"/>
  <c r="D357" i="2"/>
  <c r="D502" i="2" s="1"/>
  <c r="D322" i="2" l="1"/>
  <c r="D466" i="2"/>
  <c r="D611" i="2" s="1"/>
  <c r="D283" i="2"/>
  <c r="D430" i="2"/>
  <c r="D575" i="2" s="1"/>
  <c r="D177" i="2"/>
  <c r="D647" i="2"/>
  <c r="D394" i="2"/>
  <c r="D539" i="2" s="1"/>
  <c r="D244" i="2"/>
  <c r="D205" i="2"/>
  <c r="D358" i="2"/>
  <c r="D503" i="2" s="1"/>
  <c r="D395" i="2" l="1"/>
  <c r="D540" i="2" s="1"/>
  <c r="D245" i="2"/>
  <c r="D284" i="2"/>
  <c r="D431" i="2"/>
  <c r="D576" i="2" s="1"/>
  <c r="D648" i="2"/>
  <c r="D178" i="2"/>
  <c r="D359" i="2"/>
  <c r="D504" i="2" s="1"/>
  <c r="D206" i="2"/>
  <c r="D323" i="2"/>
  <c r="D467" i="2"/>
  <c r="D612" i="2" s="1"/>
  <c r="D360" i="2" l="1"/>
  <c r="D505" i="2" s="1"/>
  <c r="D207" i="2"/>
  <c r="D649" i="2"/>
  <c r="D179" i="2"/>
  <c r="D432" i="2"/>
  <c r="D577" i="2" s="1"/>
  <c r="D285" i="2"/>
  <c r="D396" i="2"/>
  <c r="D541" i="2" s="1"/>
  <c r="D246" i="2"/>
  <c r="D324" i="2"/>
  <c r="D468" i="2"/>
  <c r="D613" i="2" s="1"/>
  <c r="D208" i="2" l="1"/>
  <c r="D361" i="2"/>
  <c r="D506" i="2" s="1"/>
  <c r="D397" i="2"/>
  <c r="D542" i="2" s="1"/>
  <c r="D247" i="2"/>
  <c r="D433" i="2"/>
  <c r="D578" i="2" s="1"/>
  <c r="D286" i="2"/>
  <c r="D650" i="2"/>
  <c r="D180" i="2"/>
  <c r="D325" i="2"/>
  <c r="D469" i="2"/>
  <c r="D614" i="2" s="1"/>
  <c r="D651" i="2" l="1"/>
  <c r="D181" i="2"/>
  <c r="D434" i="2"/>
  <c r="D579" i="2" s="1"/>
  <c r="D287" i="2"/>
  <c r="D248" i="2"/>
  <c r="D398" i="2"/>
  <c r="D543" i="2" s="1"/>
  <c r="D326" i="2"/>
  <c r="D470" i="2"/>
  <c r="D615" i="2" s="1"/>
  <c r="D209" i="2"/>
  <c r="D362" i="2"/>
  <c r="D507" i="2" s="1"/>
  <c r="D327" i="2" l="1"/>
  <c r="D471" i="2"/>
  <c r="D616" i="2" s="1"/>
  <c r="D652" i="2"/>
  <c r="D182" i="2"/>
  <c r="D249" i="2"/>
  <c r="D399" i="2"/>
  <c r="D544" i="2" s="1"/>
  <c r="D288" i="2"/>
  <c r="D435" i="2"/>
  <c r="D580" i="2" s="1"/>
  <c r="D210" i="2"/>
  <c r="D363" i="2"/>
  <c r="D508" i="2" s="1"/>
  <c r="D289" i="2" l="1"/>
  <c r="D436" i="2"/>
  <c r="D581" i="2" s="1"/>
  <c r="D400" i="2"/>
  <c r="D545" i="2" s="1"/>
  <c r="D250" i="2"/>
  <c r="D653" i="2"/>
  <c r="D211" i="2"/>
  <c r="D364" i="2"/>
  <c r="D509" i="2" s="1"/>
  <c r="D328" i="2"/>
  <c r="D472" i="2"/>
  <c r="D617" i="2" s="1"/>
  <c r="D184" i="2" l="1"/>
  <c r="D654" i="2"/>
  <c r="D401" i="2"/>
  <c r="D546" i="2" s="1"/>
  <c r="D251" i="2"/>
  <c r="D212" i="2"/>
  <c r="D365" i="2"/>
  <c r="D510" i="2" s="1"/>
  <c r="D329" i="2"/>
  <c r="D473" i="2"/>
  <c r="D618" i="2" s="1"/>
  <c r="D290" i="2"/>
  <c r="D437" i="2"/>
  <c r="D582" i="2" s="1"/>
  <c r="D330" i="2" l="1"/>
  <c r="D474" i="2"/>
  <c r="D619" i="2" s="1"/>
  <c r="D213" i="2"/>
  <c r="D366" i="2"/>
  <c r="D511" i="2" s="1"/>
  <c r="D402" i="2"/>
  <c r="D547" i="2" s="1"/>
  <c r="D252" i="2"/>
  <c r="D291" i="2"/>
  <c r="D438" i="2"/>
  <c r="D583" i="2" s="1"/>
  <c r="D185" i="2"/>
  <c r="D655" i="2"/>
  <c r="D403" i="2" l="1"/>
  <c r="D548" i="2" s="1"/>
  <c r="D253" i="2"/>
  <c r="D670" i="2"/>
  <c r="D367" i="2"/>
  <c r="D512" i="2" s="1"/>
  <c r="D214" i="2"/>
  <c r="D292" i="2"/>
  <c r="D439" i="2"/>
  <c r="D584" i="2" s="1"/>
  <c r="D695" i="2"/>
  <c r="D656" i="2"/>
  <c r="D186" i="2"/>
  <c r="D720" i="2"/>
  <c r="D331" i="2"/>
  <c r="D475" i="2"/>
  <c r="D620" i="2" s="1"/>
  <c r="D721" i="2" l="1"/>
  <c r="D332" i="2"/>
  <c r="D476" i="2"/>
  <c r="D621" i="2" s="1"/>
  <c r="D368" i="2"/>
  <c r="D513" i="2" s="1"/>
  <c r="D215" i="2"/>
  <c r="D657" i="2"/>
  <c r="D187" i="2"/>
  <c r="D404" i="2"/>
  <c r="D549" i="2" s="1"/>
  <c r="D671" i="2"/>
  <c r="D254" i="2"/>
  <c r="D440" i="2"/>
  <c r="D585" i="2" s="1"/>
  <c r="D696" i="2"/>
  <c r="D293" i="2"/>
  <c r="D188" i="2" l="1"/>
  <c r="D658" i="2"/>
  <c r="D697" i="2"/>
  <c r="D441" i="2"/>
  <c r="D586" i="2" s="1"/>
  <c r="D294" i="2"/>
  <c r="D216" i="2"/>
  <c r="D369" i="2"/>
  <c r="D514" i="2" s="1"/>
  <c r="D672" i="2"/>
  <c r="D405" i="2"/>
  <c r="D550" i="2" s="1"/>
  <c r="D255" i="2"/>
  <c r="D333" i="2"/>
  <c r="D477" i="2"/>
  <c r="D622" i="2" s="1"/>
  <c r="D722" i="2"/>
  <c r="D442" i="2" l="1"/>
  <c r="D587" i="2" s="1"/>
  <c r="D295" i="2"/>
  <c r="D698" i="2"/>
  <c r="D256" i="2"/>
  <c r="D673" i="2"/>
  <c r="D406" i="2"/>
  <c r="D551" i="2" s="1"/>
  <c r="D217" i="2"/>
  <c r="D370" i="2"/>
  <c r="D515" i="2" s="1"/>
  <c r="D723" i="2"/>
  <c r="D334" i="2"/>
  <c r="D478" i="2"/>
  <c r="D623" i="2" s="1"/>
  <c r="D659" i="2"/>
  <c r="D189" i="2"/>
  <c r="D218" i="2" l="1"/>
  <c r="D371" i="2"/>
  <c r="D516" i="2" s="1"/>
  <c r="D257" i="2"/>
  <c r="D407" i="2"/>
  <c r="D552" i="2" s="1"/>
  <c r="D674" i="2"/>
  <c r="D724" i="2"/>
  <c r="D335" i="2"/>
  <c r="D479" i="2"/>
  <c r="D624" i="2" s="1"/>
  <c r="D296" i="2"/>
  <c r="D443" i="2"/>
  <c r="D588" i="2" s="1"/>
  <c r="D699" i="2"/>
  <c r="D660" i="2"/>
  <c r="D190" i="2"/>
  <c r="D408" i="2" l="1"/>
  <c r="D553" i="2" s="1"/>
  <c r="D258" i="2"/>
  <c r="D675" i="2"/>
  <c r="D336" i="2"/>
  <c r="D480" i="2"/>
  <c r="D625" i="2" s="1"/>
  <c r="D725" i="2"/>
  <c r="D661" i="2"/>
  <c r="D191" i="2"/>
  <c r="D297" i="2"/>
  <c r="D444" i="2"/>
  <c r="D589" i="2" s="1"/>
  <c r="D700" i="2"/>
  <c r="D219" i="2"/>
  <c r="D372" i="2"/>
  <c r="D517" i="2" s="1"/>
  <c r="D220" i="2" l="1"/>
  <c r="D373" i="2"/>
  <c r="D518" i="2" s="1"/>
  <c r="D409" i="2"/>
  <c r="D554" i="2" s="1"/>
  <c r="D259" i="2"/>
  <c r="D676" i="2"/>
  <c r="D192" i="2"/>
  <c r="D662" i="2"/>
  <c r="D337" i="2"/>
  <c r="D481" i="2"/>
  <c r="D626" i="2" s="1"/>
  <c r="D726" i="2"/>
  <c r="D298" i="2"/>
  <c r="D445" i="2"/>
  <c r="D590" i="2" s="1"/>
  <c r="D701" i="2"/>
  <c r="D338" i="2" l="1"/>
  <c r="D482" i="2"/>
  <c r="D627" i="2" s="1"/>
  <c r="D727" i="2"/>
  <c r="D410" i="2"/>
  <c r="D555" i="2" s="1"/>
  <c r="D260" i="2"/>
  <c r="D677" i="2"/>
  <c r="D193" i="2"/>
  <c r="D663" i="2"/>
  <c r="D299" i="2"/>
  <c r="D446" i="2"/>
  <c r="D591" i="2" s="1"/>
  <c r="D702" i="2"/>
  <c r="D221" i="2"/>
  <c r="D374" i="2"/>
  <c r="D519" i="2" s="1"/>
  <c r="D664" i="2" l="1"/>
  <c r="D194" i="2"/>
  <c r="D411" i="2"/>
  <c r="D556" i="2" s="1"/>
  <c r="D261" i="2"/>
  <c r="D678" i="2"/>
  <c r="D375" i="2"/>
  <c r="D520" i="2" s="1"/>
  <c r="D222" i="2"/>
  <c r="D300" i="2"/>
  <c r="D447" i="2"/>
  <c r="D592" i="2" s="1"/>
  <c r="D703" i="2"/>
  <c r="D728" i="2"/>
  <c r="D339" i="2"/>
  <c r="D483" i="2"/>
  <c r="D628" i="2" s="1"/>
  <c r="D448" i="2" l="1"/>
  <c r="D593" i="2" s="1"/>
  <c r="D704" i="2"/>
  <c r="D301" i="2"/>
  <c r="D376" i="2"/>
  <c r="D521" i="2" s="1"/>
  <c r="D223" i="2"/>
  <c r="D412" i="2"/>
  <c r="D557" i="2" s="1"/>
  <c r="D679" i="2"/>
  <c r="D262" i="2"/>
  <c r="D665" i="2"/>
  <c r="D195" i="2"/>
  <c r="D729" i="2"/>
  <c r="D340" i="2"/>
  <c r="D484" i="2"/>
  <c r="D629" i="2" s="1"/>
  <c r="D224" i="2" l="1"/>
  <c r="D377" i="2"/>
  <c r="D522" i="2" s="1"/>
  <c r="D449" i="2"/>
  <c r="D594" i="2" s="1"/>
  <c r="D705" i="2"/>
  <c r="D302" i="2"/>
  <c r="D680" i="2"/>
  <c r="D413" i="2"/>
  <c r="D558" i="2" s="1"/>
  <c r="D263" i="2"/>
  <c r="D341" i="2"/>
  <c r="D485" i="2"/>
  <c r="D630" i="2" s="1"/>
  <c r="D730" i="2"/>
  <c r="D196" i="2"/>
  <c r="D666" i="2"/>
  <c r="D264" i="2" l="1"/>
  <c r="D681" i="2"/>
  <c r="D414" i="2"/>
  <c r="D559" i="2" s="1"/>
  <c r="D450" i="2"/>
  <c r="D595" i="2" s="1"/>
  <c r="D303" i="2"/>
  <c r="D706" i="2"/>
  <c r="D667" i="2"/>
  <c r="D197" i="2"/>
  <c r="D731" i="2"/>
  <c r="D342" i="2"/>
  <c r="D486" i="2"/>
  <c r="D631" i="2" s="1"/>
  <c r="D225" i="2"/>
  <c r="D378" i="2"/>
  <c r="D523" i="2" s="1"/>
  <c r="D668" i="2" l="1"/>
  <c r="D198" i="2"/>
  <c r="D669" i="2" s="1"/>
  <c r="D732" i="2"/>
  <c r="D343" i="2"/>
  <c r="D487" i="2"/>
  <c r="D632" i="2" s="1"/>
  <c r="D304" i="2"/>
  <c r="D451" i="2"/>
  <c r="D596" i="2" s="1"/>
  <c r="D707" i="2"/>
  <c r="D226" i="2"/>
  <c r="D379" i="2"/>
  <c r="D524" i="2" s="1"/>
  <c r="D265" i="2"/>
  <c r="D415" i="2"/>
  <c r="D560" i="2" s="1"/>
  <c r="D682" i="2"/>
  <c r="D305" i="2" l="1"/>
  <c r="D452" i="2"/>
  <c r="D597" i="2" s="1"/>
  <c r="D708" i="2"/>
  <c r="D416" i="2"/>
  <c r="D561" i="2" s="1"/>
  <c r="D266" i="2"/>
  <c r="D683" i="2"/>
  <c r="D344" i="2"/>
  <c r="D488" i="2"/>
  <c r="D633" i="2" s="1"/>
  <c r="D733" i="2"/>
  <c r="D227" i="2"/>
  <c r="D380" i="2"/>
  <c r="D525" i="2" s="1"/>
  <c r="D345" i="2" l="1"/>
  <c r="D489" i="2"/>
  <c r="D634" i="2" s="1"/>
  <c r="D734" i="2"/>
  <c r="D417" i="2"/>
  <c r="D562" i="2" s="1"/>
  <c r="D267" i="2"/>
  <c r="D684" i="2"/>
  <c r="D228" i="2"/>
  <c r="D381" i="2"/>
  <c r="D526" i="2" s="1"/>
  <c r="D306" i="2"/>
  <c r="D453" i="2"/>
  <c r="D598" i="2" s="1"/>
  <c r="D709" i="2"/>
  <c r="D229" i="2" l="1"/>
  <c r="D382" i="2"/>
  <c r="D527" i="2" s="1"/>
  <c r="D418" i="2"/>
  <c r="D563" i="2" s="1"/>
  <c r="D268" i="2"/>
  <c r="D685" i="2"/>
  <c r="D307" i="2"/>
  <c r="D710" i="2"/>
  <c r="D454" i="2"/>
  <c r="D599" i="2" s="1"/>
  <c r="D346" i="2"/>
  <c r="D490" i="2"/>
  <c r="D635" i="2" s="1"/>
  <c r="D735" i="2"/>
  <c r="D308" i="2" l="1"/>
  <c r="D455" i="2"/>
  <c r="D600" i="2" s="1"/>
  <c r="D711" i="2"/>
  <c r="D419" i="2"/>
  <c r="D564" i="2" s="1"/>
  <c r="D269" i="2"/>
  <c r="D686" i="2"/>
  <c r="D736" i="2"/>
  <c r="D347" i="2"/>
  <c r="D491" i="2"/>
  <c r="D636" i="2" s="1"/>
  <c r="D383" i="2"/>
  <c r="D528" i="2" s="1"/>
  <c r="D230" i="2"/>
  <c r="D737" i="2" l="1"/>
  <c r="D348" i="2"/>
  <c r="D492" i="2"/>
  <c r="D637" i="2" s="1"/>
  <c r="D420" i="2"/>
  <c r="D565" i="2" s="1"/>
  <c r="D687" i="2"/>
  <c r="D270" i="2"/>
  <c r="D384" i="2"/>
  <c r="D529" i="2" s="1"/>
  <c r="D231" i="2"/>
  <c r="D456" i="2"/>
  <c r="D601" i="2" s="1"/>
  <c r="D712" i="2"/>
  <c r="D309" i="2"/>
  <c r="D232" i="2" l="1"/>
  <c r="D385" i="2"/>
  <c r="D530" i="2" s="1"/>
  <c r="D688" i="2"/>
  <c r="D421" i="2"/>
  <c r="D566" i="2" s="1"/>
  <c r="D271" i="2"/>
  <c r="D457" i="2"/>
  <c r="D602" i="2" s="1"/>
  <c r="D713" i="2"/>
  <c r="D310" i="2"/>
  <c r="D349" i="2"/>
  <c r="D493" i="2"/>
  <c r="D638" i="2" s="1"/>
  <c r="D738" i="2"/>
  <c r="D272" i="2" l="1"/>
  <c r="D689" i="2"/>
  <c r="D422" i="2"/>
  <c r="D567" i="2" s="1"/>
  <c r="D458" i="2"/>
  <c r="D603" i="2" s="1"/>
  <c r="D311" i="2"/>
  <c r="D714" i="2"/>
  <c r="D739" i="2"/>
  <c r="D350" i="2"/>
  <c r="D494" i="2"/>
  <c r="D639" i="2" s="1"/>
  <c r="D233" i="2"/>
  <c r="D386" i="2"/>
  <c r="D531" i="2" s="1"/>
  <c r="D740" i="2" l="1"/>
  <c r="D351" i="2"/>
  <c r="D495" i="2"/>
  <c r="D640" i="2" s="1"/>
  <c r="D312" i="2"/>
  <c r="D459" i="2"/>
  <c r="D604" i="2" s="1"/>
  <c r="D715" i="2"/>
  <c r="D234" i="2"/>
  <c r="D387" i="2"/>
  <c r="D532" i="2" s="1"/>
  <c r="D273" i="2"/>
  <c r="D423" i="2"/>
  <c r="D568" i="2" s="1"/>
  <c r="D690" i="2"/>
  <c r="D235" i="2" l="1"/>
  <c r="D388" i="2"/>
  <c r="D533" i="2" s="1"/>
  <c r="D313" i="2"/>
  <c r="D460" i="2"/>
  <c r="D605" i="2" s="1"/>
  <c r="D716" i="2"/>
  <c r="D352" i="2"/>
  <c r="D496" i="2"/>
  <c r="D641" i="2" s="1"/>
  <c r="D741" i="2"/>
  <c r="D424" i="2"/>
  <c r="D569" i="2" s="1"/>
  <c r="D274" i="2"/>
  <c r="D691" i="2"/>
  <c r="D353" i="2" l="1"/>
  <c r="D497" i="2"/>
  <c r="D642" i="2" s="1"/>
  <c r="D742" i="2"/>
  <c r="D314" i="2"/>
  <c r="D461" i="2"/>
  <c r="D606" i="2" s="1"/>
  <c r="D717" i="2"/>
  <c r="D425" i="2"/>
  <c r="D570" i="2" s="1"/>
  <c r="D275" i="2"/>
  <c r="D692" i="2"/>
  <c r="D236" i="2"/>
  <c r="D389" i="2"/>
  <c r="D534" i="2" s="1"/>
  <c r="D426" i="2" l="1"/>
  <c r="D571" i="2" s="1"/>
  <c r="D276" i="2"/>
  <c r="D693" i="2"/>
  <c r="D315" i="2"/>
  <c r="D462" i="2"/>
  <c r="D607" i="2" s="1"/>
  <c r="D718" i="2"/>
  <c r="D237" i="2"/>
  <c r="D391" i="2" s="1"/>
  <c r="D536" i="2" s="1"/>
  <c r="D390" i="2"/>
  <c r="D535" i="2" s="1"/>
  <c r="D354" i="2"/>
  <c r="D498" i="2"/>
  <c r="D643" i="2" s="1"/>
  <c r="D743" i="2"/>
  <c r="D463" i="2" l="1"/>
  <c r="D608" i="2" s="1"/>
  <c r="D719" i="2"/>
  <c r="D427" i="2"/>
  <c r="D572" i="2" s="1"/>
  <c r="D694" i="2"/>
  <c r="D744" i="2"/>
  <c r="D499" i="2"/>
  <c r="D644" i="2" s="1"/>
  <c r="E22" i="1" l="1"/>
  <c r="E23" i="1" s="1"/>
  <c r="E21" i="1"/>
  <c r="E30" i="1"/>
  <c r="E80" i="1"/>
  <c r="E81" i="1"/>
  <c r="E84" i="1"/>
  <c r="E85" i="1"/>
  <c r="E83" i="1"/>
  <c r="E82" i="1"/>
  <c r="E678" i="2"/>
  <c r="E688" i="2"/>
  <c r="E673" i="2"/>
  <c r="E709" i="2"/>
  <c r="E715" i="2"/>
  <c r="E716" i="2"/>
  <c r="E160" i="2"/>
  <c r="E701" i="2"/>
  <c r="E710" i="2"/>
  <c r="E711" i="2"/>
  <c r="E719" i="2"/>
  <c r="E707" i="2"/>
  <c r="E685" i="2"/>
  <c r="E732" i="2"/>
  <c r="E724" i="2"/>
  <c r="E700" i="2"/>
  <c r="E736" i="2"/>
  <c r="E691" i="2"/>
  <c r="E2" i="2"/>
  <c r="E730" i="2"/>
  <c r="E703" i="2"/>
  <c r="E693" i="2"/>
  <c r="E705" i="2"/>
  <c r="E697" i="2"/>
  <c r="E728" i="2"/>
  <c r="E712" i="2"/>
  <c r="E723" i="2"/>
  <c r="E672" i="2"/>
  <c r="E681" i="2"/>
  <c r="E679" i="2"/>
  <c r="E739" i="2"/>
  <c r="E690" i="2"/>
  <c r="E725" i="2"/>
  <c r="E677" i="2"/>
  <c r="E670" i="2"/>
  <c r="E692" i="2"/>
  <c r="E744" i="2"/>
  <c r="E682" i="2"/>
  <c r="E733" i="2"/>
  <c r="E731" i="2"/>
  <c r="E687" i="2"/>
  <c r="E717" i="2"/>
  <c r="E151" i="2"/>
  <c r="E428" i="2"/>
  <c r="E718" i="2"/>
  <c r="E735" i="2"/>
  <c r="E689" i="2"/>
  <c r="E738" i="2"/>
  <c r="E674" i="2"/>
  <c r="E741" i="2"/>
  <c r="E684" i="2"/>
  <c r="E671" i="2"/>
  <c r="E695" i="2"/>
  <c r="E722" i="2"/>
  <c r="E720" i="2"/>
  <c r="E721" i="2"/>
  <c r="E742" i="2"/>
  <c r="E698" i="2"/>
  <c r="E734" i="2"/>
  <c r="E714" i="2"/>
  <c r="E355" i="2"/>
  <c r="E694" i="2"/>
  <c r="E699" i="2"/>
  <c r="E702" i="2"/>
  <c r="E737" i="2"/>
  <c r="E727" i="2"/>
  <c r="E686" i="2"/>
  <c r="E729" i="2"/>
  <c r="E704" i="2"/>
  <c r="E740" i="2"/>
  <c r="E696" i="2"/>
  <c r="E713" i="2"/>
  <c r="E706" i="2"/>
  <c r="E743" i="2"/>
  <c r="E680" i="2"/>
  <c r="E676" i="2"/>
  <c r="E683" i="2"/>
  <c r="E726" i="2"/>
  <c r="E708" i="2"/>
  <c r="E675" i="2"/>
  <c r="D3" i="2" l="1"/>
  <c r="D4" i="2" l="1"/>
  <c r="D16" i="2" s="1"/>
  <c r="D53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25" i="2" l="1"/>
  <c r="D51" i="2"/>
  <c r="D88" i="2" s="1"/>
  <c r="E9" i="3"/>
  <c r="E8" i="3"/>
  <c r="D5" i="2"/>
  <c r="D41" i="2" s="1"/>
  <c r="D78" i="2" s="1"/>
  <c r="D28" i="2"/>
  <c r="D65" i="2" s="1"/>
  <c r="D40" i="2"/>
  <c r="D76" i="2"/>
  <c r="D75" i="2"/>
  <c r="D112" i="2" s="1"/>
  <c r="D52" i="2"/>
  <c r="D64" i="2"/>
  <c r="E41" i="3" l="1"/>
  <c r="D17" i="2"/>
  <c r="D54" i="2" s="1"/>
  <c r="D29" i="2"/>
  <c r="D66" i="2" s="1"/>
  <c r="D77" i="2"/>
  <c r="D6" i="2"/>
  <c r="D30" i="2" s="1"/>
  <c r="D67" i="2" s="1"/>
  <c r="E10" i="3" l="1"/>
  <c r="D18" i="2"/>
  <c r="D55" i="2" s="1"/>
  <c r="D7" i="2"/>
  <c r="D31" i="2" s="1"/>
  <c r="D68" i="2" s="1"/>
  <c r="D42" i="2"/>
  <c r="D79" i="2" s="1"/>
  <c r="D8" i="2" l="1"/>
  <c r="D32" i="2" s="1"/>
  <c r="D69" i="2" s="1"/>
  <c r="D19" i="2"/>
  <c r="D56" i="2" s="1"/>
  <c r="D43" i="2"/>
  <c r="D80" i="2" s="1"/>
  <c r="D9" i="2" l="1"/>
  <c r="D10" i="2" s="1"/>
  <c r="D34" i="2" s="1"/>
  <c r="D71" i="2" s="1"/>
  <c r="D20" i="2"/>
  <c r="D57" i="2" s="1"/>
  <c r="D44" i="2"/>
  <c r="D81" i="2" s="1"/>
  <c r="D45" i="2" l="1"/>
  <c r="D82" i="2" s="1"/>
  <c r="D22" i="2"/>
  <c r="D59" i="2" s="1"/>
  <c r="D11" i="2"/>
  <c r="D35" i="2" s="1"/>
  <c r="D72" i="2" s="1"/>
  <c r="D21" i="2"/>
  <c r="D58" i="2" s="1"/>
  <c r="D33" i="2"/>
  <c r="D70" i="2" s="1"/>
  <c r="D46" i="2"/>
  <c r="D83" i="2" s="1"/>
  <c r="D47" i="2" l="1"/>
  <c r="D84" i="2" s="1"/>
  <c r="D12" i="2"/>
  <c r="D36" i="2" s="1"/>
  <c r="D73" i="2" s="1"/>
  <c r="D23" i="2"/>
  <c r="D60" i="2" s="1"/>
  <c r="E427" i="2"/>
  <c r="E532" i="2"/>
  <c r="E110" i="2"/>
  <c r="E320" i="2"/>
  <c r="E666" i="2"/>
  <c r="E386" i="2"/>
  <c r="E253" i="2"/>
  <c r="E192" i="2"/>
  <c r="E75" i="2"/>
  <c r="E30" i="2"/>
  <c r="E509" i="2"/>
  <c r="E368" i="2"/>
  <c r="E295" i="2"/>
  <c r="E591" i="2"/>
  <c r="E173" i="2"/>
  <c r="E626" i="2"/>
  <c r="E497" i="2"/>
  <c r="E17" i="2"/>
  <c r="E411" i="2"/>
  <c r="E621" i="2"/>
  <c r="E599" i="2"/>
  <c r="E633" i="2"/>
  <c r="E333" i="2"/>
  <c r="E418" i="2"/>
  <c r="E346" i="2"/>
  <c r="E484" i="2"/>
  <c r="E274" i="2"/>
  <c r="E423" i="2"/>
  <c r="E558" i="2"/>
  <c r="E56" i="2"/>
  <c r="E123" i="2"/>
  <c r="E248" i="2"/>
  <c r="E656" i="2"/>
  <c r="E750" i="2"/>
  <c r="E35" i="2"/>
  <c r="E310" i="2"/>
  <c r="E465" i="2"/>
  <c r="E581" i="2"/>
  <c r="E41" i="2"/>
  <c r="E316" i="2"/>
  <c r="E555" i="2"/>
  <c r="E745" i="2"/>
  <c r="E76" i="2"/>
  <c r="E83" i="2"/>
  <c r="E237" i="2"/>
  <c r="E139" i="2"/>
  <c r="E481" i="2"/>
  <c r="E298" i="2"/>
  <c r="E458" i="2"/>
  <c r="E408" i="2"/>
  <c r="E349" i="2"/>
  <c r="E72" i="2"/>
  <c r="E642" i="2"/>
  <c r="E84" i="2"/>
  <c r="E439" i="2"/>
  <c r="E426" i="2"/>
  <c r="E434" i="2"/>
  <c r="E650" i="2"/>
  <c r="E337" i="2"/>
  <c r="E217" i="2"/>
  <c r="E531" i="2"/>
  <c r="E420" i="2"/>
  <c r="E571" i="2"/>
  <c r="E55" i="2"/>
  <c r="E416" i="2"/>
  <c r="E82" i="2"/>
  <c r="E461" i="2"/>
  <c r="E570" i="2"/>
  <c r="E488" i="2"/>
  <c r="E218" i="2"/>
  <c r="E282" i="2"/>
  <c r="E610" i="2"/>
  <c r="E639" i="2"/>
  <c r="E258" i="2"/>
  <c r="E665" i="2"/>
  <c r="E205" i="2"/>
  <c r="E266" i="2"/>
  <c r="E119" i="2"/>
  <c r="E529" i="2"/>
  <c r="E360" i="2"/>
  <c r="E373" i="2"/>
  <c r="E535" i="2"/>
  <c r="E200" i="2"/>
  <c r="E63" i="2"/>
  <c r="E170" i="2"/>
  <c r="E121" i="2"/>
  <c r="E347" i="2"/>
  <c r="E336" i="2"/>
  <c r="E560" i="2"/>
  <c r="E557" i="2"/>
  <c r="E120" i="2"/>
  <c r="E514" i="2"/>
  <c r="E485" i="2"/>
  <c r="E582" i="2"/>
  <c r="E520" i="2"/>
  <c r="E104" i="2"/>
  <c r="E78" i="2"/>
  <c r="E322" i="2"/>
  <c r="E228" i="2"/>
  <c r="E141" i="2"/>
  <c r="E563" i="2"/>
  <c r="E504" i="2"/>
  <c r="E6" i="2"/>
  <c r="E592" i="2"/>
  <c r="E15" i="2"/>
  <c r="E618" i="2"/>
  <c r="E29" i="2"/>
  <c r="E655" i="2"/>
  <c r="E496" i="2"/>
  <c r="E300" i="2"/>
  <c r="E362" i="2"/>
  <c r="E12" i="2"/>
  <c r="E145" i="2"/>
  <c r="E422" i="2"/>
  <c r="E249" i="2"/>
  <c r="E594" i="2"/>
  <c r="E130" i="2"/>
  <c r="E524" i="2"/>
  <c r="E11" i="2"/>
  <c r="E549" i="2"/>
  <c r="E522" i="2"/>
  <c r="E156" i="2"/>
  <c r="E508" i="2"/>
  <c r="E654" i="2"/>
  <c r="E149" i="2"/>
  <c r="E240" i="2"/>
  <c r="E352" i="2"/>
  <c r="E648" i="2"/>
  <c r="E548" i="2"/>
  <c r="E100" i="2"/>
  <c r="E447" i="2"/>
  <c r="E583" i="2"/>
  <c r="E209" i="2"/>
  <c r="E402" i="2"/>
  <c r="E527" i="2"/>
  <c r="E359" i="2"/>
  <c r="E191" i="2"/>
  <c r="E304" i="2"/>
  <c r="E47" i="2"/>
  <c r="E566" i="2"/>
  <c r="E126" i="2"/>
  <c r="E58" i="2"/>
  <c r="E175" i="2"/>
  <c r="E199" i="2"/>
  <c r="E20" i="2"/>
  <c r="E185" i="2"/>
  <c r="E569" i="2"/>
  <c r="E96" i="2"/>
  <c r="E246" i="2"/>
  <c r="E212" i="2"/>
  <c r="E538" i="2"/>
  <c r="E399" i="2"/>
  <c r="E612" i="2"/>
  <c r="E568" i="2"/>
  <c r="E441" i="2"/>
  <c r="E260" i="2"/>
  <c r="E657" i="2"/>
  <c r="E513" i="2"/>
  <c r="E589" i="2"/>
  <c r="E261" i="2"/>
  <c r="E77" i="2"/>
  <c r="E59" i="2"/>
  <c r="E207" i="2"/>
  <c r="E588" i="2"/>
  <c r="E444" i="2"/>
  <c r="E604" i="2"/>
  <c r="E219" i="2"/>
  <c r="E586" i="2"/>
  <c r="E435" i="2"/>
  <c r="E169" i="2"/>
  <c r="E459" i="2"/>
  <c r="E309" i="2"/>
  <c r="E211" i="2"/>
  <c r="E578" i="2"/>
  <c r="E400" i="2"/>
  <c r="E517" i="2"/>
  <c r="E305" i="2"/>
  <c r="E233" i="2"/>
  <c r="E8" i="2"/>
  <c r="E375" i="2"/>
  <c r="E334" i="2"/>
  <c r="E551" i="2"/>
  <c r="E619" i="2"/>
  <c r="E131" i="2"/>
  <c r="E327" i="2"/>
  <c r="E42" i="2"/>
  <c r="E381" i="2"/>
  <c r="E515" i="2"/>
  <c r="E477" i="2"/>
  <c r="E87" i="2"/>
  <c r="E603" i="2"/>
  <c r="E116" i="2"/>
  <c r="E257" i="2"/>
  <c r="E530" i="2"/>
  <c r="E472" i="2"/>
  <c r="E503" i="2"/>
  <c r="E225" i="2"/>
  <c r="E468" i="2"/>
  <c r="E348" i="2"/>
  <c r="E285" i="2"/>
  <c r="E268" i="2"/>
  <c r="E510" i="2"/>
  <c r="E516" i="2"/>
  <c r="E539" i="2"/>
  <c r="E429" i="2"/>
  <c r="E308" i="2"/>
  <c r="E385" i="2"/>
  <c r="E270" i="2"/>
  <c r="E536" i="2"/>
  <c r="E456" i="2"/>
  <c r="E264" i="2"/>
  <c r="E7" i="2"/>
  <c r="E301" i="2"/>
  <c r="E587" i="2"/>
  <c r="E107" i="2"/>
  <c r="E343" i="2"/>
  <c r="E172" i="2"/>
  <c r="E617" i="2"/>
  <c r="E321" i="2"/>
  <c r="E213" i="2"/>
  <c r="E567" i="2"/>
  <c r="E572" i="2"/>
  <c r="E615" i="2"/>
  <c r="E60" i="2"/>
  <c r="E627" i="2"/>
  <c r="E26" i="2"/>
  <c r="E271" i="2"/>
  <c r="E660" i="2"/>
  <c r="E460" i="2"/>
  <c r="E469" i="2"/>
  <c r="E155" i="2"/>
  <c r="E593" i="2"/>
  <c r="E466" i="2"/>
  <c r="E662" i="2"/>
  <c r="E287" i="2"/>
  <c r="E431" i="2"/>
  <c r="E342" i="2"/>
  <c r="E641" i="2"/>
  <c r="E325" i="2"/>
  <c r="E556" i="2"/>
  <c r="E193" i="2"/>
  <c r="E602" i="2"/>
  <c r="E161" i="2"/>
  <c r="E73" i="2"/>
  <c r="E323" i="2"/>
  <c r="E262" i="2"/>
  <c r="E317" i="2"/>
  <c r="E651" i="2"/>
  <c r="E392" i="2"/>
  <c r="E605" i="2"/>
  <c r="E415" i="2"/>
  <c r="E564" i="2"/>
  <c r="E138" i="2"/>
  <c r="E351" i="2"/>
  <c r="E229" i="2"/>
  <c r="E644" i="2"/>
  <c r="E450" i="2"/>
  <c r="E202" i="2"/>
  <c r="E519" i="2"/>
  <c r="E95" i="2"/>
  <c r="E28" i="2"/>
  <c r="E165" i="2"/>
  <c r="E293" i="2"/>
  <c r="E540" i="2"/>
  <c r="E372" i="2"/>
  <c r="E135" i="2"/>
  <c r="E377" i="2"/>
  <c r="E32" i="2"/>
  <c r="E590" i="2"/>
  <c r="E577" i="2"/>
  <c r="E54" i="2"/>
  <c r="E57" i="2"/>
  <c r="E132" i="2"/>
  <c r="E122" i="2"/>
  <c r="E273" i="2"/>
  <c r="E330" i="2"/>
  <c r="E646" i="2"/>
  <c r="E296" i="2"/>
  <c r="E81" i="2"/>
  <c r="E491" i="2"/>
  <c r="E502" i="2"/>
  <c r="E303" i="2"/>
  <c r="E241" i="2"/>
  <c r="E223" i="2"/>
  <c r="E277" i="2"/>
  <c r="E611" i="2"/>
  <c r="E158" i="2"/>
  <c r="E86" i="2"/>
  <c r="E105" i="2"/>
  <c r="E663" i="2"/>
  <c r="E306" i="2"/>
  <c r="E171" i="2"/>
  <c r="E606" i="2"/>
  <c r="E552" i="2"/>
  <c r="E140" i="2"/>
  <c r="E312" i="2"/>
  <c r="E534" i="2"/>
  <c r="E3" i="2"/>
  <c r="E290" i="2"/>
  <c r="E608" i="2"/>
  <c r="E636" i="2"/>
  <c r="E632" i="2"/>
  <c r="E653" i="2"/>
  <c r="E364" i="2"/>
  <c r="E404" i="2"/>
  <c r="E101" i="2"/>
  <c r="E152" i="2"/>
  <c r="E159" i="2"/>
  <c r="E425" i="2"/>
  <c r="E53" i="2"/>
  <c r="E505" i="2"/>
  <c r="E494" i="2"/>
  <c r="E751" i="2"/>
  <c r="E631" i="2"/>
  <c r="E5" i="2"/>
  <c r="E645" i="2"/>
  <c r="E620" i="2"/>
  <c r="E451" i="2"/>
  <c r="E71" i="2"/>
  <c r="E482" i="2"/>
  <c r="E370" i="2"/>
  <c r="E543" i="2"/>
  <c r="E16" i="2"/>
  <c r="E388" i="2"/>
  <c r="E495" i="2"/>
  <c r="E33" i="2"/>
  <c r="E437" i="2"/>
  <c r="E335" i="2"/>
  <c r="E31" i="2"/>
  <c r="E500" i="2"/>
  <c r="E239" i="2"/>
  <c r="E166" i="2"/>
  <c r="E414" i="2"/>
  <c r="E146" i="2"/>
  <c r="E19" i="2"/>
  <c r="E286" i="2"/>
  <c r="E445" i="2"/>
  <c r="E424" i="2"/>
  <c r="E23" i="2"/>
  <c r="E746" i="2"/>
  <c r="E234" i="2"/>
  <c r="E467" i="2"/>
  <c r="E189" i="2"/>
  <c r="E319" i="2"/>
  <c r="E176" i="2"/>
  <c r="E208" i="2"/>
  <c r="E136" i="2"/>
  <c r="E623" i="2"/>
  <c r="E180" i="2"/>
  <c r="E307" i="2"/>
  <c r="E162" i="2"/>
  <c r="E164" i="2"/>
  <c r="E471" i="2"/>
  <c r="E184" i="2"/>
  <c r="E292" i="2"/>
  <c r="E250" i="2"/>
  <c r="E575" i="2"/>
  <c r="E27" i="2"/>
  <c r="E91" i="2"/>
  <c r="E143" i="2"/>
  <c r="E433" i="2"/>
  <c r="E584" i="2"/>
  <c r="E480" i="2"/>
  <c r="E98" i="2"/>
  <c r="E40" i="2"/>
  <c r="E419" i="2"/>
  <c r="E133" i="2"/>
  <c r="E331" i="2"/>
  <c r="E492" i="2"/>
  <c r="E470" i="2"/>
  <c r="E103" i="2"/>
  <c r="E181" i="2"/>
  <c r="E643" i="2"/>
  <c r="E747" i="2"/>
  <c r="E537" i="2"/>
  <c r="E363" i="2"/>
  <c r="E430" i="2"/>
  <c r="E97" i="2"/>
  <c r="E127" i="2"/>
  <c r="E220" i="2"/>
  <c r="E102" i="2"/>
  <c r="E382" i="2"/>
  <c r="E14" i="2"/>
  <c r="E544" i="2"/>
  <c r="E134" i="2"/>
  <c r="E329" i="2"/>
  <c r="E371" i="2"/>
  <c r="E244" i="2"/>
  <c r="E595" i="2"/>
  <c r="E478" i="2"/>
  <c r="E50" i="2"/>
  <c r="E473" i="2"/>
  <c r="E45" i="2"/>
  <c r="E403" i="2"/>
  <c r="E391" i="2"/>
  <c r="E221" i="2"/>
  <c r="E487" i="2"/>
  <c r="E383" i="2"/>
  <c r="E255" i="2"/>
  <c r="E49" i="2"/>
  <c r="E194" i="2"/>
  <c r="E499" i="2"/>
  <c r="E150" i="2"/>
  <c r="E661" i="2"/>
  <c r="E341" i="2"/>
  <c r="E236" i="2"/>
  <c r="E638" i="2"/>
  <c r="E511" i="2"/>
  <c r="E463" i="2"/>
  <c r="E576" i="2"/>
  <c r="E188" i="2"/>
  <c r="E748" i="2"/>
  <c r="E345" i="2"/>
  <c r="E43" i="2"/>
  <c r="E412" i="2"/>
  <c r="E396" i="2"/>
  <c r="E125" i="2"/>
  <c r="E69" i="2"/>
  <c r="E197" i="2"/>
  <c r="E476" i="2"/>
  <c r="E407" i="2"/>
  <c r="E36" i="2"/>
  <c r="E453" i="2"/>
  <c r="E256" i="2"/>
  <c r="E545" i="2"/>
  <c r="E118" i="2"/>
  <c r="E280" i="2"/>
  <c r="E201" i="2"/>
  <c r="E542" i="2"/>
  <c r="E528" i="2"/>
  <c r="E457" i="2"/>
  <c r="E283" i="2"/>
  <c r="E446" i="2"/>
  <c r="E635" i="2"/>
  <c r="E616" i="2"/>
  <c r="E186" i="2"/>
  <c r="E550" i="2"/>
  <c r="E297" i="2"/>
  <c r="E44" i="2"/>
  <c r="E318" i="2"/>
  <c r="E278" i="2"/>
  <c r="E177" i="2"/>
  <c r="E454" i="2"/>
  <c r="E339" i="2"/>
  <c r="E598" i="2"/>
  <c r="E124" i="2"/>
  <c r="E92" i="2"/>
  <c r="E252" i="2"/>
  <c r="E61" i="2"/>
  <c r="E628" i="2"/>
  <c r="E235" i="2"/>
  <c r="E302" i="2"/>
  <c r="E585" i="2"/>
  <c r="E379" i="2"/>
  <c r="E559" i="2"/>
  <c r="E462" i="2"/>
  <c r="E174" i="2"/>
  <c r="E263" i="2"/>
  <c r="E21" i="2"/>
  <c r="E314" i="2"/>
  <c r="E387" i="2"/>
  <c r="E183" i="2"/>
  <c r="E167" i="2"/>
  <c r="E51" i="2"/>
  <c r="E222" i="2"/>
  <c r="E398" i="2"/>
  <c r="E142" i="2"/>
  <c r="E215" i="2"/>
  <c r="E276" i="2"/>
  <c r="E442" i="2"/>
  <c r="E547" i="2"/>
  <c r="E474" i="2"/>
  <c r="E521" i="2"/>
  <c r="E629" i="2"/>
  <c r="E367" i="2"/>
  <c r="E114" i="2"/>
  <c r="E22" i="2"/>
  <c r="E417" i="2"/>
  <c r="E129" i="2"/>
  <c r="E384" i="2"/>
  <c r="E52" i="2"/>
  <c r="E108" i="2"/>
  <c r="E365" i="2"/>
  <c r="E512" i="2"/>
  <c r="E579" i="2"/>
  <c r="E10" i="2"/>
  <c r="E9" i="2"/>
  <c r="E227" i="2"/>
  <c r="E25" i="2"/>
  <c r="E144" i="2"/>
  <c r="E366" i="2"/>
  <c r="E397" i="2"/>
  <c r="E243" i="2"/>
  <c r="E148" i="2"/>
  <c r="E224" i="2"/>
  <c r="E394" i="2"/>
  <c r="E79" i="2"/>
  <c r="E195" i="2"/>
  <c r="E501" i="2"/>
  <c r="E390" i="2"/>
  <c r="E313" i="2"/>
  <c r="E436" i="2"/>
  <c r="E269" i="2"/>
  <c r="E37" i="2"/>
  <c r="E328" i="2"/>
  <c r="E596" i="2"/>
  <c r="E115" i="2"/>
  <c r="E315" i="2"/>
  <c r="E85" i="2"/>
  <c r="E147" i="2"/>
  <c r="E369" i="2"/>
  <c r="E182" i="2"/>
  <c r="E376" i="2"/>
  <c r="E251" i="2"/>
  <c r="E245" i="2"/>
  <c r="E344" i="2"/>
  <c r="E168" i="2"/>
  <c r="E18" i="2"/>
  <c r="E448" i="2"/>
  <c r="E214" i="2"/>
  <c r="E421" i="2"/>
  <c r="E204" i="2"/>
  <c r="E39" i="2"/>
  <c r="E154" i="2"/>
  <c r="E600" i="2"/>
  <c r="E232" i="2"/>
  <c r="E311" i="2"/>
  <c r="E259" i="2"/>
  <c r="E338" i="2"/>
  <c r="E288" i="2"/>
  <c r="E640" i="2"/>
  <c r="E498" i="2"/>
  <c r="E90" i="2"/>
  <c r="E438" i="2"/>
  <c r="E4" i="2"/>
  <c r="E80" i="2"/>
  <c r="E565" i="2"/>
  <c r="E443" i="2"/>
  <c r="E541" i="2"/>
  <c r="E163" i="2"/>
  <c r="E326" i="2"/>
  <c r="E354" i="2"/>
  <c r="E66" i="2"/>
  <c r="E238" i="2"/>
  <c r="E401" i="2"/>
  <c r="E272" i="2"/>
  <c r="E613" i="2"/>
  <c r="E153" i="2"/>
  <c r="E216" i="2"/>
  <c r="E267" i="2"/>
  <c r="E389" i="2"/>
  <c r="E667" i="2"/>
  <c r="E242" i="2"/>
  <c r="E601" i="2"/>
  <c r="E65" i="2"/>
  <c r="E356" i="2"/>
  <c r="E291" i="2"/>
  <c r="E254" i="2"/>
  <c r="E361" i="2"/>
  <c r="E546" i="2"/>
  <c r="E609" i="2"/>
  <c r="E24" i="2"/>
  <c r="E203" i="2"/>
  <c r="E93" i="2"/>
  <c r="E294" i="2"/>
  <c r="E669" i="2"/>
  <c r="E749" i="2"/>
  <c r="E38" i="2"/>
  <c r="E247" i="2"/>
  <c r="E614" i="2"/>
  <c r="E668" i="2"/>
  <c r="E106" i="2"/>
  <c r="E664" i="2"/>
  <c r="E265" i="2"/>
  <c r="E580" i="2"/>
  <c r="E99" i="2"/>
  <c r="E332" i="2"/>
  <c r="E486" i="2"/>
  <c r="E275" i="2"/>
  <c r="E658" i="2"/>
  <c r="E350" i="2"/>
  <c r="E409" i="2"/>
  <c r="E630" i="2"/>
  <c r="E46" i="2"/>
  <c r="E210" i="2"/>
  <c r="E405" i="2"/>
  <c r="E112" i="2"/>
  <c r="E279" i="2"/>
  <c r="E506" i="2"/>
  <c r="E179" i="2"/>
  <c r="E231" i="2"/>
  <c r="E13" i="2"/>
  <c r="E413" i="2"/>
  <c r="E48" i="2"/>
  <c r="E483" i="2"/>
  <c r="E452" i="2"/>
  <c r="E432" i="2"/>
  <c r="E518" i="2"/>
  <c r="E178" i="2"/>
  <c r="E489" i="2"/>
  <c r="E137" i="2"/>
  <c r="E493" i="2"/>
  <c r="E284" i="2"/>
  <c r="E523" i="2"/>
  <c r="E490" i="2"/>
  <c r="E525" i="2"/>
  <c r="E395" i="2"/>
  <c r="E464" i="2"/>
  <c r="E111" i="2"/>
  <c r="E406" i="2"/>
  <c r="E70" i="2"/>
  <c r="E533" i="2"/>
  <c r="E324" i="2"/>
  <c r="E659" i="2"/>
  <c r="E157" i="2"/>
  <c r="E410" i="2"/>
  <c r="E357" i="2"/>
  <c r="E574" i="2"/>
  <c r="E622" i="2"/>
  <c r="E198" i="2"/>
  <c r="E449" i="2"/>
  <c r="E230" i="2"/>
  <c r="E74" i="2"/>
  <c r="E625" i="2"/>
  <c r="E88" i="2"/>
  <c r="E455" i="2"/>
  <c r="E340" i="2"/>
  <c r="E353" i="2"/>
  <c r="E624" i="2"/>
  <c r="E113" i="2"/>
  <c r="E649" i="2"/>
  <c r="E299" i="2"/>
  <c r="E652" i="2"/>
  <c r="E94" i="2"/>
  <c r="E67" i="2"/>
  <c r="E289" i="2"/>
  <c r="E647" i="2"/>
  <c r="E479" i="2"/>
  <c r="E68" i="2"/>
  <c r="E562" i="2"/>
  <c r="E281" i="2"/>
  <c r="E117" i="2"/>
  <c r="E378" i="2"/>
  <c r="E393" i="2"/>
  <c r="E573" i="2"/>
  <c r="E380" i="2"/>
  <c r="E190" i="2"/>
  <c r="E637" i="2"/>
  <c r="E206" i="2"/>
  <c r="E358" i="2"/>
  <c r="E226" i="2"/>
  <c r="E34" i="2"/>
  <c r="E374" i="2"/>
  <c r="E475" i="2"/>
  <c r="E440" i="2"/>
  <c r="E553" i="2"/>
  <c r="E561" i="2"/>
  <c r="E634" i="2"/>
  <c r="E554" i="2"/>
  <c r="E196" i="2"/>
  <c r="E89" i="2"/>
  <c r="E64" i="2"/>
  <c r="E109" i="2"/>
  <c r="E187" i="2"/>
  <c r="E526" i="2"/>
  <c r="E62" i="2"/>
  <c r="E507" i="2"/>
  <c r="E607" i="2"/>
  <c r="E597" i="2"/>
  <c r="D13" i="2" l="1"/>
  <c r="D49" i="2" s="1"/>
  <c r="D86" i="2" s="1"/>
  <c r="D24" i="2"/>
  <c r="D61" i="2" s="1"/>
  <c r="D48" i="2"/>
  <c r="D85" i="2" s="1"/>
  <c r="E7" i="3" l="1"/>
  <c r="E6" i="3"/>
  <c r="D37" i="2"/>
  <c r="D74" i="2" s="1"/>
  <c r="D25" i="2"/>
  <c r="D62" i="2" s="1"/>
  <c r="E5" i="3" l="1"/>
  <c r="E4" i="3"/>
  <c r="E11" i="3"/>
  <c r="G42" i="3" s="1"/>
  <c r="E56" i="3" l="1"/>
  <c r="E42" i="3"/>
  <c r="E44" i="3" s="1"/>
  <c r="G36" i="3"/>
  <c r="E36" i="3" l="1"/>
  <c r="E24" i="3"/>
  <c r="E12" i="3"/>
  <c r="E43" i="3" l="1"/>
  <c r="E45" i="3" s="1"/>
</calcChain>
</file>

<file path=xl/sharedStrings.xml><?xml version="1.0" encoding="utf-8"?>
<sst xmlns="http://schemas.openxmlformats.org/spreadsheetml/2006/main" count="3497" uniqueCount="1056">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</sst>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2" fillId="7" borderId="0" xfId="0" applyFont="1" applyFill="1"/>
    <xf numFmtId="165" fontId="0" fillId="7" borderId="0" xfId="1" applyNumberFormat="1" applyFont="1" applyFill="1"/>
    <xf numFmtId="0" fontId="0" fillId="7" borderId="0" xfId="0" applyFill="1"/>
    <xf numFmtId="1" fontId="0" fillId="7" borderId="0" xfId="0" applyNumberFormat="1" applyFill="1"/>
    <xf numFmtId="0" fontId="2" fillId="0" borderId="0" xfId="0" applyFont="1"/>
    <xf numFmtId="1" fontId="2" fillId="0" borderId="0" xfId="1" applyNumberFormat="1" applyFont="1" applyFill="1" applyBorder="1"/>
    <xf numFmtId="164" fontId="2" fillId="0" borderId="0" xfId="1" applyNumberFormat="1" applyFont="1" applyFill="1" applyBorder="1"/>
    <xf numFmtId="10" fontId="2" fillId="0" borderId="0" xfId="1" applyNumberFormat="1" applyFont="1" applyFill="1" applyBorder="1"/>
    <xf numFmtId="9" fontId="2" fillId="0" borderId="0" xfId="1" applyFont="1" applyFill="1" applyBorder="1"/>
    <xf numFmtId="0" fontId="2" fillId="0" borderId="0" xfId="1" applyNumberFormat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10" fontId="0" fillId="0" borderId="0" xfId="1" applyNumberFormat="1" applyFont="1" applyFill="1"/>
    <xf numFmtId="166" fontId="0" fillId="0" borderId="0" xfId="1" applyNumberFormat="1" applyFont="1" applyFill="1"/>
    <xf numFmtId="0" fontId="0" fillId="0" borderId="0" xfId="1" applyNumberFormat="1" applyFont="1" applyFill="1"/>
    <xf numFmtId="0" fontId="2" fillId="0" borderId="0" xfId="0" applyFont="1" applyAlignment="1">
      <alignment wrapText="1"/>
    </xf>
    <xf numFmtId="0" fontId="7" fillId="0" borderId="0" xfId="0" applyFont="1"/>
    <xf numFmtId="165" fontId="0" fillId="0" borderId="0" xfId="0" applyNumberFormat="1"/>
    <xf numFmtId="0" fontId="9" fillId="0" borderId="0" xfId="0" applyFont="1" applyAlignment="1">
      <alignment horizontal="left" vertical="center" indent="5"/>
    </xf>
    <xf numFmtId="167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Y140"/>
  <sheetViews>
    <sheetView tabSelected="1" topLeftCell="D1" zoomScale="85" zoomScaleNormal="85" workbookViewId="0">
      <selection activeCell="J6" sqref="J6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55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55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</row>
    <row r="3" spans="1:155" s="11" customFormat="1" x14ac:dyDescent="0.3">
      <c r="A3"/>
      <c r="B3" s="21" t="s">
        <v>988</v>
      </c>
      <c r="C3" t="s">
        <v>17</v>
      </c>
      <c r="D3" s="21" t="s">
        <v>989</v>
      </c>
      <c r="E3" s="22">
        <v>645273</v>
      </c>
      <c r="F3" s="21" t="s">
        <v>10</v>
      </c>
      <c r="G3" s="21">
        <v>0</v>
      </c>
      <c r="H3" s="21">
        <v>60000000</v>
      </c>
      <c r="I3" s="21" t="s">
        <v>26</v>
      </c>
      <c r="J3" s="21" t="s">
        <v>10</v>
      </c>
      <c r="K3" s="21" t="s">
        <v>989</v>
      </c>
      <c r="L3" s="21" t="s">
        <v>987</v>
      </c>
      <c r="M3" s="21" t="s">
        <v>245</v>
      </c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</row>
    <row r="4" spans="1:155" s="11" customFormat="1" x14ac:dyDescent="0.3">
      <c r="A4"/>
      <c r="B4" s="21" t="s">
        <v>988</v>
      </c>
      <c r="C4" t="s">
        <v>17</v>
      </c>
      <c r="D4" s="21" t="s">
        <v>246</v>
      </c>
      <c r="E4" s="23">
        <v>3.9</v>
      </c>
      <c r="F4" s="21" t="s">
        <v>10</v>
      </c>
      <c r="G4" s="21">
        <v>0</v>
      </c>
      <c r="H4" s="21">
        <v>20</v>
      </c>
      <c r="I4" s="21" t="s">
        <v>29</v>
      </c>
      <c r="J4" s="21" t="s">
        <v>9</v>
      </c>
      <c r="K4" s="21" t="s">
        <v>246</v>
      </c>
      <c r="L4" s="21" t="s">
        <v>987</v>
      </c>
      <c r="M4" s="21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</row>
    <row r="5" spans="1:155" s="11" customFormat="1" x14ac:dyDescent="0.3">
      <c r="A5"/>
      <c r="B5" s="21" t="s">
        <v>988</v>
      </c>
      <c r="C5" t="s">
        <v>17</v>
      </c>
      <c r="D5" s="21" t="s">
        <v>34</v>
      </c>
      <c r="E5" s="24">
        <v>2.9999999999999997E-4</v>
      </c>
      <c r="F5" s="21" t="s">
        <v>10</v>
      </c>
      <c r="G5" s="21">
        <v>0</v>
      </c>
      <c r="H5" s="21">
        <v>1E-3</v>
      </c>
      <c r="I5" s="21" t="s">
        <v>105</v>
      </c>
      <c r="J5" s="21" t="s">
        <v>10</v>
      </c>
      <c r="K5" s="21" t="s">
        <v>34</v>
      </c>
      <c r="L5" s="21" t="s">
        <v>987</v>
      </c>
      <c r="M5" s="21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</row>
    <row r="6" spans="1:155" s="11" customFormat="1" x14ac:dyDescent="0.3">
      <c r="A6"/>
      <c r="B6" s="21" t="s">
        <v>988</v>
      </c>
      <c r="C6" t="s">
        <v>17</v>
      </c>
      <c r="D6" s="21" t="s">
        <v>33</v>
      </c>
      <c r="E6" s="24">
        <v>6.9999999999999999E-4</v>
      </c>
      <c r="F6" s="21" t="s">
        <v>10</v>
      </c>
      <c r="G6" s="21">
        <v>0</v>
      </c>
      <c r="H6" s="21">
        <v>2E-3</v>
      </c>
      <c r="I6" s="21" t="s">
        <v>105</v>
      </c>
      <c r="J6" s="21" t="s">
        <v>10</v>
      </c>
      <c r="K6" s="21" t="s">
        <v>33</v>
      </c>
      <c r="L6" s="21" t="s">
        <v>987</v>
      </c>
      <c r="M6" s="21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</row>
    <row r="7" spans="1:155" s="11" customFormat="1" x14ac:dyDescent="0.3">
      <c r="A7"/>
      <c r="B7" s="21" t="s">
        <v>988</v>
      </c>
      <c r="C7" s="21" t="s">
        <v>1051</v>
      </c>
      <c r="D7" s="21" t="s">
        <v>809</v>
      </c>
      <c r="E7" s="25">
        <v>0.2</v>
      </c>
      <c r="F7" s="21" t="s">
        <v>10</v>
      </c>
      <c r="G7" s="26">
        <v>0</v>
      </c>
      <c r="H7" s="26">
        <v>100</v>
      </c>
      <c r="I7" s="21" t="s">
        <v>27</v>
      </c>
      <c r="J7" s="21" t="s">
        <v>9</v>
      </c>
      <c r="K7" s="21" t="s">
        <v>1038</v>
      </c>
      <c r="L7" s="21" t="s">
        <v>987</v>
      </c>
      <c r="M7" s="21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</row>
    <row r="8" spans="1:155" s="11" customFormat="1" x14ac:dyDescent="0.3">
      <c r="A8"/>
      <c r="B8" s="21" t="s">
        <v>988</v>
      </c>
      <c r="C8" s="21" t="s">
        <v>1051</v>
      </c>
      <c r="D8" s="21" t="s">
        <v>144</v>
      </c>
      <c r="E8" s="25">
        <v>0.8</v>
      </c>
      <c r="F8" s="21" t="s">
        <v>9</v>
      </c>
      <c r="G8" s="21"/>
      <c r="H8" s="21"/>
      <c r="I8" s="21" t="s">
        <v>27</v>
      </c>
      <c r="J8" s="21" t="s">
        <v>9</v>
      </c>
      <c r="K8" s="21" t="s">
        <v>144</v>
      </c>
      <c r="L8" s="21" t="s">
        <v>987</v>
      </c>
      <c r="M8" s="21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</row>
    <row r="9" spans="1:155" s="11" customFormat="1" x14ac:dyDescent="0.3">
      <c r="A9"/>
      <c r="B9" s="21" t="s">
        <v>988</v>
      </c>
      <c r="C9" s="21" t="s">
        <v>1051</v>
      </c>
      <c r="D9" s="21" t="s">
        <v>145</v>
      </c>
      <c r="E9" s="25">
        <v>0.2</v>
      </c>
      <c r="F9" s="21" t="s">
        <v>9</v>
      </c>
      <c r="G9" s="21"/>
      <c r="H9" s="21"/>
      <c r="I9" s="21" t="s">
        <v>27</v>
      </c>
      <c r="J9" s="21" t="s">
        <v>9</v>
      </c>
      <c r="K9" s="21" t="s">
        <v>145</v>
      </c>
      <c r="L9" s="21" t="s">
        <v>987</v>
      </c>
      <c r="M9" s="21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</row>
    <row r="10" spans="1:155" s="11" customFormat="1" x14ac:dyDescent="0.3">
      <c r="A10"/>
      <c r="B10" s="21" t="s">
        <v>988</v>
      </c>
      <c r="C10" s="21" t="s">
        <v>1051</v>
      </c>
      <c r="D10" s="21" t="s">
        <v>811</v>
      </c>
      <c r="E10" s="24">
        <v>3.5000000000000003E-2</v>
      </c>
      <c r="F10" s="21" t="s">
        <v>10</v>
      </c>
      <c r="G10" s="21">
        <v>0</v>
      </c>
      <c r="H10" s="21">
        <v>100</v>
      </c>
      <c r="I10" s="21" t="s">
        <v>27</v>
      </c>
      <c r="J10" s="21" t="s">
        <v>9</v>
      </c>
      <c r="K10" s="21" t="s">
        <v>1039</v>
      </c>
      <c r="L10" s="21" t="s">
        <v>987</v>
      </c>
      <c r="M10" s="21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</row>
    <row r="11" spans="1:155" s="11" customFormat="1" x14ac:dyDescent="0.3">
      <c r="A11"/>
      <c r="B11" s="21" t="s">
        <v>988</v>
      </c>
      <c r="C11" s="21" t="s">
        <v>1052</v>
      </c>
      <c r="D11" s="21" t="s">
        <v>60</v>
      </c>
      <c r="E11" s="25">
        <v>0.2</v>
      </c>
      <c r="F11" s="21" t="s">
        <v>10</v>
      </c>
      <c r="G11" s="26">
        <v>0</v>
      </c>
      <c r="H11" s="26">
        <v>100</v>
      </c>
      <c r="I11" s="21" t="s">
        <v>27</v>
      </c>
      <c r="J11" s="21" t="s">
        <v>9</v>
      </c>
      <c r="K11" s="21" t="s">
        <v>60</v>
      </c>
      <c r="L11" s="21" t="s">
        <v>987</v>
      </c>
      <c r="M11" s="2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</row>
    <row r="12" spans="1:155" s="11" customFormat="1" x14ac:dyDescent="0.3">
      <c r="A12"/>
      <c r="B12" s="21" t="s">
        <v>988</v>
      </c>
      <c r="C12" s="21" t="s">
        <v>1052</v>
      </c>
      <c r="D12" s="21" t="s">
        <v>146</v>
      </c>
      <c r="E12" s="25">
        <v>0.8</v>
      </c>
      <c r="F12" s="21" t="s">
        <v>9</v>
      </c>
      <c r="G12" s="21"/>
      <c r="H12" s="21"/>
      <c r="I12" s="21" t="s">
        <v>27</v>
      </c>
      <c r="J12" s="21" t="s">
        <v>9</v>
      </c>
      <c r="K12" s="21" t="s">
        <v>146</v>
      </c>
      <c r="L12" s="21" t="s">
        <v>987</v>
      </c>
      <c r="M12" s="21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</row>
    <row r="13" spans="1:155" s="11" customFormat="1" x14ac:dyDescent="0.3">
      <c r="A13"/>
      <c r="B13" s="21" t="s">
        <v>988</v>
      </c>
      <c r="C13" s="21" t="s">
        <v>1052</v>
      </c>
      <c r="D13" s="21" t="s">
        <v>147</v>
      </c>
      <c r="E13" s="27">
        <v>0.2</v>
      </c>
      <c r="F13" s="21" t="s">
        <v>9</v>
      </c>
      <c r="G13"/>
      <c r="H13" s="21"/>
      <c r="I13" s="21" t="s">
        <v>27</v>
      </c>
      <c r="J13" s="21" t="s">
        <v>9</v>
      </c>
      <c r="K13" s="21" t="s">
        <v>147</v>
      </c>
      <c r="L13" s="21" t="s">
        <v>987</v>
      </c>
      <c r="M13" s="21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</row>
    <row r="14" spans="1:155" s="11" customFormat="1" x14ac:dyDescent="0.3">
      <c r="A14"/>
      <c r="B14" s="21" t="s">
        <v>988</v>
      </c>
      <c r="C14" s="21" t="s">
        <v>1052</v>
      </c>
      <c r="D14" s="21" t="s">
        <v>812</v>
      </c>
      <c r="E14" s="27">
        <v>0.1</v>
      </c>
      <c r="F14" s="21" t="s">
        <v>10</v>
      </c>
      <c r="G14" s="21">
        <v>0</v>
      </c>
      <c r="H14" s="21">
        <v>100</v>
      </c>
      <c r="I14" s="21" t="s">
        <v>27</v>
      </c>
      <c r="J14" s="21" t="s">
        <v>9</v>
      </c>
      <c r="K14" s="21" t="s">
        <v>1040</v>
      </c>
      <c r="L14" s="21" t="s">
        <v>987</v>
      </c>
      <c r="M14" s="21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</row>
    <row r="15" spans="1:155" s="11" customFormat="1" x14ac:dyDescent="0.3">
      <c r="A15"/>
      <c r="B15" s="21" t="s">
        <v>988</v>
      </c>
      <c r="C15" s="21" t="s">
        <v>18</v>
      </c>
      <c r="D15" s="21" t="s">
        <v>148</v>
      </c>
      <c r="E15" s="25">
        <v>0.05</v>
      </c>
      <c r="F15" s="21" t="s">
        <v>9</v>
      </c>
      <c r="G15" s="21"/>
      <c r="H15" s="21"/>
      <c r="I15" s="21" t="s">
        <v>27</v>
      </c>
      <c r="J15" s="21" t="s">
        <v>9</v>
      </c>
      <c r="K15" s="21" t="s">
        <v>1041</v>
      </c>
      <c r="L15" s="21" t="s">
        <v>987</v>
      </c>
      <c r="M15" s="21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</row>
    <row r="16" spans="1:155" s="11" customFormat="1" x14ac:dyDescent="0.3">
      <c r="A16"/>
      <c r="B16" s="21" t="s">
        <v>988</v>
      </c>
      <c r="C16" s="21" t="s">
        <v>18</v>
      </c>
      <c r="D16" s="21" t="s">
        <v>810</v>
      </c>
      <c r="E16" s="28">
        <v>0.05</v>
      </c>
      <c r="F16" s="21" t="s">
        <v>9</v>
      </c>
      <c r="G16"/>
      <c r="H16"/>
      <c r="I16" s="21" t="s">
        <v>27</v>
      </c>
      <c r="J16" s="21" t="s">
        <v>9</v>
      </c>
      <c r="K16" s="21" t="s">
        <v>1042</v>
      </c>
      <c r="L16" s="21" t="s">
        <v>987</v>
      </c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</row>
    <row r="17" spans="1:155" s="11" customFormat="1" x14ac:dyDescent="0.3">
      <c r="A17"/>
      <c r="B17" s="21" t="s">
        <v>988</v>
      </c>
      <c r="C17" s="21" t="s">
        <v>18</v>
      </c>
      <c r="D17" s="21" t="s">
        <v>20</v>
      </c>
      <c r="E17" s="29">
        <v>0.25</v>
      </c>
      <c r="F17" t="s">
        <v>9</v>
      </c>
      <c r="G17"/>
      <c r="H17"/>
      <c r="I17" t="s">
        <v>21</v>
      </c>
      <c r="J17" s="21" t="s">
        <v>9</v>
      </c>
      <c r="K17" s="21" t="s">
        <v>20</v>
      </c>
      <c r="L17" s="21" t="s">
        <v>987</v>
      </c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</row>
    <row r="18" spans="1:155" s="11" customFormat="1" x14ac:dyDescent="0.3">
      <c r="A18"/>
      <c r="B18" s="21" t="s">
        <v>988</v>
      </c>
      <c r="C18" s="21" t="s">
        <v>31</v>
      </c>
      <c r="D18" s="21" t="s">
        <v>22</v>
      </c>
      <c r="E18" s="29">
        <v>0.39600000000000002</v>
      </c>
      <c r="F18" t="s">
        <v>9</v>
      </c>
      <c r="G18"/>
      <c r="H18"/>
      <c r="I18" t="s">
        <v>28</v>
      </c>
      <c r="J18" s="21" t="s">
        <v>9</v>
      </c>
      <c r="K18" s="21" t="s">
        <v>22</v>
      </c>
      <c r="L18" s="21" t="s">
        <v>987</v>
      </c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</row>
    <row r="19" spans="1:155" s="11" customFormat="1" x14ac:dyDescent="0.3">
      <c r="A19"/>
      <c r="B19" s="21" t="s">
        <v>988</v>
      </c>
      <c r="C19" s="21" t="s">
        <v>19</v>
      </c>
      <c r="D19" s="21" t="s">
        <v>23</v>
      </c>
      <c r="E19" s="29">
        <v>0.65800000000000003</v>
      </c>
      <c r="F19" t="s">
        <v>9</v>
      </c>
      <c r="G19"/>
      <c r="H19"/>
      <c r="I19" t="s">
        <v>28</v>
      </c>
      <c r="J19" s="21" t="s">
        <v>9</v>
      </c>
      <c r="K19" s="21" t="s">
        <v>23</v>
      </c>
      <c r="L19" s="21" t="s">
        <v>987</v>
      </c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</row>
    <row r="20" spans="1:155" s="11" customFormat="1" x14ac:dyDescent="0.3">
      <c r="A20"/>
      <c r="B20" s="21" t="s">
        <v>988</v>
      </c>
      <c r="C20" s="21" t="s">
        <v>19</v>
      </c>
      <c r="D20" s="21" t="s">
        <v>24</v>
      </c>
      <c r="E20" s="29">
        <v>0.13300000000000001</v>
      </c>
      <c r="F20" t="s">
        <v>9</v>
      </c>
      <c r="G20"/>
      <c r="H20"/>
      <c r="I20" t="s">
        <v>28</v>
      </c>
      <c r="J20" s="21" t="s">
        <v>9</v>
      </c>
      <c r="K20" s="21" t="s">
        <v>24</v>
      </c>
      <c r="L20" s="21" t="s">
        <v>987</v>
      </c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</row>
    <row r="21" spans="1:155" s="11" customFormat="1" x14ac:dyDescent="0.3">
      <c r="A21"/>
      <c r="B21" s="21" t="s">
        <v>988</v>
      </c>
      <c r="C21" s="21" t="s">
        <v>235</v>
      </c>
      <c r="D21" s="17" t="s">
        <v>241</v>
      </c>
      <c r="E21" s="18">
        <f>1-E18</f>
        <v>0.60399999999999998</v>
      </c>
      <c r="F21" s="19" t="s">
        <v>9</v>
      </c>
      <c r="G21" s="19"/>
      <c r="H21" s="19"/>
      <c r="I21" s="19" t="s">
        <v>28</v>
      </c>
      <c r="J21" s="17" t="s">
        <v>9</v>
      </c>
      <c r="K21" s="17" t="s">
        <v>241</v>
      </c>
      <c r="L21" s="21" t="s">
        <v>987</v>
      </c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</row>
    <row r="22" spans="1:155" s="11" customFormat="1" x14ac:dyDescent="0.3">
      <c r="A22"/>
      <c r="B22" s="21" t="s">
        <v>988</v>
      </c>
      <c r="C22" s="21" t="s">
        <v>235</v>
      </c>
      <c r="D22" s="17" t="s">
        <v>242</v>
      </c>
      <c r="E22" s="18">
        <f>1-E19</f>
        <v>0.34199999999999997</v>
      </c>
      <c r="F22" s="19" t="s">
        <v>9</v>
      </c>
      <c r="G22" s="19"/>
      <c r="H22" s="19"/>
      <c r="I22" s="19" t="s">
        <v>28</v>
      </c>
      <c r="J22" s="17" t="s">
        <v>9</v>
      </c>
      <c r="K22" s="17" t="s">
        <v>242</v>
      </c>
      <c r="L22" s="21" t="s">
        <v>987</v>
      </c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</row>
    <row r="23" spans="1:155" s="11" customFormat="1" x14ac:dyDescent="0.3">
      <c r="A23"/>
      <c r="B23" s="21" t="s">
        <v>988</v>
      </c>
      <c r="C23" s="21" t="s">
        <v>235</v>
      </c>
      <c r="D23" s="17" t="s">
        <v>247</v>
      </c>
      <c r="E23" s="18">
        <f>1-E22</f>
        <v>0.65800000000000003</v>
      </c>
      <c r="F23" s="19" t="s">
        <v>9</v>
      </c>
      <c r="G23" s="19"/>
      <c r="H23" s="19"/>
      <c r="I23" s="19" t="s">
        <v>28</v>
      </c>
      <c r="J23" s="17" t="s">
        <v>9</v>
      </c>
      <c r="K23" s="17" t="s">
        <v>247</v>
      </c>
      <c r="L23" s="21" t="s">
        <v>987</v>
      </c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</row>
    <row r="24" spans="1:155" s="11" customFormat="1" x14ac:dyDescent="0.3">
      <c r="A24"/>
      <c r="B24" s="21" t="s">
        <v>988</v>
      </c>
      <c r="C24" s="21" t="s">
        <v>25</v>
      </c>
      <c r="D24" t="s">
        <v>109</v>
      </c>
      <c r="E24" s="30">
        <v>5.5</v>
      </c>
      <c r="F24" t="s">
        <v>10</v>
      </c>
      <c r="G24">
        <v>0</v>
      </c>
      <c r="H24">
        <v>20</v>
      </c>
      <c r="I24" t="s">
        <v>29</v>
      </c>
      <c r="J24" s="21" t="s">
        <v>9</v>
      </c>
      <c r="K24" t="s">
        <v>109</v>
      </c>
      <c r="L24" s="21" t="s">
        <v>987</v>
      </c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</row>
    <row r="25" spans="1:155" s="11" customFormat="1" x14ac:dyDescent="0.3">
      <c r="A25"/>
      <c r="B25" s="21" t="s">
        <v>988</v>
      </c>
      <c r="C25" s="21" t="s">
        <v>25</v>
      </c>
      <c r="D25" t="s">
        <v>108</v>
      </c>
      <c r="E25" s="30">
        <v>60</v>
      </c>
      <c r="F25" t="s">
        <v>9</v>
      </c>
      <c r="G25"/>
      <c r="H25"/>
      <c r="I25" t="s">
        <v>21</v>
      </c>
      <c r="J25" s="21" t="s">
        <v>9</v>
      </c>
      <c r="K25" t="s">
        <v>108</v>
      </c>
      <c r="L25" s="21" t="s">
        <v>987</v>
      </c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</row>
    <row r="26" spans="1:155" s="11" customFormat="1" x14ac:dyDescent="0.3">
      <c r="A26"/>
      <c r="B26" s="21" t="s">
        <v>988</v>
      </c>
      <c r="C26" s="21" t="s">
        <v>249</v>
      </c>
      <c r="D26" s="21" t="s">
        <v>251</v>
      </c>
      <c r="E26" s="31">
        <v>7172</v>
      </c>
      <c r="F26" t="s">
        <v>10</v>
      </c>
      <c r="G26">
        <v>0</v>
      </c>
      <c r="H26">
        <v>100000</v>
      </c>
      <c r="I26" t="s">
        <v>1043</v>
      </c>
      <c r="J26" t="s">
        <v>10</v>
      </c>
      <c r="K26" s="21" t="s">
        <v>251</v>
      </c>
      <c r="L26" s="21" t="s">
        <v>987</v>
      </c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</row>
    <row r="27" spans="1:155" s="11" customFormat="1" x14ac:dyDescent="0.3">
      <c r="A27"/>
      <c r="B27" s="21" t="s">
        <v>240</v>
      </c>
      <c r="C27" s="21" t="s">
        <v>249</v>
      </c>
      <c r="D27" s="21" t="s">
        <v>30</v>
      </c>
      <c r="E27" s="30">
        <v>0.5</v>
      </c>
      <c r="F27" s="21" t="s">
        <v>9</v>
      </c>
      <c r="G27"/>
      <c r="H27"/>
      <c r="I27" t="s">
        <v>28</v>
      </c>
      <c r="J27" t="s">
        <v>9</v>
      </c>
      <c r="K27" s="21" t="s">
        <v>30</v>
      </c>
      <c r="L27" s="21" t="s">
        <v>987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</row>
    <row r="28" spans="1:155" s="11" customFormat="1" x14ac:dyDescent="0.3">
      <c r="A28"/>
      <c r="B28" s="21" t="s">
        <v>988</v>
      </c>
      <c r="C28" s="21" t="s">
        <v>250</v>
      </c>
      <c r="D28" s="21" t="s">
        <v>237</v>
      </c>
      <c r="E28" s="31">
        <v>2217</v>
      </c>
      <c r="F28" s="21" t="s">
        <v>10</v>
      </c>
      <c r="G28">
        <v>0</v>
      </c>
      <c r="H28">
        <v>6000</v>
      </c>
      <c r="I28" t="s">
        <v>1043</v>
      </c>
      <c r="J28" t="s">
        <v>10</v>
      </c>
      <c r="K28" s="21" t="s">
        <v>1047</v>
      </c>
      <c r="L28" s="21" t="s">
        <v>987</v>
      </c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</row>
    <row r="29" spans="1:155" s="11" customFormat="1" x14ac:dyDescent="0.3">
      <c r="A29"/>
      <c r="B29" s="21" t="s">
        <v>988</v>
      </c>
      <c r="C29" s="21" t="s">
        <v>250</v>
      </c>
      <c r="D29" s="21" t="s">
        <v>238</v>
      </c>
      <c r="E29" s="31">
        <v>2217</v>
      </c>
      <c r="F29" s="21" t="s">
        <v>10</v>
      </c>
      <c r="G29">
        <v>0</v>
      </c>
      <c r="H29">
        <v>6000</v>
      </c>
      <c r="I29" t="s">
        <v>1043</v>
      </c>
      <c r="J29" t="s">
        <v>10</v>
      </c>
      <c r="K29" s="21" t="s">
        <v>1046</v>
      </c>
      <c r="L29" s="21" t="s">
        <v>987</v>
      </c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</row>
    <row r="30" spans="1:155" s="11" customFormat="1" x14ac:dyDescent="0.3">
      <c r="A30"/>
      <c r="B30" s="21" t="s">
        <v>240</v>
      </c>
      <c r="C30" s="21" t="s">
        <v>244</v>
      </c>
      <c r="D30" s="21" t="s">
        <v>243</v>
      </c>
      <c r="E30" s="32">
        <f>0.03</f>
        <v>0.03</v>
      </c>
      <c r="F30" s="21" t="s">
        <v>985</v>
      </c>
      <c r="G30"/>
      <c r="H30"/>
      <c r="I30" t="s">
        <v>29</v>
      </c>
      <c r="J30" t="s">
        <v>9</v>
      </c>
      <c r="K30" s="21" t="s">
        <v>243</v>
      </c>
      <c r="L30" s="21" t="s">
        <v>987</v>
      </c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</row>
    <row r="31" spans="1:155" s="11" customFormat="1" x14ac:dyDescent="0.3">
      <c r="A31"/>
      <c r="B31" s="21" t="s">
        <v>240</v>
      </c>
      <c r="C31" s="21" t="s">
        <v>102</v>
      </c>
      <c r="D31" s="21" t="s">
        <v>68</v>
      </c>
      <c r="E31" s="32">
        <v>1.03</v>
      </c>
      <c r="F31" s="21" t="s">
        <v>9</v>
      </c>
      <c r="G31"/>
      <c r="H31"/>
      <c r="I31" t="s">
        <v>26</v>
      </c>
      <c r="J31" t="s">
        <v>9</v>
      </c>
      <c r="K31" s="21" t="s">
        <v>68</v>
      </c>
      <c r="L31" s="21" t="s">
        <v>987</v>
      </c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</row>
    <row r="32" spans="1:155" s="11" customFormat="1" x14ac:dyDescent="0.3">
      <c r="A32"/>
      <c r="B32" s="21" t="s">
        <v>990</v>
      </c>
      <c r="C32" s="21" t="s">
        <v>104</v>
      </c>
      <c r="D32" s="21" t="s">
        <v>991</v>
      </c>
      <c r="E32" s="33">
        <v>7.0000000000000001E-3</v>
      </c>
      <c r="F32" s="21" t="s">
        <v>10</v>
      </c>
      <c r="G32">
        <v>0</v>
      </c>
      <c r="H32">
        <v>0.02</v>
      </c>
      <c r="I32" t="s">
        <v>105</v>
      </c>
      <c r="J32" t="s">
        <v>9</v>
      </c>
      <c r="K32" s="21" t="s">
        <v>1031</v>
      </c>
      <c r="L32" s="21" t="s">
        <v>987</v>
      </c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</row>
    <row r="33" spans="1:155" s="11" customFormat="1" x14ac:dyDescent="0.3">
      <c r="A33"/>
      <c r="B33" s="21" t="s">
        <v>990</v>
      </c>
      <c r="C33" s="21" t="s">
        <v>103</v>
      </c>
      <c r="D33" s="21" t="s">
        <v>992</v>
      </c>
      <c r="E33" s="33">
        <v>2.9999999999999997E-4</v>
      </c>
      <c r="F33" s="21" t="s">
        <v>10</v>
      </c>
      <c r="G33">
        <v>0</v>
      </c>
      <c r="H33">
        <v>2E-3</v>
      </c>
      <c r="I33" t="s">
        <v>105</v>
      </c>
      <c r="J33" t="s">
        <v>9</v>
      </c>
      <c r="K33" s="21" t="s">
        <v>1032</v>
      </c>
      <c r="L33" s="21" t="s">
        <v>987</v>
      </c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</row>
    <row r="34" spans="1:155" s="11" customFormat="1" x14ac:dyDescent="0.3">
      <c r="A34"/>
      <c r="B34" s="21" t="s">
        <v>990</v>
      </c>
      <c r="C34" s="21" t="s">
        <v>103</v>
      </c>
      <c r="D34" s="21" t="s">
        <v>993</v>
      </c>
      <c r="E34" s="33">
        <v>2.9999999999999997E-4</v>
      </c>
      <c r="F34" s="21" t="s">
        <v>10</v>
      </c>
      <c r="G34">
        <v>0</v>
      </c>
      <c r="H34">
        <v>2E-3</v>
      </c>
      <c r="I34" t="s">
        <v>105</v>
      </c>
      <c r="J34" t="s">
        <v>9</v>
      </c>
      <c r="K34" s="21" t="s">
        <v>1033</v>
      </c>
      <c r="L34" s="21" t="s">
        <v>987</v>
      </c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</row>
    <row r="35" spans="1:155" s="11" customFormat="1" x14ac:dyDescent="0.3">
      <c r="A35"/>
      <c r="B35" s="21" t="s">
        <v>990</v>
      </c>
      <c r="C35" s="21" t="s">
        <v>103</v>
      </c>
      <c r="D35" s="21" t="s">
        <v>994</v>
      </c>
      <c r="E35" s="33">
        <v>2.9999999999999997E-4</v>
      </c>
      <c r="F35" s="21" t="s">
        <v>10</v>
      </c>
      <c r="G35">
        <v>0</v>
      </c>
      <c r="H35">
        <v>2E-3</v>
      </c>
      <c r="I35" t="s">
        <v>105</v>
      </c>
      <c r="J35" t="s">
        <v>9</v>
      </c>
      <c r="K35" s="21" t="s">
        <v>1034</v>
      </c>
      <c r="L35" s="21" t="s">
        <v>987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</row>
    <row r="36" spans="1:155" s="11" customFormat="1" x14ac:dyDescent="0.3">
      <c r="A36"/>
      <c r="B36" s="21" t="s">
        <v>990</v>
      </c>
      <c r="C36" s="21" t="s">
        <v>103</v>
      </c>
      <c r="D36" s="21" t="s">
        <v>995</v>
      </c>
      <c r="E36" s="33">
        <v>1E-3</v>
      </c>
      <c r="F36" s="21" t="s">
        <v>10</v>
      </c>
      <c r="G36">
        <v>0</v>
      </c>
      <c r="H36">
        <v>0.02</v>
      </c>
      <c r="I36" t="s">
        <v>105</v>
      </c>
      <c r="J36" t="s">
        <v>9</v>
      </c>
      <c r="K36" s="21" t="s">
        <v>1035</v>
      </c>
      <c r="L36" s="21" t="s">
        <v>987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</row>
    <row r="37" spans="1:155" s="11" customFormat="1" x14ac:dyDescent="0.3">
      <c r="A37"/>
      <c r="B37" s="21" t="s">
        <v>990</v>
      </c>
      <c r="C37" s="21" t="s">
        <v>103</v>
      </c>
      <c r="D37" s="21" t="s">
        <v>996</v>
      </c>
      <c r="E37" s="33">
        <v>2E-3</v>
      </c>
      <c r="F37" s="21" t="s">
        <v>10</v>
      </c>
      <c r="G37">
        <v>0</v>
      </c>
      <c r="H37">
        <v>0.02</v>
      </c>
      <c r="I37" t="s">
        <v>105</v>
      </c>
      <c r="J37" t="s">
        <v>9</v>
      </c>
      <c r="K37" s="21" t="s">
        <v>1036</v>
      </c>
      <c r="L37" s="21" t="s">
        <v>987</v>
      </c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</row>
    <row r="38" spans="1:155" s="11" customFormat="1" x14ac:dyDescent="0.3">
      <c r="A38"/>
      <c r="B38" s="21" t="s">
        <v>990</v>
      </c>
      <c r="C38" s="21" t="s">
        <v>103</v>
      </c>
      <c r="D38" s="21" t="s">
        <v>997</v>
      </c>
      <c r="E38" s="33">
        <v>2E-3</v>
      </c>
      <c r="F38" s="21" t="s">
        <v>10</v>
      </c>
      <c r="G38">
        <v>0</v>
      </c>
      <c r="H38">
        <v>0.02</v>
      </c>
      <c r="I38" t="s">
        <v>105</v>
      </c>
      <c r="J38" t="s">
        <v>9</v>
      </c>
      <c r="K38" s="21" t="s">
        <v>1037</v>
      </c>
      <c r="L38" s="21" t="s">
        <v>987</v>
      </c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</row>
    <row r="39" spans="1:155" s="11" customFormat="1" x14ac:dyDescent="0.3">
      <c r="A39"/>
      <c r="B39" s="21" t="s">
        <v>990</v>
      </c>
      <c r="C39" s="21" t="s">
        <v>248</v>
      </c>
      <c r="D39" s="21" t="s">
        <v>253</v>
      </c>
      <c r="E39" s="28">
        <v>0.2</v>
      </c>
      <c r="F39" s="21" t="s">
        <v>9</v>
      </c>
      <c r="G39"/>
      <c r="H39"/>
      <c r="I39" t="s">
        <v>105</v>
      </c>
      <c r="J39" t="s">
        <v>9</v>
      </c>
      <c r="K39" s="21" t="s">
        <v>253</v>
      </c>
      <c r="L39" s="21" t="s">
        <v>987</v>
      </c>
      <c r="M39" s="21" t="s">
        <v>263</v>
      </c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</row>
    <row r="40" spans="1:155" s="11" customFormat="1" x14ac:dyDescent="0.3">
      <c r="A40"/>
      <c r="B40" s="21" t="s">
        <v>990</v>
      </c>
      <c r="C40" s="21" t="s">
        <v>248</v>
      </c>
      <c r="D40" s="21" t="s">
        <v>274</v>
      </c>
      <c r="E40" s="28">
        <v>0.2</v>
      </c>
      <c r="F40" s="21" t="s">
        <v>9</v>
      </c>
      <c r="G40"/>
      <c r="H40"/>
      <c r="I40" t="s">
        <v>105</v>
      </c>
      <c r="J40" t="s">
        <v>9</v>
      </c>
      <c r="K40" s="21" t="s">
        <v>274</v>
      </c>
      <c r="L40" s="21" t="s">
        <v>987</v>
      </c>
      <c r="M40" s="21" t="s">
        <v>264</v>
      </c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</row>
    <row r="41" spans="1:155" s="11" customFormat="1" x14ac:dyDescent="0.3">
      <c r="A41"/>
      <c r="B41" s="21" t="s">
        <v>990</v>
      </c>
      <c r="C41" s="21" t="s">
        <v>248</v>
      </c>
      <c r="D41" s="21" t="s">
        <v>254</v>
      </c>
      <c r="E41" s="28">
        <v>0.2</v>
      </c>
      <c r="F41" s="21" t="s">
        <v>9</v>
      </c>
      <c r="G41"/>
      <c r="H41"/>
      <c r="I41" t="s">
        <v>105</v>
      </c>
      <c r="J41" t="s">
        <v>9</v>
      </c>
      <c r="K41" s="21" t="s">
        <v>254</v>
      </c>
      <c r="L41" s="21" t="s">
        <v>987</v>
      </c>
      <c r="M41" s="21" t="s">
        <v>265</v>
      </c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</row>
    <row r="42" spans="1:155" s="11" customFormat="1" x14ac:dyDescent="0.3">
      <c r="A42"/>
      <c r="B42" s="21" t="s">
        <v>990</v>
      </c>
      <c r="C42" s="21" t="s">
        <v>248</v>
      </c>
      <c r="D42" s="21" t="s">
        <v>256</v>
      </c>
      <c r="E42" s="28">
        <v>0.2</v>
      </c>
      <c r="F42" s="21" t="s">
        <v>9</v>
      </c>
      <c r="G42"/>
      <c r="H42"/>
      <c r="I42" t="s">
        <v>105</v>
      </c>
      <c r="J42" t="s">
        <v>9</v>
      </c>
      <c r="K42" s="21" t="s">
        <v>256</v>
      </c>
      <c r="L42" s="21" t="s">
        <v>987</v>
      </c>
      <c r="M42" s="21" t="s">
        <v>266</v>
      </c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</row>
    <row r="43" spans="1:155" s="11" customFormat="1" x14ac:dyDescent="0.3">
      <c r="A43"/>
      <c r="B43" s="21" t="s">
        <v>990</v>
      </c>
      <c r="C43" s="21" t="s">
        <v>248</v>
      </c>
      <c r="D43" s="21" t="s">
        <v>255</v>
      </c>
      <c r="E43" s="28">
        <v>0.2</v>
      </c>
      <c r="F43" s="21" t="s">
        <v>9</v>
      </c>
      <c r="G43"/>
      <c r="H43"/>
      <c r="I43" t="s">
        <v>105</v>
      </c>
      <c r="J43" t="s">
        <v>9</v>
      </c>
      <c r="K43" s="21" t="s">
        <v>255</v>
      </c>
      <c r="L43" s="21" t="s">
        <v>987</v>
      </c>
      <c r="M43" s="21" t="s">
        <v>267</v>
      </c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</row>
    <row r="44" spans="1:155" s="11" customFormat="1" x14ac:dyDescent="0.3">
      <c r="A44"/>
      <c r="B44" s="21" t="s">
        <v>990</v>
      </c>
      <c r="C44" s="21" t="s">
        <v>248</v>
      </c>
      <c r="D44" s="21" t="s">
        <v>257</v>
      </c>
      <c r="E44" s="28">
        <v>0.2</v>
      </c>
      <c r="F44" s="21" t="s">
        <v>9</v>
      </c>
      <c r="G44"/>
      <c r="H44"/>
      <c r="I44" t="s">
        <v>105</v>
      </c>
      <c r="J44" t="s">
        <v>9</v>
      </c>
      <c r="K44" s="21" t="s">
        <v>257</v>
      </c>
      <c r="L44" s="21" t="s">
        <v>987</v>
      </c>
      <c r="M44" s="21" t="s">
        <v>268</v>
      </c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</row>
    <row r="45" spans="1:155" s="11" customFormat="1" x14ac:dyDescent="0.3">
      <c r="A45"/>
      <c r="B45" s="21" t="s">
        <v>990</v>
      </c>
      <c r="C45" s="21" t="s">
        <v>248</v>
      </c>
      <c r="D45" s="21" t="s">
        <v>258</v>
      </c>
      <c r="E45" s="28">
        <v>0.2</v>
      </c>
      <c r="F45" s="21" t="s">
        <v>9</v>
      </c>
      <c r="G45"/>
      <c r="H45"/>
      <c r="I45" t="s">
        <v>105</v>
      </c>
      <c r="J45" t="s">
        <v>9</v>
      </c>
      <c r="K45" s="21" t="s">
        <v>258</v>
      </c>
      <c r="L45" s="21" t="s">
        <v>987</v>
      </c>
      <c r="M45" s="21" t="s">
        <v>269</v>
      </c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</row>
    <row r="46" spans="1:155" s="11" customFormat="1" x14ac:dyDescent="0.3">
      <c r="A46"/>
      <c r="B46" s="21" t="s">
        <v>990</v>
      </c>
      <c r="C46" s="21" t="s">
        <v>248</v>
      </c>
      <c r="D46" s="21" t="s">
        <v>259</v>
      </c>
      <c r="E46" s="28">
        <v>0.2</v>
      </c>
      <c r="F46" s="21" t="s">
        <v>9</v>
      </c>
      <c r="G46"/>
      <c r="H46"/>
      <c r="I46" t="s">
        <v>105</v>
      </c>
      <c r="J46" t="s">
        <v>9</v>
      </c>
      <c r="K46" s="21" t="s">
        <v>259</v>
      </c>
      <c r="L46" s="21" t="s">
        <v>987</v>
      </c>
      <c r="M46" s="21" t="s">
        <v>270</v>
      </c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</row>
    <row r="47" spans="1:155" s="11" customFormat="1" x14ac:dyDescent="0.3">
      <c r="A47"/>
      <c r="B47" s="21" t="s">
        <v>990</v>
      </c>
      <c r="C47" s="21" t="s">
        <v>248</v>
      </c>
      <c r="D47" s="21" t="s">
        <v>260</v>
      </c>
      <c r="E47" s="28">
        <v>0.2</v>
      </c>
      <c r="F47" s="21" t="s">
        <v>9</v>
      </c>
      <c r="G47"/>
      <c r="H47"/>
      <c r="I47" t="s">
        <v>105</v>
      </c>
      <c r="J47" t="s">
        <v>9</v>
      </c>
      <c r="K47" s="21" t="s">
        <v>260</v>
      </c>
      <c r="L47" s="21" t="s">
        <v>987</v>
      </c>
      <c r="M47" s="21" t="s">
        <v>271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</row>
    <row r="48" spans="1:155" s="11" customFormat="1" x14ac:dyDescent="0.3">
      <c r="A48"/>
      <c r="B48" s="21" t="s">
        <v>990</v>
      </c>
      <c r="C48" s="21" t="s">
        <v>248</v>
      </c>
      <c r="D48" s="21" t="s">
        <v>261</v>
      </c>
      <c r="E48" s="28">
        <v>0.2</v>
      </c>
      <c r="F48" s="21" t="s">
        <v>9</v>
      </c>
      <c r="G48"/>
      <c r="H48"/>
      <c r="I48" t="s">
        <v>105</v>
      </c>
      <c r="J48" t="s">
        <v>9</v>
      </c>
      <c r="K48" s="21" t="s">
        <v>261</v>
      </c>
      <c r="L48" s="21" t="s">
        <v>987</v>
      </c>
      <c r="M48" s="21" t="s">
        <v>272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</row>
    <row r="49" spans="1:155" s="11" customFormat="1" x14ac:dyDescent="0.3">
      <c r="A49"/>
      <c r="B49" s="21" t="s">
        <v>990</v>
      </c>
      <c r="C49" s="21" t="s">
        <v>248</v>
      </c>
      <c r="D49" s="21" t="s">
        <v>262</v>
      </c>
      <c r="E49" s="28">
        <v>0.2</v>
      </c>
      <c r="F49" s="21" t="s">
        <v>9</v>
      </c>
      <c r="G49"/>
      <c r="H49"/>
      <c r="I49" t="s">
        <v>105</v>
      </c>
      <c r="J49" t="s">
        <v>9</v>
      </c>
      <c r="K49" s="21" t="s">
        <v>262</v>
      </c>
      <c r="L49" s="21" t="s">
        <v>987</v>
      </c>
      <c r="M49" s="21" t="s">
        <v>273</v>
      </c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</row>
    <row r="50" spans="1:155" s="11" customFormat="1" x14ac:dyDescent="0.3">
      <c r="A50"/>
      <c r="B50" s="21" t="s">
        <v>990</v>
      </c>
      <c r="C50" s="21" t="s">
        <v>1048</v>
      </c>
      <c r="D50" s="21" t="s">
        <v>998</v>
      </c>
      <c r="E50" s="34">
        <v>0.1</v>
      </c>
      <c r="F50" s="21" t="s">
        <v>10</v>
      </c>
      <c r="G50">
        <v>0</v>
      </c>
      <c r="H50">
        <v>0.3</v>
      </c>
      <c r="I50" t="s">
        <v>105</v>
      </c>
      <c r="J50" t="s">
        <v>9</v>
      </c>
      <c r="K50" s="21" t="s">
        <v>1019</v>
      </c>
      <c r="L50" s="21" t="s">
        <v>987</v>
      </c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</row>
    <row r="51" spans="1:155" s="11" customFormat="1" x14ac:dyDescent="0.3">
      <c r="A51"/>
      <c r="B51" s="21" t="s">
        <v>990</v>
      </c>
      <c r="C51" s="21" t="s">
        <v>1048</v>
      </c>
      <c r="D51" s="21" t="s">
        <v>999</v>
      </c>
      <c r="E51" s="34">
        <v>0.1</v>
      </c>
      <c r="F51" s="21" t="s">
        <v>10</v>
      </c>
      <c r="G51">
        <v>0</v>
      </c>
      <c r="H51">
        <v>0.3</v>
      </c>
      <c r="I51" t="s">
        <v>105</v>
      </c>
      <c r="J51" t="s">
        <v>9</v>
      </c>
      <c r="K51" s="21" t="s">
        <v>1020</v>
      </c>
      <c r="L51" s="21" t="s">
        <v>987</v>
      </c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</row>
    <row r="52" spans="1:155" s="11" customFormat="1" x14ac:dyDescent="0.3">
      <c r="A52"/>
      <c r="B52" s="21" t="s">
        <v>990</v>
      </c>
      <c r="C52" s="21" t="s">
        <v>1048</v>
      </c>
      <c r="D52" s="21" t="s">
        <v>1000</v>
      </c>
      <c r="E52" s="34">
        <v>0.05</v>
      </c>
      <c r="F52" s="21" t="s">
        <v>10</v>
      </c>
      <c r="G52">
        <v>0</v>
      </c>
      <c r="H52">
        <v>0.3</v>
      </c>
      <c r="I52" t="s">
        <v>105</v>
      </c>
      <c r="J52" t="s">
        <v>9</v>
      </c>
      <c r="K52" s="21" t="s">
        <v>1021</v>
      </c>
      <c r="L52" s="21" t="s">
        <v>987</v>
      </c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</row>
    <row r="53" spans="1:155" s="11" customFormat="1" x14ac:dyDescent="0.3">
      <c r="A53"/>
      <c r="B53" s="21" t="s">
        <v>990</v>
      </c>
      <c r="C53" s="21" t="s">
        <v>1048</v>
      </c>
      <c r="D53" s="21" t="s">
        <v>1001</v>
      </c>
      <c r="E53" s="34">
        <v>3.4000000000000002E-2</v>
      </c>
      <c r="F53" s="21" t="s">
        <v>10</v>
      </c>
      <c r="G53">
        <v>0</v>
      </c>
      <c r="H53">
        <v>0.3</v>
      </c>
      <c r="I53" t="s">
        <v>105</v>
      </c>
      <c r="J53" t="s">
        <v>9</v>
      </c>
      <c r="K53" s="21" t="s">
        <v>1022</v>
      </c>
      <c r="L53" s="21" t="s">
        <v>987</v>
      </c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</row>
    <row r="54" spans="1:155" s="11" customFormat="1" x14ac:dyDescent="0.3">
      <c r="A54"/>
      <c r="B54" s="21" t="s">
        <v>990</v>
      </c>
      <c r="C54" s="21" t="s">
        <v>1048</v>
      </c>
      <c r="D54" s="21" t="s">
        <v>1002</v>
      </c>
      <c r="E54" s="34">
        <v>0.1</v>
      </c>
      <c r="F54" s="21" t="s">
        <v>10</v>
      </c>
      <c r="G54">
        <v>0</v>
      </c>
      <c r="H54">
        <v>0.3</v>
      </c>
      <c r="I54" t="s">
        <v>105</v>
      </c>
      <c r="J54" t="s">
        <v>9</v>
      </c>
      <c r="K54" s="21" t="s">
        <v>1023</v>
      </c>
      <c r="L54" s="21" t="s">
        <v>987</v>
      </c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</row>
    <row r="55" spans="1:155" s="11" customFormat="1" x14ac:dyDescent="0.3">
      <c r="A55"/>
      <c r="B55" s="21" t="s">
        <v>990</v>
      </c>
      <c r="C55" s="21" t="s">
        <v>1048</v>
      </c>
      <c r="D55" s="21" t="s">
        <v>1003</v>
      </c>
      <c r="E55" s="34">
        <v>0.05</v>
      </c>
      <c r="F55" s="21" t="s">
        <v>10</v>
      </c>
      <c r="G55">
        <v>0</v>
      </c>
      <c r="H55">
        <v>0.3</v>
      </c>
      <c r="I55" t="s">
        <v>105</v>
      </c>
      <c r="J55" t="s">
        <v>9</v>
      </c>
      <c r="K55" s="21" t="s">
        <v>1024</v>
      </c>
      <c r="L55" s="21" t="s">
        <v>987</v>
      </c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</row>
    <row r="56" spans="1:155" s="11" customFormat="1" x14ac:dyDescent="0.3">
      <c r="A56"/>
      <c r="B56" s="21" t="s">
        <v>990</v>
      </c>
      <c r="C56" s="21" t="s">
        <v>1049</v>
      </c>
      <c r="D56" s="21" t="s">
        <v>1004</v>
      </c>
      <c r="E56" s="34">
        <v>0.124</v>
      </c>
      <c r="F56" s="21" t="s">
        <v>10</v>
      </c>
      <c r="G56">
        <v>0</v>
      </c>
      <c r="H56">
        <v>0.3</v>
      </c>
      <c r="I56" t="s">
        <v>105</v>
      </c>
      <c r="J56" t="s">
        <v>9</v>
      </c>
      <c r="K56" s="21" t="s">
        <v>1025</v>
      </c>
      <c r="L56" s="21" t="s">
        <v>987</v>
      </c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</row>
    <row r="57" spans="1:155" s="11" customFormat="1" x14ac:dyDescent="0.3">
      <c r="A57"/>
      <c r="B57" s="21" t="s">
        <v>990</v>
      </c>
      <c r="C57" s="21" t="s">
        <v>1049</v>
      </c>
      <c r="D57" s="21" t="s">
        <v>1005</v>
      </c>
      <c r="E57" s="34">
        <v>7.1999999999999995E-2</v>
      </c>
      <c r="F57" s="21" t="s">
        <v>10</v>
      </c>
      <c r="G57">
        <v>0</v>
      </c>
      <c r="H57">
        <v>0.3</v>
      </c>
      <c r="I57" t="s">
        <v>105</v>
      </c>
      <c r="J57" t="s">
        <v>9</v>
      </c>
      <c r="K57" s="21" t="s">
        <v>1026</v>
      </c>
      <c r="L57" s="21" t="s">
        <v>987</v>
      </c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</row>
    <row r="58" spans="1:155" s="11" customFormat="1" x14ac:dyDescent="0.3">
      <c r="A58"/>
      <c r="B58" s="21" t="s">
        <v>990</v>
      </c>
      <c r="C58" s="21" t="s">
        <v>1049</v>
      </c>
      <c r="D58" s="21" t="s">
        <v>1006</v>
      </c>
      <c r="E58" s="34">
        <v>0.2</v>
      </c>
      <c r="F58" s="21" t="s">
        <v>10</v>
      </c>
      <c r="G58">
        <v>0</v>
      </c>
      <c r="H58">
        <v>0.3</v>
      </c>
      <c r="I58" t="s">
        <v>105</v>
      </c>
      <c r="J58" t="s">
        <v>9</v>
      </c>
      <c r="K58" s="21" t="s">
        <v>1027</v>
      </c>
      <c r="L58" s="21" t="s">
        <v>987</v>
      </c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</row>
    <row r="59" spans="1:155" s="11" customFormat="1" x14ac:dyDescent="0.3">
      <c r="A59"/>
      <c r="B59" s="21" t="s">
        <v>990</v>
      </c>
      <c r="C59" s="21" t="s">
        <v>1049</v>
      </c>
      <c r="D59" s="21" t="s">
        <v>1007</v>
      </c>
      <c r="E59" s="34">
        <v>0.2</v>
      </c>
      <c r="F59" s="21" t="s">
        <v>10</v>
      </c>
      <c r="G59">
        <v>0</v>
      </c>
      <c r="H59">
        <v>0.3</v>
      </c>
      <c r="I59" t="s">
        <v>105</v>
      </c>
      <c r="J59" t="s">
        <v>9</v>
      </c>
      <c r="K59" s="21" t="s">
        <v>1028</v>
      </c>
      <c r="L59" s="21" t="s">
        <v>987</v>
      </c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</row>
    <row r="60" spans="1:155" s="11" customFormat="1" x14ac:dyDescent="0.3">
      <c r="A60"/>
      <c r="B60" s="21" t="s">
        <v>990</v>
      </c>
      <c r="C60" s="21" t="s">
        <v>1049</v>
      </c>
      <c r="D60" s="21" t="s">
        <v>1008</v>
      </c>
      <c r="E60" s="34">
        <v>0.2</v>
      </c>
      <c r="F60" s="21" t="s">
        <v>10</v>
      </c>
      <c r="G60">
        <v>0</v>
      </c>
      <c r="H60">
        <v>0.3</v>
      </c>
      <c r="I60" t="s">
        <v>105</v>
      </c>
      <c r="J60" t="s">
        <v>9</v>
      </c>
      <c r="K60" s="21" t="s">
        <v>1029</v>
      </c>
      <c r="L60" s="21" t="s">
        <v>987</v>
      </c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</row>
    <row r="61" spans="1:155" s="11" customFormat="1" x14ac:dyDescent="0.3">
      <c r="A61"/>
      <c r="B61" s="21" t="s">
        <v>990</v>
      </c>
      <c r="C61" s="21" t="s">
        <v>1050</v>
      </c>
      <c r="D61" s="21" t="s">
        <v>998</v>
      </c>
      <c r="E61" s="35">
        <v>2.41</v>
      </c>
      <c r="F61" s="21" t="s">
        <v>10</v>
      </c>
      <c r="G61">
        <v>0</v>
      </c>
      <c r="H61">
        <v>5</v>
      </c>
      <c r="I61" t="s">
        <v>806</v>
      </c>
      <c r="J61" t="s">
        <v>9</v>
      </c>
      <c r="K61" s="21" t="s">
        <v>1019</v>
      </c>
      <c r="L61" s="21" t="s">
        <v>987</v>
      </c>
      <c r="M61"/>
      <c r="N61" t="s">
        <v>807</v>
      </c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</row>
    <row r="62" spans="1:155" s="11" customFormat="1" x14ac:dyDescent="0.3">
      <c r="A62"/>
      <c r="B62" s="21" t="s">
        <v>990</v>
      </c>
      <c r="C62" s="21" t="s">
        <v>1050</v>
      </c>
      <c r="D62" s="21" t="s">
        <v>999</v>
      </c>
      <c r="E62" s="35">
        <v>1.66</v>
      </c>
      <c r="F62" s="21" t="s">
        <v>10</v>
      </c>
      <c r="G62">
        <v>0</v>
      </c>
      <c r="H62">
        <v>5</v>
      </c>
      <c r="I62" t="s">
        <v>806</v>
      </c>
      <c r="J62" t="s">
        <v>9</v>
      </c>
      <c r="K62" s="21" t="s">
        <v>1020</v>
      </c>
      <c r="L62" s="21" t="s">
        <v>987</v>
      </c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</row>
    <row r="63" spans="1:155" s="11" customFormat="1" x14ac:dyDescent="0.3">
      <c r="A63"/>
      <c r="B63" s="21" t="s">
        <v>990</v>
      </c>
      <c r="C63" s="21" t="s">
        <v>1050</v>
      </c>
      <c r="D63" s="21" t="s">
        <v>1000</v>
      </c>
      <c r="E63" s="35">
        <v>0</v>
      </c>
      <c r="F63" s="21" t="s">
        <v>10</v>
      </c>
      <c r="G63">
        <v>0</v>
      </c>
      <c r="H63">
        <v>5</v>
      </c>
      <c r="I63" t="s">
        <v>806</v>
      </c>
      <c r="J63" t="s">
        <v>9</v>
      </c>
      <c r="K63" s="21" t="s">
        <v>1021</v>
      </c>
      <c r="L63" s="21" t="s">
        <v>987</v>
      </c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</row>
    <row r="64" spans="1:155" s="11" customFormat="1" x14ac:dyDescent="0.3">
      <c r="A64"/>
      <c r="B64" s="21" t="s">
        <v>990</v>
      </c>
      <c r="C64" s="21" t="s">
        <v>1050</v>
      </c>
      <c r="D64" s="21" t="s">
        <v>1001</v>
      </c>
      <c r="E64" s="35">
        <v>0</v>
      </c>
      <c r="F64" s="21" t="s">
        <v>10</v>
      </c>
      <c r="G64">
        <v>0</v>
      </c>
      <c r="H64">
        <v>5</v>
      </c>
      <c r="I64" t="s">
        <v>806</v>
      </c>
      <c r="J64" t="s">
        <v>9</v>
      </c>
      <c r="K64" s="21" t="s">
        <v>1022</v>
      </c>
      <c r="L64" s="21" t="s">
        <v>987</v>
      </c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</row>
    <row r="65" spans="1:155" s="11" customFormat="1" x14ac:dyDescent="0.3">
      <c r="A65"/>
      <c r="B65" s="21" t="s">
        <v>990</v>
      </c>
      <c r="C65" s="21" t="s">
        <v>1050</v>
      </c>
      <c r="D65" s="21" t="s">
        <v>1002</v>
      </c>
      <c r="E65" s="35">
        <v>0</v>
      </c>
      <c r="F65" s="21" t="s">
        <v>10</v>
      </c>
      <c r="G65">
        <v>0</v>
      </c>
      <c r="H65">
        <v>5</v>
      </c>
      <c r="I65" t="s">
        <v>806</v>
      </c>
      <c r="J65" t="s">
        <v>9</v>
      </c>
      <c r="K65" s="21" t="s">
        <v>1030</v>
      </c>
      <c r="L65" s="21" t="s">
        <v>987</v>
      </c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</row>
    <row r="66" spans="1:155" s="11" customFormat="1" x14ac:dyDescent="0.3">
      <c r="A66"/>
      <c r="B66" s="21" t="s">
        <v>990</v>
      </c>
      <c r="C66" s="21" t="s">
        <v>1050</v>
      </c>
      <c r="D66" s="21" t="s">
        <v>1003</v>
      </c>
      <c r="E66" s="35">
        <v>0</v>
      </c>
      <c r="F66" s="21" t="s">
        <v>10</v>
      </c>
      <c r="G66">
        <v>0</v>
      </c>
      <c r="H66">
        <v>5</v>
      </c>
      <c r="I66" t="s">
        <v>806</v>
      </c>
      <c r="J66" t="s">
        <v>9</v>
      </c>
      <c r="K66" s="21" t="s">
        <v>1024</v>
      </c>
      <c r="L66" s="21" t="s">
        <v>987</v>
      </c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</row>
    <row r="67" spans="1:155" s="11" customFormat="1" x14ac:dyDescent="0.3">
      <c r="A67"/>
      <c r="B67" s="21" t="s">
        <v>990</v>
      </c>
      <c r="C67" s="21" t="s">
        <v>1050</v>
      </c>
      <c r="D67" s="21" t="s">
        <v>1004</v>
      </c>
      <c r="E67" s="35">
        <v>1.71</v>
      </c>
      <c r="F67" s="21" t="s">
        <v>10</v>
      </c>
      <c r="G67">
        <v>0</v>
      </c>
      <c r="H67">
        <v>5</v>
      </c>
      <c r="I67" t="s">
        <v>806</v>
      </c>
      <c r="J67" t="s">
        <v>9</v>
      </c>
      <c r="K67" s="21" t="s">
        <v>1025</v>
      </c>
      <c r="L67" s="21" t="s">
        <v>987</v>
      </c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</row>
    <row r="68" spans="1:155" s="11" customFormat="1" x14ac:dyDescent="0.3">
      <c r="A68"/>
      <c r="B68" s="21" t="s">
        <v>990</v>
      </c>
      <c r="C68" s="21" t="s">
        <v>1050</v>
      </c>
      <c r="D68" s="21" t="s">
        <v>1005</v>
      </c>
      <c r="E68" s="35">
        <v>1.75</v>
      </c>
      <c r="F68" s="21" t="s">
        <v>10</v>
      </c>
      <c r="G68">
        <v>0</v>
      </c>
      <c r="H68">
        <v>5</v>
      </c>
      <c r="I68" t="s">
        <v>806</v>
      </c>
      <c r="J68" t="s">
        <v>9</v>
      </c>
      <c r="K68" s="21" t="s">
        <v>1026</v>
      </c>
      <c r="L68" s="21" t="s">
        <v>987</v>
      </c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</row>
    <row r="69" spans="1:155" s="11" customFormat="1" x14ac:dyDescent="0.3">
      <c r="A69"/>
      <c r="B69" s="21" t="s">
        <v>990</v>
      </c>
      <c r="C69" s="21" t="s">
        <v>1050</v>
      </c>
      <c r="D69" s="21" t="s">
        <v>1006</v>
      </c>
      <c r="E69" s="35">
        <v>0</v>
      </c>
      <c r="F69" s="21" t="s">
        <v>10</v>
      </c>
      <c r="G69">
        <v>0</v>
      </c>
      <c r="H69">
        <v>5</v>
      </c>
      <c r="I69" t="s">
        <v>806</v>
      </c>
      <c r="J69" t="s">
        <v>9</v>
      </c>
      <c r="K69" s="21" t="s">
        <v>1027</v>
      </c>
      <c r="L69" s="21" t="s">
        <v>987</v>
      </c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</row>
    <row r="70" spans="1:155" s="11" customFormat="1" x14ac:dyDescent="0.3">
      <c r="A70"/>
      <c r="B70" s="21" t="s">
        <v>990</v>
      </c>
      <c r="C70" s="21" t="s">
        <v>1050</v>
      </c>
      <c r="D70" s="21" t="s">
        <v>1007</v>
      </c>
      <c r="E70" s="35">
        <v>0</v>
      </c>
      <c r="F70" s="21" t="s">
        <v>10</v>
      </c>
      <c r="G70">
        <v>0</v>
      </c>
      <c r="H70">
        <v>5</v>
      </c>
      <c r="I70" t="s">
        <v>806</v>
      </c>
      <c r="J70" t="s">
        <v>9</v>
      </c>
      <c r="K70" s="21" t="s">
        <v>1028</v>
      </c>
      <c r="L70" s="21" t="s">
        <v>987</v>
      </c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</row>
    <row r="71" spans="1:155" s="11" customFormat="1" x14ac:dyDescent="0.3">
      <c r="A71"/>
      <c r="B71" s="21" t="s">
        <v>990</v>
      </c>
      <c r="C71" s="21" t="s">
        <v>1050</v>
      </c>
      <c r="D71" s="21" t="s">
        <v>1008</v>
      </c>
      <c r="E71" s="35">
        <v>0</v>
      </c>
      <c r="F71" s="21" t="s">
        <v>10</v>
      </c>
      <c r="G71">
        <v>0</v>
      </c>
      <c r="H71">
        <v>5</v>
      </c>
      <c r="I71" t="s">
        <v>806</v>
      </c>
      <c r="J71" t="s">
        <v>9</v>
      </c>
      <c r="K71" s="21" t="s">
        <v>1029</v>
      </c>
      <c r="L71" s="21" t="s">
        <v>987</v>
      </c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</row>
    <row r="72" spans="1:155" s="11" customFormat="1" x14ac:dyDescent="0.3">
      <c r="A72"/>
      <c r="B72" s="21" t="s">
        <v>990</v>
      </c>
      <c r="C72" s="21" t="s">
        <v>31</v>
      </c>
      <c r="D72" s="21" t="s">
        <v>278</v>
      </c>
      <c r="E72" s="32">
        <v>6.8</v>
      </c>
      <c r="F72" s="21" t="s">
        <v>9</v>
      </c>
      <c r="G72"/>
      <c r="H72"/>
      <c r="I72" t="s">
        <v>21</v>
      </c>
      <c r="J72" t="s">
        <v>9</v>
      </c>
      <c r="K72" s="21" t="s">
        <v>278</v>
      </c>
      <c r="L72" s="21" t="s">
        <v>987</v>
      </c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</row>
    <row r="73" spans="1:155" s="11" customFormat="1" x14ac:dyDescent="0.3">
      <c r="A73"/>
      <c r="B73" s="21" t="s">
        <v>990</v>
      </c>
      <c r="C73" s="21" t="s">
        <v>19</v>
      </c>
      <c r="D73" s="21" t="s">
        <v>275</v>
      </c>
      <c r="E73" s="29">
        <v>3.5999999999999997E-2</v>
      </c>
      <c r="F73" s="21" t="s">
        <v>9</v>
      </c>
      <c r="G73"/>
      <c r="H73"/>
      <c r="I73" t="s">
        <v>28</v>
      </c>
      <c r="J73" t="s">
        <v>9</v>
      </c>
      <c r="K73" s="21" t="s">
        <v>275</v>
      </c>
      <c r="L73" s="21" t="s">
        <v>987</v>
      </c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</row>
    <row r="74" spans="1:155" s="11" customFormat="1" x14ac:dyDescent="0.3">
      <c r="A74"/>
      <c r="B74" s="21" t="s">
        <v>990</v>
      </c>
      <c r="C74" s="21" t="s">
        <v>19</v>
      </c>
      <c r="D74" s="21" t="s">
        <v>493</v>
      </c>
      <c r="E74" s="29">
        <v>0.13300000000000001</v>
      </c>
      <c r="F74" s="21" t="s">
        <v>9</v>
      </c>
      <c r="G74"/>
      <c r="H74"/>
      <c r="I74" t="s">
        <v>28</v>
      </c>
      <c r="J74" t="s">
        <v>9</v>
      </c>
      <c r="K74" s="21" t="s">
        <v>493</v>
      </c>
      <c r="L74" s="21" t="s">
        <v>987</v>
      </c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</row>
    <row r="75" spans="1:155" s="11" customFormat="1" x14ac:dyDescent="0.3">
      <c r="A75"/>
      <c r="B75" s="21" t="s">
        <v>990</v>
      </c>
      <c r="C75" s="21" t="s">
        <v>19</v>
      </c>
      <c r="D75" s="21" t="s">
        <v>836</v>
      </c>
      <c r="E75" s="29">
        <v>0.128</v>
      </c>
      <c r="F75" s="21" t="s">
        <v>9</v>
      </c>
      <c r="G75"/>
      <c r="H75"/>
      <c r="I75" t="s">
        <v>28</v>
      </c>
      <c r="J75" t="s">
        <v>9</v>
      </c>
      <c r="K75" s="21" t="s">
        <v>836</v>
      </c>
      <c r="L75" s="21" t="s">
        <v>987</v>
      </c>
      <c r="M75"/>
      <c r="N75" t="s">
        <v>808</v>
      </c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</row>
    <row r="76" spans="1:155" s="11" customFormat="1" x14ac:dyDescent="0.3">
      <c r="A76"/>
      <c r="B76" s="21" t="s">
        <v>990</v>
      </c>
      <c r="C76" s="21" t="s">
        <v>19</v>
      </c>
      <c r="D76" s="21" t="s">
        <v>837</v>
      </c>
      <c r="E76" s="29">
        <v>0.24099999999999999</v>
      </c>
      <c r="F76" s="21" t="s">
        <v>9</v>
      </c>
      <c r="G76"/>
      <c r="H76"/>
      <c r="I76" t="s">
        <v>28</v>
      </c>
      <c r="J76" t="s">
        <v>9</v>
      </c>
      <c r="K76" s="21" t="s">
        <v>837</v>
      </c>
      <c r="L76" s="21" t="s">
        <v>987</v>
      </c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</row>
    <row r="77" spans="1:155" s="11" customFormat="1" x14ac:dyDescent="0.3">
      <c r="A77"/>
      <c r="B77" s="21" t="s">
        <v>990</v>
      </c>
      <c r="C77" s="21" t="s">
        <v>19</v>
      </c>
      <c r="D77" s="21" t="s">
        <v>838</v>
      </c>
      <c r="E77" s="29">
        <v>4.4999999999999998E-2</v>
      </c>
      <c r="F77" s="21" t="s">
        <v>9</v>
      </c>
      <c r="G77"/>
      <c r="H77"/>
      <c r="I77" t="s">
        <v>28</v>
      </c>
      <c r="J77" t="s">
        <v>9</v>
      </c>
      <c r="K77" s="21" t="s">
        <v>838</v>
      </c>
      <c r="L77" s="21" t="s">
        <v>987</v>
      </c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</row>
    <row r="78" spans="1:155" s="11" customFormat="1" x14ac:dyDescent="0.3">
      <c r="A78"/>
      <c r="B78" s="21" t="s">
        <v>990</v>
      </c>
      <c r="C78" s="21" t="s">
        <v>19</v>
      </c>
      <c r="D78" s="21" t="s">
        <v>839</v>
      </c>
      <c r="E78" s="29">
        <v>0.26500000000000001</v>
      </c>
      <c r="F78" s="21" t="s">
        <v>9</v>
      </c>
      <c r="G78"/>
      <c r="H78"/>
      <c r="I78" t="s">
        <v>28</v>
      </c>
      <c r="J78" t="s">
        <v>9</v>
      </c>
      <c r="K78" s="21" t="s">
        <v>839</v>
      </c>
      <c r="L78" s="21" t="s">
        <v>987</v>
      </c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</row>
    <row r="79" spans="1:155" s="11" customFormat="1" x14ac:dyDescent="0.3">
      <c r="A79"/>
      <c r="B79" s="21" t="s">
        <v>990</v>
      </c>
      <c r="C79" s="21" t="s">
        <v>235</v>
      </c>
      <c r="D79" s="17" t="s">
        <v>277</v>
      </c>
      <c r="E79" s="18">
        <v>0</v>
      </c>
      <c r="F79" s="17" t="s">
        <v>9</v>
      </c>
      <c r="G79" s="19"/>
      <c r="H79" s="19"/>
      <c r="I79" t="s">
        <v>28</v>
      </c>
      <c r="J79" t="s">
        <v>9</v>
      </c>
      <c r="K79" s="21" t="s">
        <v>277</v>
      </c>
      <c r="L79" s="21" t="s">
        <v>987</v>
      </c>
      <c r="M79" t="s">
        <v>236</v>
      </c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</row>
    <row r="80" spans="1:155" s="11" customFormat="1" x14ac:dyDescent="0.3">
      <c r="A80"/>
      <c r="B80" s="21" t="s">
        <v>990</v>
      </c>
      <c r="C80" s="21" t="s">
        <v>235</v>
      </c>
      <c r="D80" s="17" t="s">
        <v>487</v>
      </c>
      <c r="E80" s="18">
        <f>(1-E73)</f>
        <v>0.96399999999999997</v>
      </c>
      <c r="F80" s="17" t="s">
        <v>9</v>
      </c>
      <c r="G80" s="19"/>
      <c r="H80" s="19"/>
      <c r="I80" t="s">
        <v>28</v>
      </c>
      <c r="J80" t="s">
        <v>9</v>
      </c>
      <c r="K80" s="21" t="s">
        <v>487</v>
      </c>
      <c r="L80" s="21" t="s">
        <v>987</v>
      </c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</row>
    <row r="81" spans="1:155" s="11" customFormat="1" x14ac:dyDescent="0.3">
      <c r="A81"/>
      <c r="B81" s="21" t="s">
        <v>990</v>
      </c>
      <c r="C81" s="21" t="s">
        <v>235</v>
      </c>
      <c r="D81" s="17" t="s">
        <v>488</v>
      </c>
      <c r="E81" s="18">
        <f>(1-E74)</f>
        <v>0.86699999999999999</v>
      </c>
      <c r="F81" s="17" t="s">
        <v>9</v>
      </c>
      <c r="G81" s="19"/>
      <c r="H81" s="19"/>
      <c r="I81" t="s">
        <v>28</v>
      </c>
      <c r="J81" t="s">
        <v>9</v>
      </c>
      <c r="K81" s="21" t="s">
        <v>488</v>
      </c>
      <c r="L81" s="21" t="s">
        <v>987</v>
      </c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</row>
    <row r="82" spans="1:155" s="11" customFormat="1" x14ac:dyDescent="0.3">
      <c r="A82"/>
      <c r="B82" s="21" t="s">
        <v>990</v>
      </c>
      <c r="C82" s="21" t="s">
        <v>235</v>
      </c>
      <c r="D82" s="17" t="s">
        <v>489</v>
      </c>
      <c r="E82" s="18">
        <f>(1-E75)</f>
        <v>0.872</v>
      </c>
      <c r="F82" s="17" t="s">
        <v>9</v>
      </c>
      <c r="G82" s="19"/>
      <c r="H82" s="19"/>
      <c r="I82" t="s">
        <v>28</v>
      </c>
      <c r="J82" t="s">
        <v>9</v>
      </c>
      <c r="K82" s="21" t="s">
        <v>489</v>
      </c>
      <c r="L82" s="21" t="s">
        <v>987</v>
      </c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</row>
    <row r="83" spans="1:155" s="11" customFormat="1" x14ac:dyDescent="0.3">
      <c r="A83"/>
      <c r="B83" s="21" t="s">
        <v>990</v>
      </c>
      <c r="C83" s="21" t="s">
        <v>235</v>
      </c>
      <c r="D83" s="17" t="s">
        <v>490</v>
      </c>
      <c r="E83" s="18">
        <f>(1-E76)</f>
        <v>0.75900000000000001</v>
      </c>
      <c r="F83" s="17" t="s">
        <v>9</v>
      </c>
      <c r="G83" s="19"/>
      <c r="H83" s="19"/>
      <c r="I83" t="s">
        <v>28</v>
      </c>
      <c r="J83" t="s">
        <v>9</v>
      </c>
      <c r="K83" s="21" t="s">
        <v>490</v>
      </c>
      <c r="L83" s="21" t="s">
        <v>987</v>
      </c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</row>
    <row r="84" spans="1:155" s="11" customFormat="1" x14ac:dyDescent="0.3">
      <c r="A84"/>
      <c r="B84" s="21" t="s">
        <v>990</v>
      </c>
      <c r="C84" s="21" t="s">
        <v>235</v>
      </c>
      <c r="D84" s="17" t="s">
        <v>491</v>
      </c>
      <c r="E84" s="18">
        <f t="shared" ref="E84:E85" si="0">(1-E77)</f>
        <v>0.95499999999999996</v>
      </c>
      <c r="F84" s="17" t="s">
        <v>9</v>
      </c>
      <c r="G84" s="19"/>
      <c r="H84" s="19"/>
      <c r="I84" t="s">
        <v>28</v>
      </c>
      <c r="J84" t="s">
        <v>9</v>
      </c>
      <c r="K84" s="21" t="s">
        <v>491</v>
      </c>
      <c r="L84" s="21" t="s">
        <v>987</v>
      </c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</row>
    <row r="85" spans="1:155" s="11" customFormat="1" x14ac:dyDescent="0.3">
      <c r="A85"/>
      <c r="B85" s="21" t="s">
        <v>990</v>
      </c>
      <c r="C85" s="21" t="s">
        <v>235</v>
      </c>
      <c r="D85" s="17" t="s">
        <v>492</v>
      </c>
      <c r="E85" s="18">
        <f t="shared" si="0"/>
        <v>0.73499999999999999</v>
      </c>
      <c r="F85" s="17" t="s">
        <v>9</v>
      </c>
      <c r="G85" s="19"/>
      <c r="H85" s="19"/>
      <c r="I85" t="s">
        <v>28</v>
      </c>
      <c r="J85" t="s">
        <v>9</v>
      </c>
      <c r="K85" s="21" t="s">
        <v>492</v>
      </c>
      <c r="L85" s="21" t="s">
        <v>987</v>
      </c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</row>
    <row r="86" spans="1:155" s="11" customFormat="1" x14ac:dyDescent="0.3">
      <c r="A86"/>
      <c r="B86" s="21" t="s">
        <v>990</v>
      </c>
      <c r="C86" s="21" t="s">
        <v>149</v>
      </c>
      <c r="D86" s="21" t="s">
        <v>106</v>
      </c>
      <c r="E86" s="31">
        <v>4500</v>
      </c>
      <c r="F86" t="s">
        <v>9</v>
      </c>
      <c r="G86">
        <v>0</v>
      </c>
      <c r="H86">
        <v>100000</v>
      </c>
      <c r="I86" t="s">
        <v>1043</v>
      </c>
      <c r="J86" t="s">
        <v>9</v>
      </c>
      <c r="K86" s="21" t="s">
        <v>106</v>
      </c>
      <c r="L86" s="21" t="s">
        <v>987</v>
      </c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</row>
    <row r="87" spans="1:155" s="11" customFormat="1" x14ac:dyDescent="0.3">
      <c r="A87"/>
      <c r="B87" s="21" t="s">
        <v>990</v>
      </c>
      <c r="C87" s="21" t="s">
        <v>250</v>
      </c>
      <c r="D87" s="21" t="s">
        <v>276</v>
      </c>
      <c r="E87" s="31">
        <v>0</v>
      </c>
      <c r="F87" s="21" t="s">
        <v>10</v>
      </c>
      <c r="G87">
        <v>0</v>
      </c>
      <c r="H87">
        <v>2000</v>
      </c>
      <c r="I87" t="s">
        <v>1043</v>
      </c>
      <c r="J87" t="s">
        <v>10</v>
      </c>
      <c r="K87" s="36" t="s">
        <v>1045</v>
      </c>
      <c r="L87" s="21" t="s">
        <v>987</v>
      </c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</row>
    <row r="88" spans="1:155" s="11" customFormat="1" x14ac:dyDescent="0.3">
      <c r="A88"/>
      <c r="B88" s="21" t="s">
        <v>990</v>
      </c>
      <c r="C88" s="21" t="s">
        <v>250</v>
      </c>
      <c r="D88" s="21" t="s">
        <v>1016</v>
      </c>
      <c r="E88" s="30">
        <v>900</v>
      </c>
      <c r="F88" s="21" t="s">
        <v>10</v>
      </c>
      <c r="G88">
        <v>0</v>
      </c>
      <c r="H88">
        <v>2000</v>
      </c>
      <c r="I88" t="s">
        <v>1043</v>
      </c>
      <c r="J88" t="s">
        <v>10</v>
      </c>
      <c r="K88" s="21" t="s">
        <v>1044</v>
      </c>
      <c r="L88" s="21" t="s">
        <v>987</v>
      </c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</row>
    <row r="89" spans="1:155" s="11" customFormat="1" x14ac:dyDescent="0.3">
      <c r="A89"/>
      <c r="B89" s="21" t="s">
        <v>990</v>
      </c>
      <c r="C89" t="s">
        <v>1053</v>
      </c>
      <c r="D89" s="21" t="s">
        <v>1009</v>
      </c>
      <c r="E89" s="31">
        <v>526</v>
      </c>
      <c r="F89" s="21" t="s">
        <v>10</v>
      </c>
      <c r="G89">
        <v>0</v>
      </c>
      <c r="H89">
        <v>10000</v>
      </c>
      <c r="I89" t="s">
        <v>1043</v>
      </c>
      <c r="J89" t="s">
        <v>10</v>
      </c>
      <c r="K89" s="21" t="s">
        <v>1019</v>
      </c>
      <c r="L89" s="21" t="s">
        <v>987</v>
      </c>
      <c r="M89" t="s">
        <v>486</v>
      </c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</row>
    <row r="90" spans="1:155" s="11" customFormat="1" x14ac:dyDescent="0.3">
      <c r="A90"/>
      <c r="B90" s="21" t="s">
        <v>990</v>
      </c>
      <c r="C90" t="s">
        <v>1053</v>
      </c>
      <c r="D90" s="21" t="s">
        <v>1010</v>
      </c>
      <c r="E90" s="31">
        <v>445</v>
      </c>
      <c r="F90" s="21" t="s">
        <v>10</v>
      </c>
      <c r="G90">
        <v>0</v>
      </c>
      <c r="H90">
        <v>10000</v>
      </c>
      <c r="I90" t="s">
        <v>1043</v>
      </c>
      <c r="J90" t="s">
        <v>10</v>
      </c>
      <c r="K90" s="21" t="s">
        <v>1020</v>
      </c>
      <c r="L90" s="21" t="s">
        <v>987</v>
      </c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</row>
    <row r="91" spans="1:155" s="11" customFormat="1" x14ac:dyDescent="0.3">
      <c r="A91"/>
      <c r="B91" s="21" t="s">
        <v>990</v>
      </c>
      <c r="C91" t="s">
        <v>1053</v>
      </c>
      <c r="D91" t="s">
        <v>1011</v>
      </c>
      <c r="E91" s="31">
        <v>0</v>
      </c>
      <c r="F91" s="21" t="s">
        <v>10</v>
      </c>
      <c r="G91">
        <v>0</v>
      </c>
      <c r="H91">
        <v>10000</v>
      </c>
      <c r="I91" t="s">
        <v>1043</v>
      </c>
      <c r="J91" t="s">
        <v>10</v>
      </c>
      <c r="K91" s="21" t="s">
        <v>1022</v>
      </c>
      <c r="L91" s="21" t="s">
        <v>987</v>
      </c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</row>
    <row r="92" spans="1:155" s="11" customFormat="1" x14ac:dyDescent="0.3">
      <c r="A92"/>
      <c r="B92" s="21" t="s">
        <v>990</v>
      </c>
      <c r="C92" t="s">
        <v>1053</v>
      </c>
      <c r="D92" s="21" t="s">
        <v>1012</v>
      </c>
      <c r="E92" s="31">
        <v>0</v>
      </c>
      <c r="F92" s="21" t="s">
        <v>10</v>
      </c>
      <c r="G92">
        <v>0</v>
      </c>
      <c r="H92">
        <v>10000</v>
      </c>
      <c r="I92" t="s">
        <v>1043</v>
      </c>
      <c r="J92" t="s">
        <v>10</v>
      </c>
      <c r="K92" s="21" t="s">
        <v>1023</v>
      </c>
      <c r="L92" s="21" t="s">
        <v>987</v>
      </c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</row>
    <row r="93" spans="1:155" s="11" customFormat="1" x14ac:dyDescent="0.3">
      <c r="A93"/>
      <c r="B93" s="21" t="s">
        <v>990</v>
      </c>
      <c r="C93" t="s">
        <v>1053</v>
      </c>
      <c r="D93" s="21" t="s">
        <v>1013</v>
      </c>
      <c r="E93" s="31">
        <v>0</v>
      </c>
      <c r="F93" s="21" t="s">
        <v>10</v>
      </c>
      <c r="G93">
        <v>0</v>
      </c>
      <c r="H93">
        <v>10000</v>
      </c>
      <c r="I93" t="s">
        <v>1043</v>
      </c>
      <c r="J93" t="s">
        <v>10</v>
      </c>
      <c r="K93" s="21" t="s">
        <v>1024</v>
      </c>
      <c r="L93" s="21" t="s">
        <v>987</v>
      </c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</row>
    <row r="94" spans="1:155" s="11" customFormat="1" x14ac:dyDescent="0.3">
      <c r="A94"/>
      <c r="B94" s="21" t="s">
        <v>990</v>
      </c>
      <c r="C94" t="s">
        <v>1053</v>
      </c>
      <c r="D94" s="21" t="s">
        <v>1014</v>
      </c>
      <c r="E94" s="31">
        <v>1193</v>
      </c>
      <c r="F94" s="21" t="s">
        <v>10</v>
      </c>
      <c r="G94">
        <v>0</v>
      </c>
      <c r="H94">
        <v>10000</v>
      </c>
      <c r="I94" t="s">
        <v>1043</v>
      </c>
      <c r="J94" t="s">
        <v>10</v>
      </c>
      <c r="K94" s="21" t="s">
        <v>1025</v>
      </c>
      <c r="L94" s="21" t="s">
        <v>987</v>
      </c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</row>
    <row r="95" spans="1:155" s="11" customFormat="1" x14ac:dyDescent="0.3">
      <c r="A95"/>
      <c r="B95" s="21" t="s">
        <v>990</v>
      </c>
      <c r="C95" t="s">
        <v>1053</v>
      </c>
      <c r="D95" s="21" t="s">
        <v>1015</v>
      </c>
      <c r="E95" s="31">
        <v>0</v>
      </c>
      <c r="F95" s="21" t="s">
        <v>10</v>
      </c>
      <c r="G95">
        <v>0</v>
      </c>
      <c r="H95">
        <v>10000</v>
      </c>
      <c r="I95" t="s">
        <v>1043</v>
      </c>
      <c r="J95" t="s">
        <v>10</v>
      </c>
      <c r="K95" s="21" t="s">
        <v>1026</v>
      </c>
      <c r="L95" s="21" t="s">
        <v>987</v>
      </c>
      <c r="M95" t="s">
        <v>984</v>
      </c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</row>
    <row r="96" spans="1:155" s="11" customFormat="1" x14ac:dyDescent="0.3">
      <c r="A96"/>
      <c r="B96" s="21" t="s">
        <v>990</v>
      </c>
      <c r="C96" t="s">
        <v>193</v>
      </c>
      <c r="D96" t="s">
        <v>194</v>
      </c>
      <c r="E96" s="31">
        <v>1</v>
      </c>
      <c r="F96" s="21" t="s">
        <v>9</v>
      </c>
      <c r="G96"/>
      <c r="H96"/>
      <c r="I96" t="s">
        <v>234</v>
      </c>
      <c r="J96" t="s">
        <v>9</v>
      </c>
      <c r="K96" t="s">
        <v>194</v>
      </c>
      <c r="L96" s="21" t="s">
        <v>987</v>
      </c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</row>
    <row r="97" spans="1:155" s="11" customFormat="1" x14ac:dyDescent="0.3">
      <c r="A97"/>
      <c r="B97" s="21" t="s">
        <v>990</v>
      </c>
      <c r="C97" t="s">
        <v>193</v>
      </c>
      <c r="D97" t="s">
        <v>195</v>
      </c>
      <c r="E97" s="31">
        <v>2</v>
      </c>
      <c r="F97" s="21" t="s">
        <v>9</v>
      </c>
      <c r="G97"/>
      <c r="H97"/>
      <c r="I97" t="s">
        <v>234</v>
      </c>
      <c r="J97" t="s">
        <v>9</v>
      </c>
      <c r="K97" t="s">
        <v>195</v>
      </c>
      <c r="L97" s="21" t="s">
        <v>987</v>
      </c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</row>
    <row r="98" spans="1:155" s="11" customFormat="1" x14ac:dyDescent="0.3">
      <c r="A98"/>
      <c r="B98" s="21" t="s">
        <v>990</v>
      </c>
      <c r="C98" t="s">
        <v>193</v>
      </c>
      <c r="D98" t="s">
        <v>196</v>
      </c>
      <c r="E98" s="31">
        <v>3</v>
      </c>
      <c r="F98" s="21" t="s">
        <v>9</v>
      </c>
      <c r="G98"/>
      <c r="H98"/>
      <c r="I98" t="s">
        <v>234</v>
      </c>
      <c r="J98" t="s">
        <v>9</v>
      </c>
      <c r="K98" t="s">
        <v>196</v>
      </c>
      <c r="L98" s="21" t="s">
        <v>987</v>
      </c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</row>
    <row r="99" spans="1:155" s="11" customFormat="1" x14ac:dyDescent="0.3">
      <c r="A99"/>
      <c r="B99" s="21" t="s">
        <v>990</v>
      </c>
      <c r="C99" t="s">
        <v>193</v>
      </c>
      <c r="D99" t="s">
        <v>197</v>
      </c>
      <c r="E99" s="31">
        <v>4</v>
      </c>
      <c r="F99" s="21" t="s">
        <v>9</v>
      </c>
      <c r="G99"/>
      <c r="H99"/>
      <c r="I99" t="s">
        <v>234</v>
      </c>
      <c r="J99" t="s">
        <v>9</v>
      </c>
      <c r="K99" t="s">
        <v>197</v>
      </c>
      <c r="L99" s="21" t="s">
        <v>987</v>
      </c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</row>
    <row r="100" spans="1:155" s="11" customFormat="1" x14ac:dyDescent="0.3">
      <c r="A100"/>
      <c r="B100" s="21" t="s">
        <v>990</v>
      </c>
      <c r="C100" t="s">
        <v>193</v>
      </c>
      <c r="D100" t="s">
        <v>198</v>
      </c>
      <c r="E100" s="31">
        <v>5</v>
      </c>
      <c r="F100" s="21" t="s">
        <v>9</v>
      </c>
      <c r="G100"/>
      <c r="H100"/>
      <c r="I100" t="s">
        <v>234</v>
      </c>
      <c r="J100" t="s">
        <v>9</v>
      </c>
      <c r="K100" t="s">
        <v>198</v>
      </c>
      <c r="L100" s="21" t="s">
        <v>987</v>
      </c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</row>
    <row r="101" spans="1:155" s="11" customFormat="1" x14ac:dyDescent="0.3">
      <c r="A101"/>
      <c r="B101" s="21" t="s">
        <v>990</v>
      </c>
      <c r="C101" t="s">
        <v>193</v>
      </c>
      <c r="D101" t="s">
        <v>199</v>
      </c>
      <c r="E101" s="31">
        <v>6</v>
      </c>
      <c r="F101" s="21" t="s">
        <v>9</v>
      </c>
      <c r="G101"/>
      <c r="H101"/>
      <c r="I101" t="s">
        <v>234</v>
      </c>
      <c r="J101" t="s">
        <v>9</v>
      </c>
      <c r="K101" t="s">
        <v>199</v>
      </c>
      <c r="L101" s="21" t="s">
        <v>987</v>
      </c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</row>
    <row r="102" spans="1:155" s="11" customFormat="1" x14ac:dyDescent="0.3">
      <c r="A102"/>
      <c r="B102" s="21" t="s">
        <v>990</v>
      </c>
      <c r="C102" t="s">
        <v>193</v>
      </c>
      <c r="D102" t="s">
        <v>200</v>
      </c>
      <c r="E102" s="31">
        <v>7</v>
      </c>
      <c r="F102" s="21" t="s">
        <v>9</v>
      </c>
      <c r="G102"/>
      <c r="H102"/>
      <c r="I102" t="s">
        <v>234</v>
      </c>
      <c r="J102" t="s">
        <v>9</v>
      </c>
      <c r="K102" t="s">
        <v>200</v>
      </c>
      <c r="L102" s="21" t="s">
        <v>987</v>
      </c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</row>
    <row r="103" spans="1:155" s="11" customFormat="1" x14ac:dyDescent="0.3">
      <c r="A103"/>
      <c r="B103" s="21" t="s">
        <v>990</v>
      </c>
      <c r="C103" t="s">
        <v>193</v>
      </c>
      <c r="D103" t="s">
        <v>201</v>
      </c>
      <c r="E103" s="31">
        <v>8</v>
      </c>
      <c r="F103" s="21" t="s">
        <v>9</v>
      </c>
      <c r="G103"/>
      <c r="H103"/>
      <c r="I103" t="s">
        <v>234</v>
      </c>
      <c r="J103" t="s">
        <v>9</v>
      </c>
      <c r="K103" t="s">
        <v>201</v>
      </c>
      <c r="L103" s="21" t="s">
        <v>987</v>
      </c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</row>
    <row r="104" spans="1:155" s="11" customFormat="1" x14ac:dyDescent="0.3">
      <c r="A104"/>
      <c r="B104" s="21" t="s">
        <v>990</v>
      </c>
      <c r="C104" t="s">
        <v>193</v>
      </c>
      <c r="D104" t="s">
        <v>202</v>
      </c>
      <c r="E104" s="31">
        <v>9</v>
      </c>
      <c r="F104" s="21" t="s">
        <v>9</v>
      </c>
      <c r="G104"/>
      <c r="H104"/>
      <c r="I104" t="s">
        <v>234</v>
      </c>
      <c r="J104" t="s">
        <v>9</v>
      </c>
      <c r="K104" t="s">
        <v>202</v>
      </c>
      <c r="L104" s="21" t="s">
        <v>987</v>
      </c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</row>
    <row r="105" spans="1:155" s="11" customFormat="1" x14ac:dyDescent="0.3">
      <c r="A105"/>
      <c r="B105" s="21" t="s">
        <v>990</v>
      </c>
      <c r="C105" t="s">
        <v>193</v>
      </c>
      <c r="D105" t="s">
        <v>203</v>
      </c>
      <c r="E105" s="31">
        <v>10</v>
      </c>
      <c r="F105" s="21" t="s">
        <v>9</v>
      </c>
      <c r="G105"/>
      <c r="H105"/>
      <c r="I105" t="s">
        <v>234</v>
      </c>
      <c r="J105" t="s">
        <v>9</v>
      </c>
      <c r="K105" t="s">
        <v>203</v>
      </c>
      <c r="L105" s="21" t="s">
        <v>987</v>
      </c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</row>
    <row r="106" spans="1:155" s="11" customFormat="1" x14ac:dyDescent="0.3">
      <c r="A106"/>
      <c r="B106" s="21" t="s">
        <v>990</v>
      </c>
      <c r="C106" t="s">
        <v>193</v>
      </c>
      <c r="D106" t="s">
        <v>204</v>
      </c>
      <c r="E106" s="31">
        <v>11</v>
      </c>
      <c r="F106" s="21" t="s">
        <v>9</v>
      </c>
      <c r="G106"/>
      <c r="H106"/>
      <c r="I106" t="s">
        <v>234</v>
      </c>
      <c r="J106" t="s">
        <v>9</v>
      </c>
      <c r="K106" t="s">
        <v>204</v>
      </c>
      <c r="L106" s="21" t="s">
        <v>987</v>
      </c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</row>
    <row r="107" spans="1:155" s="11" customFormat="1" x14ac:dyDescent="0.3">
      <c r="A107"/>
      <c r="B107" s="21" t="s">
        <v>990</v>
      </c>
      <c r="C107" t="s">
        <v>193</v>
      </c>
      <c r="D107" t="s">
        <v>205</v>
      </c>
      <c r="E107" s="31">
        <v>12</v>
      </c>
      <c r="F107" s="21" t="s">
        <v>9</v>
      </c>
      <c r="G107"/>
      <c r="H107"/>
      <c r="I107" t="s">
        <v>234</v>
      </c>
      <c r="J107" t="s">
        <v>9</v>
      </c>
      <c r="K107" t="s">
        <v>205</v>
      </c>
      <c r="L107" s="21" t="s">
        <v>987</v>
      </c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</row>
    <row r="108" spans="1:155" s="11" customFormat="1" x14ac:dyDescent="0.3">
      <c r="A108"/>
      <c r="B108" s="21" t="s">
        <v>990</v>
      </c>
      <c r="C108" t="s">
        <v>193</v>
      </c>
      <c r="D108" t="s">
        <v>206</v>
      </c>
      <c r="E108" s="31">
        <v>13</v>
      </c>
      <c r="F108" s="21" t="s">
        <v>9</v>
      </c>
      <c r="G108"/>
      <c r="H108"/>
      <c r="I108" t="s">
        <v>234</v>
      </c>
      <c r="J108" t="s">
        <v>9</v>
      </c>
      <c r="K108" t="s">
        <v>206</v>
      </c>
      <c r="L108" s="21" t="s">
        <v>987</v>
      </c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</row>
    <row r="109" spans="1:155" s="11" customFormat="1" x14ac:dyDescent="0.3">
      <c r="A109"/>
      <c r="B109" s="21" t="s">
        <v>990</v>
      </c>
      <c r="C109" t="s">
        <v>193</v>
      </c>
      <c r="D109" t="s">
        <v>207</v>
      </c>
      <c r="E109" s="31">
        <v>14</v>
      </c>
      <c r="F109" s="21" t="s">
        <v>9</v>
      </c>
      <c r="G109"/>
      <c r="H109"/>
      <c r="I109" t="s">
        <v>234</v>
      </c>
      <c r="J109" t="s">
        <v>9</v>
      </c>
      <c r="K109" t="s">
        <v>207</v>
      </c>
      <c r="L109" s="21" t="s">
        <v>987</v>
      </c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</row>
    <row r="110" spans="1:155" s="11" customFormat="1" x14ac:dyDescent="0.3">
      <c r="A110"/>
      <c r="B110" s="21" t="s">
        <v>990</v>
      </c>
      <c r="C110" t="s">
        <v>193</v>
      </c>
      <c r="D110" t="s">
        <v>208</v>
      </c>
      <c r="E110" s="31">
        <v>15</v>
      </c>
      <c r="F110" s="21" t="s">
        <v>9</v>
      </c>
      <c r="G110"/>
      <c r="H110"/>
      <c r="I110" t="s">
        <v>234</v>
      </c>
      <c r="J110" t="s">
        <v>9</v>
      </c>
      <c r="K110" t="s">
        <v>208</v>
      </c>
      <c r="L110" s="21" t="s">
        <v>987</v>
      </c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</row>
    <row r="111" spans="1:155" s="11" customFormat="1" x14ac:dyDescent="0.3">
      <c r="A111"/>
      <c r="B111" s="21" t="s">
        <v>990</v>
      </c>
      <c r="C111" t="s">
        <v>193</v>
      </c>
      <c r="D111" t="s">
        <v>209</v>
      </c>
      <c r="E111" s="31">
        <v>16</v>
      </c>
      <c r="F111" s="21" t="s">
        <v>9</v>
      </c>
      <c r="G111"/>
      <c r="H111"/>
      <c r="I111" t="s">
        <v>234</v>
      </c>
      <c r="J111" t="s">
        <v>9</v>
      </c>
      <c r="K111" t="s">
        <v>209</v>
      </c>
      <c r="L111" s="21" t="s">
        <v>987</v>
      </c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</row>
    <row r="112" spans="1:155" s="11" customFormat="1" x14ac:dyDescent="0.3">
      <c r="A112"/>
      <c r="B112" s="21" t="s">
        <v>990</v>
      </c>
      <c r="C112" t="s">
        <v>193</v>
      </c>
      <c r="D112" t="s">
        <v>210</v>
      </c>
      <c r="E112" s="31">
        <v>17</v>
      </c>
      <c r="F112" s="21" t="s">
        <v>9</v>
      </c>
      <c r="G112"/>
      <c r="H112"/>
      <c r="I112" t="s">
        <v>234</v>
      </c>
      <c r="J112" t="s">
        <v>9</v>
      </c>
      <c r="K112" t="s">
        <v>210</v>
      </c>
      <c r="L112" s="21" t="s">
        <v>987</v>
      </c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</row>
    <row r="113" spans="1:155" s="11" customFormat="1" x14ac:dyDescent="0.3">
      <c r="A113"/>
      <c r="B113" s="21" t="s">
        <v>990</v>
      </c>
      <c r="C113" t="s">
        <v>193</v>
      </c>
      <c r="D113" t="s">
        <v>211</v>
      </c>
      <c r="E113" s="31">
        <v>18</v>
      </c>
      <c r="F113" s="21" t="s">
        <v>9</v>
      </c>
      <c r="G113"/>
      <c r="H113"/>
      <c r="I113" t="s">
        <v>234</v>
      </c>
      <c r="J113" t="s">
        <v>9</v>
      </c>
      <c r="K113" t="s">
        <v>211</v>
      </c>
      <c r="L113" s="21" t="s">
        <v>987</v>
      </c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</row>
    <row r="114" spans="1:155" s="11" customFormat="1" x14ac:dyDescent="0.3">
      <c r="A114"/>
      <c r="B114" s="21" t="s">
        <v>990</v>
      </c>
      <c r="C114" t="s">
        <v>193</v>
      </c>
      <c r="D114" t="s">
        <v>212</v>
      </c>
      <c r="E114" s="31">
        <v>19</v>
      </c>
      <c r="F114" s="21" t="s">
        <v>9</v>
      </c>
      <c r="G114"/>
      <c r="H114"/>
      <c r="I114" t="s">
        <v>234</v>
      </c>
      <c r="J114" t="s">
        <v>9</v>
      </c>
      <c r="K114" t="s">
        <v>212</v>
      </c>
      <c r="L114" s="21" t="s">
        <v>987</v>
      </c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</row>
    <row r="115" spans="1:155" s="11" customFormat="1" x14ac:dyDescent="0.3">
      <c r="A115"/>
      <c r="B115" s="21" t="s">
        <v>990</v>
      </c>
      <c r="C115" t="s">
        <v>193</v>
      </c>
      <c r="D115" t="s">
        <v>213</v>
      </c>
      <c r="E115" s="31">
        <v>20</v>
      </c>
      <c r="F115" s="21" t="s">
        <v>9</v>
      </c>
      <c r="G115"/>
      <c r="H115"/>
      <c r="I115" t="s">
        <v>234</v>
      </c>
      <c r="J115" t="s">
        <v>9</v>
      </c>
      <c r="K115" t="s">
        <v>213</v>
      </c>
      <c r="L115" s="21" t="s">
        <v>987</v>
      </c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</row>
    <row r="116" spans="1:155" s="11" customFormat="1" x14ac:dyDescent="0.3">
      <c r="A116"/>
      <c r="B116" s="21" t="s">
        <v>990</v>
      </c>
      <c r="C116" t="s">
        <v>193</v>
      </c>
      <c r="D116" t="s">
        <v>214</v>
      </c>
      <c r="E116" s="31">
        <v>21</v>
      </c>
      <c r="F116" s="21" t="s">
        <v>9</v>
      </c>
      <c r="G116"/>
      <c r="H116"/>
      <c r="I116" t="s">
        <v>234</v>
      </c>
      <c r="J116" t="s">
        <v>9</v>
      </c>
      <c r="K116" t="s">
        <v>214</v>
      </c>
      <c r="L116" s="21" t="s">
        <v>987</v>
      </c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</row>
    <row r="117" spans="1:155" s="11" customFormat="1" x14ac:dyDescent="0.3">
      <c r="A117"/>
      <c r="B117" s="21" t="s">
        <v>990</v>
      </c>
      <c r="C117" t="s">
        <v>193</v>
      </c>
      <c r="D117" t="s">
        <v>215</v>
      </c>
      <c r="E117" s="31">
        <v>22</v>
      </c>
      <c r="F117" s="21" t="s">
        <v>9</v>
      </c>
      <c r="G117"/>
      <c r="H117"/>
      <c r="I117" t="s">
        <v>234</v>
      </c>
      <c r="J117" t="s">
        <v>9</v>
      </c>
      <c r="K117" t="s">
        <v>215</v>
      </c>
      <c r="L117" s="21" t="s">
        <v>987</v>
      </c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</row>
    <row r="118" spans="1:155" s="11" customFormat="1" x14ac:dyDescent="0.3">
      <c r="A118"/>
      <c r="B118" s="21" t="s">
        <v>990</v>
      </c>
      <c r="C118" t="s">
        <v>193</v>
      </c>
      <c r="D118" t="s">
        <v>216</v>
      </c>
      <c r="E118" s="31">
        <v>23</v>
      </c>
      <c r="F118" s="21" t="s">
        <v>9</v>
      </c>
      <c r="G118"/>
      <c r="H118"/>
      <c r="I118" t="s">
        <v>234</v>
      </c>
      <c r="J118" t="s">
        <v>9</v>
      </c>
      <c r="K118" t="s">
        <v>216</v>
      </c>
      <c r="L118" s="21" t="s">
        <v>987</v>
      </c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</row>
    <row r="119" spans="1:155" s="11" customFormat="1" x14ac:dyDescent="0.3">
      <c r="A119"/>
      <c r="B119" s="21" t="s">
        <v>990</v>
      </c>
      <c r="C119" t="s">
        <v>193</v>
      </c>
      <c r="D119" t="s">
        <v>217</v>
      </c>
      <c r="E119" s="31">
        <v>24</v>
      </c>
      <c r="F119" s="21" t="s">
        <v>9</v>
      </c>
      <c r="G119"/>
      <c r="H119"/>
      <c r="I119" t="s">
        <v>234</v>
      </c>
      <c r="J119" t="s">
        <v>9</v>
      </c>
      <c r="K119" t="s">
        <v>217</v>
      </c>
      <c r="L119" s="21" t="s">
        <v>987</v>
      </c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</row>
    <row r="120" spans="1:155" s="11" customFormat="1" x14ac:dyDescent="0.3">
      <c r="A120"/>
      <c r="B120" s="21" t="s">
        <v>990</v>
      </c>
      <c r="C120" t="s">
        <v>193</v>
      </c>
      <c r="D120" t="s">
        <v>218</v>
      </c>
      <c r="E120" s="31">
        <v>25</v>
      </c>
      <c r="F120" s="21" t="s">
        <v>9</v>
      </c>
      <c r="G120"/>
      <c r="H120"/>
      <c r="I120" t="s">
        <v>234</v>
      </c>
      <c r="J120" t="s">
        <v>9</v>
      </c>
      <c r="K120" t="s">
        <v>218</v>
      </c>
      <c r="L120" s="21" t="s">
        <v>987</v>
      </c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</row>
    <row r="121" spans="1:155" s="11" customFormat="1" x14ac:dyDescent="0.3">
      <c r="A121"/>
      <c r="B121" s="21" t="s">
        <v>990</v>
      </c>
      <c r="C121" t="s">
        <v>193</v>
      </c>
      <c r="D121" t="s">
        <v>219</v>
      </c>
      <c r="E121" s="31">
        <v>26</v>
      </c>
      <c r="F121" s="21" t="s">
        <v>9</v>
      </c>
      <c r="G121"/>
      <c r="H121"/>
      <c r="I121" t="s">
        <v>234</v>
      </c>
      <c r="J121" t="s">
        <v>9</v>
      </c>
      <c r="K121" t="s">
        <v>219</v>
      </c>
      <c r="L121" s="21" t="s">
        <v>987</v>
      </c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</row>
    <row r="122" spans="1:155" s="11" customFormat="1" x14ac:dyDescent="0.3">
      <c r="A122"/>
      <c r="B122" s="21" t="s">
        <v>990</v>
      </c>
      <c r="C122" t="s">
        <v>193</v>
      </c>
      <c r="D122" t="s">
        <v>220</v>
      </c>
      <c r="E122" s="31">
        <v>27</v>
      </c>
      <c r="F122" s="21" t="s">
        <v>9</v>
      </c>
      <c r="G122"/>
      <c r="H122"/>
      <c r="I122" t="s">
        <v>234</v>
      </c>
      <c r="J122" t="s">
        <v>9</v>
      </c>
      <c r="K122" t="s">
        <v>220</v>
      </c>
      <c r="L122" s="21" t="s">
        <v>987</v>
      </c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</row>
    <row r="123" spans="1:155" s="11" customFormat="1" x14ac:dyDescent="0.3">
      <c r="A123"/>
      <c r="B123" s="21" t="s">
        <v>990</v>
      </c>
      <c r="C123" t="s">
        <v>193</v>
      </c>
      <c r="D123" t="s">
        <v>221</v>
      </c>
      <c r="E123" s="31">
        <v>28</v>
      </c>
      <c r="F123" s="21" t="s">
        <v>9</v>
      </c>
      <c r="G123"/>
      <c r="H123"/>
      <c r="I123" t="s">
        <v>234</v>
      </c>
      <c r="J123" t="s">
        <v>9</v>
      </c>
      <c r="K123" t="s">
        <v>221</v>
      </c>
      <c r="L123" s="21" t="s">
        <v>987</v>
      </c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</row>
    <row r="124" spans="1:155" s="11" customFormat="1" x14ac:dyDescent="0.3">
      <c r="A124"/>
      <c r="B124" s="21" t="s">
        <v>990</v>
      </c>
      <c r="C124" t="s">
        <v>193</v>
      </c>
      <c r="D124" t="s">
        <v>222</v>
      </c>
      <c r="E124" s="31">
        <v>29</v>
      </c>
      <c r="F124" s="21" t="s">
        <v>9</v>
      </c>
      <c r="G124"/>
      <c r="H124"/>
      <c r="I124" t="s">
        <v>234</v>
      </c>
      <c r="J124" t="s">
        <v>9</v>
      </c>
      <c r="K124" t="s">
        <v>222</v>
      </c>
      <c r="L124" s="21" t="s">
        <v>987</v>
      </c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</row>
    <row r="125" spans="1:155" s="11" customFormat="1" x14ac:dyDescent="0.3">
      <c r="A125"/>
      <c r="B125" s="21" t="s">
        <v>990</v>
      </c>
      <c r="C125" t="s">
        <v>193</v>
      </c>
      <c r="D125" t="s">
        <v>223</v>
      </c>
      <c r="E125" s="31">
        <v>30</v>
      </c>
      <c r="F125" s="21" t="s">
        <v>9</v>
      </c>
      <c r="G125"/>
      <c r="H125"/>
      <c r="I125" t="s">
        <v>234</v>
      </c>
      <c r="J125" t="s">
        <v>9</v>
      </c>
      <c r="K125" t="s">
        <v>223</v>
      </c>
      <c r="L125" s="21" t="s">
        <v>987</v>
      </c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</row>
    <row r="126" spans="1:155" s="11" customFormat="1" x14ac:dyDescent="0.3">
      <c r="A126"/>
      <c r="B126" s="21" t="s">
        <v>990</v>
      </c>
      <c r="C126" t="s">
        <v>193</v>
      </c>
      <c r="D126" t="s">
        <v>224</v>
      </c>
      <c r="E126" s="31">
        <v>31</v>
      </c>
      <c r="F126" s="21" t="s">
        <v>9</v>
      </c>
      <c r="G126"/>
      <c r="H126"/>
      <c r="I126" t="s">
        <v>234</v>
      </c>
      <c r="J126" t="s">
        <v>9</v>
      </c>
      <c r="K126" t="s">
        <v>224</v>
      </c>
      <c r="L126" s="21" t="s">
        <v>987</v>
      </c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</row>
    <row r="127" spans="1:155" s="11" customFormat="1" x14ac:dyDescent="0.3">
      <c r="A127"/>
      <c r="B127" s="21" t="s">
        <v>990</v>
      </c>
      <c r="C127" t="s">
        <v>193</v>
      </c>
      <c r="D127" t="s">
        <v>225</v>
      </c>
      <c r="E127" s="31">
        <v>32</v>
      </c>
      <c r="F127" s="21" t="s">
        <v>9</v>
      </c>
      <c r="G127"/>
      <c r="H127"/>
      <c r="I127" t="s">
        <v>234</v>
      </c>
      <c r="J127" t="s">
        <v>9</v>
      </c>
      <c r="K127" t="s">
        <v>225</v>
      </c>
      <c r="L127" s="21" t="s">
        <v>987</v>
      </c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</row>
    <row r="128" spans="1:155" s="11" customFormat="1" x14ac:dyDescent="0.3">
      <c r="A128"/>
      <c r="B128" s="21" t="s">
        <v>990</v>
      </c>
      <c r="C128" t="s">
        <v>193</v>
      </c>
      <c r="D128" t="s">
        <v>226</v>
      </c>
      <c r="E128" s="31">
        <v>33</v>
      </c>
      <c r="F128" s="21" t="s">
        <v>9</v>
      </c>
      <c r="G128"/>
      <c r="H128"/>
      <c r="I128" t="s">
        <v>234</v>
      </c>
      <c r="J128" t="s">
        <v>9</v>
      </c>
      <c r="K128" t="s">
        <v>226</v>
      </c>
      <c r="L128" s="21" t="s">
        <v>987</v>
      </c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</row>
    <row r="129" spans="1:155" s="11" customFormat="1" x14ac:dyDescent="0.3">
      <c r="A129"/>
      <c r="B129" s="21" t="s">
        <v>990</v>
      </c>
      <c r="C129" t="s">
        <v>193</v>
      </c>
      <c r="D129" t="s">
        <v>227</v>
      </c>
      <c r="E129" s="31">
        <v>34</v>
      </c>
      <c r="F129" s="21" t="s">
        <v>9</v>
      </c>
      <c r="G129"/>
      <c r="H129"/>
      <c r="I129" t="s">
        <v>234</v>
      </c>
      <c r="J129" t="s">
        <v>9</v>
      </c>
      <c r="K129" t="s">
        <v>227</v>
      </c>
      <c r="L129" s="21" t="s">
        <v>987</v>
      </c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</row>
    <row r="130" spans="1:155" s="11" customFormat="1" x14ac:dyDescent="0.3">
      <c r="A130"/>
      <c r="B130" s="21" t="s">
        <v>990</v>
      </c>
      <c r="C130" t="s">
        <v>193</v>
      </c>
      <c r="D130" t="s">
        <v>228</v>
      </c>
      <c r="E130" s="31">
        <v>35</v>
      </c>
      <c r="F130" s="21" t="s">
        <v>9</v>
      </c>
      <c r="G130"/>
      <c r="H130"/>
      <c r="I130" t="s">
        <v>234</v>
      </c>
      <c r="J130" t="s">
        <v>9</v>
      </c>
      <c r="K130" t="s">
        <v>228</v>
      </c>
      <c r="L130" s="21" t="s">
        <v>987</v>
      </c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</row>
    <row r="131" spans="1:155" s="11" customFormat="1" x14ac:dyDescent="0.3">
      <c r="A131"/>
      <c r="B131" s="21" t="s">
        <v>990</v>
      </c>
      <c r="C131" t="s">
        <v>193</v>
      </c>
      <c r="D131" t="s">
        <v>229</v>
      </c>
      <c r="E131" s="31">
        <v>36</v>
      </c>
      <c r="F131" s="21" t="s">
        <v>9</v>
      </c>
      <c r="G131"/>
      <c r="H131"/>
      <c r="I131" t="s">
        <v>234</v>
      </c>
      <c r="J131" t="s">
        <v>9</v>
      </c>
      <c r="K131" t="s">
        <v>229</v>
      </c>
      <c r="L131" s="21" t="s">
        <v>987</v>
      </c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</row>
    <row r="132" spans="1:155" s="11" customFormat="1" x14ac:dyDescent="0.3">
      <c r="A132"/>
      <c r="B132" s="21" t="s">
        <v>990</v>
      </c>
      <c r="C132" t="s">
        <v>193</v>
      </c>
      <c r="D132" t="s">
        <v>230</v>
      </c>
      <c r="E132" s="31">
        <v>37</v>
      </c>
      <c r="F132" s="21" t="s">
        <v>9</v>
      </c>
      <c r="G132"/>
      <c r="H132"/>
      <c r="I132" t="s">
        <v>234</v>
      </c>
      <c r="J132" t="s">
        <v>9</v>
      </c>
      <c r="K132" t="s">
        <v>230</v>
      </c>
      <c r="L132" s="21" t="s">
        <v>987</v>
      </c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</row>
    <row r="133" spans="1:155" s="11" customFormat="1" x14ac:dyDescent="0.3">
      <c r="A133"/>
      <c r="B133" s="21" t="s">
        <v>990</v>
      </c>
      <c r="C133" t="s">
        <v>193</v>
      </c>
      <c r="D133" t="s">
        <v>231</v>
      </c>
      <c r="E133" s="31">
        <v>38</v>
      </c>
      <c r="F133" s="21" t="s">
        <v>9</v>
      </c>
      <c r="G133"/>
      <c r="H133"/>
      <c r="I133" t="s">
        <v>234</v>
      </c>
      <c r="J133" t="s">
        <v>9</v>
      </c>
      <c r="K133" t="s">
        <v>231</v>
      </c>
      <c r="L133" s="21" t="s">
        <v>987</v>
      </c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</row>
    <row r="134" spans="1:155" s="11" customFormat="1" x14ac:dyDescent="0.3">
      <c r="A134"/>
      <c r="B134" s="21" t="s">
        <v>990</v>
      </c>
      <c r="C134" t="s">
        <v>193</v>
      </c>
      <c r="D134" t="s">
        <v>232</v>
      </c>
      <c r="E134" s="31">
        <v>39</v>
      </c>
      <c r="F134" s="21" t="s">
        <v>9</v>
      </c>
      <c r="G134"/>
      <c r="H134"/>
      <c r="I134" t="s">
        <v>234</v>
      </c>
      <c r="J134" t="s">
        <v>9</v>
      </c>
      <c r="K134" t="s">
        <v>232</v>
      </c>
      <c r="L134" s="21" t="s">
        <v>987</v>
      </c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</row>
    <row r="135" spans="1:155" s="11" customFormat="1" x14ac:dyDescent="0.3">
      <c r="A135"/>
      <c r="B135" s="21" t="s">
        <v>990</v>
      </c>
      <c r="C135" t="s">
        <v>193</v>
      </c>
      <c r="D135" t="s">
        <v>233</v>
      </c>
      <c r="E135" s="31">
        <v>40</v>
      </c>
      <c r="F135" s="21" t="s">
        <v>9</v>
      </c>
      <c r="G135"/>
      <c r="H135"/>
      <c r="I135" t="s">
        <v>234</v>
      </c>
      <c r="J135" t="s">
        <v>9</v>
      </c>
      <c r="K135" t="s">
        <v>233</v>
      </c>
      <c r="L135" s="21" t="s">
        <v>987</v>
      </c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</row>
    <row r="136" spans="1:155" x14ac:dyDescent="0.3">
      <c r="E136" s="6"/>
    </row>
    <row r="137" spans="1:155" x14ac:dyDescent="0.3">
      <c r="E137" s="6"/>
    </row>
    <row r="138" spans="1:155" x14ac:dyDescent="0.3">
      <c r="E138" s="6"/>
    </row>
    <row r="139" spans="1:155" x14ac:dyDescent="0.3">
      <c r="E139" s="6"/>
    </row>
    <row r="140" spans="1:155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125" s="9" customFormat="1" ht="21" x14ac:dyDescent="0.4">
      <c r="A1" s="37" t="s">
        <v>0</v>
      </c>
      <c r="B1" s="37" t="s">
        <v>1</v>
      </c>
      <c r="C1" s="37" t="s">
        <v>11</v>
      </c>
      <c r="D1" s="37" t="s">
        <v>13</v>
      </c>
      <c r="E1" s="37" t="s">
        <v>143</v>
      </c>
    </row>
    <row r="2" spans="1:125" s="14" customFormat="1" x14ac:dyDescent="0.3">
      <c r="A2" t="s">
        <v>16</v>
      </c>
      <c r="B2" t="s">
        <v>17</v>
      </c>
      <c r="C2" t="s">
        <v>35</v>
      </c>
      <c r="D2" s="38">
        <f>inputs!E3/(1 - inputs!E4/1000)</f>
        <v>647799.41772914364</v>
      </c>
      <c r="E2" t="str">
        <f ca="1">_xlfn.FORMULATEXT(D2)</f>
        <v>=inputs!E3/(1 - inputs!E4/1000)</v>
      </c>
      <c r="F2" s="39" t="s">
        <v>813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</row>
    <row r="3" spans="1:125" s="12" customFormat="1" x14ac:dyDescent="0.3">
      <c r="A3" t="s">
        <v>16</v>
      </c>
      <c r="B3" t="s">
        <v>17</v>
      </c>
      <c r="C3" t="s">
        <v>36</v>
      </c>
      <c r="D3" s="38">
        <f>inputs!E3-inputs!E5*inputs!E3</f>
        <v>645079.41810000001</v>
      </c>
      <c r="E3" t="str">
        <f t="shared" ref="E3:E66" ca="1" si="0">_xlfn.FORMULATEXT(D3)</f>
        <v>=inputs!E3-inputs!E5*inputs!E3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</row>
    <row r="4" spans="1:125" s="12" customFormat="1" ht="16.05" customHeight="1" x14ac:dyDescent="0.3">
      <c r="A4" t="s">
        <v>16</v>
      </c>
      <c r="B4" t="s">
        <v>17</v>
      </c>
      <c r="C4" t="s">
        <v>37</v>
      </c>
      <c r="D4" s="10">
        <f>D3-inputs!$E$6*computations!D3</f>
        <v>644627.86250733002</v>
      </c>
      <c r="E4" t="str">
        <f t="shared" ca="1" si="0"/>
        <v>=D3-inputs!$E$6*computations!D3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</row>
    <row r="5" spans="1:125" s="12" customFormat="1" ht="16.05" customHeight="1" x14ac:dyDescent="0.3">
      <c r="A5" t="s">
        <v>16</v>
      </c>
      <c r="B5" t="s">
        <v>17</v>
      </c>
      <c r="C5" t="s">
        <v>38</v>
      </c>
      <c r="D5" s="10">
        <f>D4-inputs!$E$6*D4</f>
        <v>644176.6230035749</v>
      </c>
      <c r="E5" t="str">
        <f t="shared" ca="1" si="0"/>
        <v>=D4-inputs!$E$6*D4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</row>
    <row r="6" spans="1:125" s="12" customFormat="1" ht="16.05" customHeight="1" x14ac:dyDescent="0.3">
      <c r="A6" t="s">
        <v>16</v>
      </c>
      <c r="B6" t="s">
        <v>17</v>
      </c>
      <c r="C6" t="s">
        <v>39</v>
      </c>
      <c r="D6" s="10">
        <f>D5-inputs!$E$6*D5</f>
        <v>643725.69936747244</v>
      </c>
      <c r="E6" t="str">
        <f t="shared" ca="1" si="0"/>
        <v>=D5-inputs!$E$6*D5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</row>
    <row r="7" spans="1:125" s="12" customFormat="1" ht="16.05" customHeight="1" x14ac:dyDescent="0.3">
      <c r="A7" t="s">
        <v>16</v>
      </c>
      <c r="B7" t="s">
        <v>17</v>
      </c>
      <c r="C7" t="s">
        <v>40</v>
      </c>
      <c r="D7" s="10">
        <f>D6-inputs!$E$6*D6</f>
        <v>643275.09137791523</v>
      </c>
      <c r="E7" t="str">
        <f t="shared" ca="1" si="0"/>
        <v>=D6-inputs!$E$6*D6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</row>
    <row r="8" spans="1:125" s="12" customFormat="1" ht="16.05" customHeight="1" x14ac:dyDescent="0.3">
      <c r="A8" t="s">
        <v>16</v>
      </c>
      <c r="B8" t="s">
        <v>17</v>
      </c>
      <c r="C8" t="s">
        <v>41</v>
      </c>
      <c r="D8" s="10">
        <f>D7-inputs!$E$6*D7</f>
        <v>642824.79881395074</v>
      </c>
      <c r="E8" t="str">
        <f t="shared" ca="1" si="0"/>
        <v>=D7-inputs!$E$6*D7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</row>
    <row r="9" spans="1:125" s="12" customFormat="1" ht="16.05" customHeight="1" x14ac:dyDescent="0.3">
      <c r="A9" t="s">
        <v>16</v>
      </c>
      <c r="B9" t="s">
        <v>17</v>
      </c>
      <c r="C9" t="s">
        <v>42</v>
      </c>
      <c r="D9" s="10">
        <f>D8-inputs!$E$6*D8</f>
        <v>642374.82145478099</v>
      </c>
      <c r="E9" t="str">
        <f t="shared" ca="1" si="0"/>
        <v>=D8-inputs!$E$6*D8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</row>
    <row r="10" spans="1:125" s="12" customFormat="1" ht="16.05" customHeight="1" x14ac:dyDescent="0.3">
      <c r="A10" t="s">
        <v>16</v>
      </c>
      <c r="B10" t="s">
        <v>17</v>
      </c>
      <c r="C10" t="s">
        <v>43</v>
      </c>
      <c r="D10" s="10">
        <f>D9-inputs!$E$6*D9</f>
        <v>641925.15907976264</v>
      </c>
      <c r="E10" t="str">
        <f t="shared" ca="1" si="0"/>
        <v>=D9-inputs!$E$6*D9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</row>
    <row r="11" spans="1:125" s="12" customFormat="1" ht="16.05" customHeight="1" x14ac:dyDescent="0.3">
      <c r="A11" t="s">
        <v>16</v>
      </c>
      <c r="B11" t="s">
        <v>17</v>
      </c>
      <c r="C11" t="s">
        <v>44</v>
      </c>
      <c r="D11" s="10">
        <f>D10-inputs!$E$6*D10</f>
        <v>641475.81146840681</v>
      </c>
      <c r="E11" t="str">
        <f t="shared" ca="1" si="0"/>
        <v>=D10-inputs!$E$6*D10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</row>
    <row r="12" spans="1:125" s="12" customFormat="1" ht="16.05" customHeight="1" x14ac:dyDescent="0.3">
      <c r="A12" t="s">
        <v>16</v>
      </c>
      <c r="B12" t="s">
        <v>17</v>
      </c>
      <c r="C12" t="s">
        <v>45</v>
      </c>
      <c r="D12" s="10">
        <f>D11-inputs!$E$6*D11</f>
        <v>641026.77840037888</v>
      </c>
      <c r="E12" t="str">
        <f t="shared" ca="1" si="0"/>
        <v>=D11-inputs!$E$6*D11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</row>
    <row r="13" spans="1:125" s="12" customFormat="1" ht="16.05" customHeight="1" x14ac:dyDescent="0.3">
      <c r="A13" t="s">
        <v>16</v>
      </c>
      <c r="B13" t="s">
        <v>17</v>
      </c>
      <c r="C13" t="s">
        <v>46</v>
      </c>
      <c r="D13" s="10">
        <f>D12-inputs!$E$6*D12</f>
        <v>640578.0596554986</v>
      </c>
      <c r="E13" t="str">
        <f t="shared" ca="1" si="0"/>
        <v>=D12-inputs!$E$6*D12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</row>
    <row r="14" spans="1:125" s="12" customFormat="1" ht="16.05" customHeight="1" x14ac:dyDescent="0.3">
      <c r="A14" t="s">
        <v>16</v>
      </c>
      <c r="B14" t="s">
        <v>47</v>
      </c>
      <c r="C14" t="s">
        <v>48</v>
      </c>
      <c r="D14" s="10">
        <f>D2*inputs!$E$7*inputs!$E$8</f>
        <v>103647.90683666299</v>
      </c>
      <c r="E14" t="str">
        <f t="shared" ca="1" si="0"/>
        <v>=D2*inputs!$E$7*inputs!$E$8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</row>
    <row r="15" spans="1:125" s="12" customFormat="1" ht="16.05" customHeight="1" x14ac:dyDescent="0.3">
      <c r="A15" t="s">
        <v>16</v>
      </c>
      <c r="B15" t="s">
        <v>47</v>
      </c>
      <c r="C15" t="s">
        <v>49</v>
      </c>
      <c r="D15" s="10">
        <f>D3*inputs!E11*inputs!E12</f>
        <v>103212.70689600002</v>
      </c>
      <c r="E15" t="str">
        <f t="shared" ca="1" si="0"/>
        <v>=D3*inputs!E11*inputs!E12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</row>
    <row r="16" spans="1:125" s="12" customFormat="1" ht="16.05" customHeight="1" x14ac:dyDescent="0.3">
      <c r="A16" t="s">
        <v>16</v>
      </c>
      <c r="B16" t="s">
        <v>47</v>
      </c>
      <c r="C16" t="s">
        <v>50</v>
      </c>
      <c r="D16" s="10">
        <f>D4*inputs!$E$11*inputs!$E$12*inputs!$E$15</f>
        <v>5157.0229000586405</v>
      </c>
      <c r="E16" t="str">
        <f t="shared" ca="1" si="0"/>
        <v>=D4*inputs!$E$11*inputs!$E$12*inputs!$E$15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</row>
    <row r="17" spans="1:125" s="12" customFormat="1" ht="16.05" customHeight="1" x14ac:dyDescent="0.3">
      <c r="A17" t="s">
        <v>16</v>
      </c>
      <c r="B17" t="s">
        <v>47</v>
      </c>
      <c r="C17" t="s">
        <v>51</v>
      </c>
      <c r="D17" s="10">
        <f>D5*inputs!$E$11*inputs!$E$12*inputs!$E$15</f>
        <v>5153.4129840286005</v>
      </c>
      <c r="E17" t="str">
        <f t="shared" ca="1" si="0"/>
        <v>=D5*inputs!$E$11*inputs!$E$12*inputs!$E$15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</row>
    <row r="18" spans="1:125" s="12" customFormat="1" ht="16.05" customHeight="1" x14ac:dyDescent="0.3">
      <c r="A18" t="s">
        <v>16</v>
      </c>
      <c r="B18" t="s">
        <v>47</v>
      </c>
      <c r="C18" t="s">
        <v>52</v>
      </c>
      <c r="D18" s="10">
        <f>D6*inputs!$E$11*inputs!$E$12*inputs!$E$15</f>
        <v>5149.8055949397803</v>
      </c>
      <c r="E18" t="str">
        <f t="shared" ca="1" si="0"/>
        <v>=D6*inputs!$E$11*inputs!$E$12*inputs!$E$15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</row>
    <row r="19" spans="1:125" s="12" customFormat="1" ht="16.05" customHeight="1" x14ac:dyDescent="0.3">
      <c r="A19" t="s">
        <v>16</v>
      </c>
      <c r="B19" t="s">
        <v>47</v>
      </c>
      <c r="C19" t="s">
        <v>53</v>
      </c>
      <c r="D19" s="10">
        <f>D7*inputs!$E$11*inputs!$E$12*inputs!$E$15</f>
        <v>5146.200731023323</v>
      </c>
      <c r="E19" t="str">
        <f t="shared" ca="1" si="0"/>
        <v>=D7*inputs!$E$11*inputs!$E$12*inputs!$E$15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</row>
    <row r="20" spans="1:125" s="12" customFormat="1" ht="16.05" customHeight="1" x14ac:dyDescent="0.3">
      <c r="A20" t="s">
        <v>16</v>
      </c>
      <c r="B20" t="s">
        <v>47</v>
      </c>
      <c r="C20" t="s">
        <v>54</v>
      </c>
      <c r="D20" s="10">
        <f>D8*inputs!$E$11*inputs!$E$12*inputs!$E$15</f>
        <v>5142.5983905116072</v>
      </c>
      <c r="E20" t="str">
        <f t="shared" ca="1" si="0"/>
        <v>=D8*inputs!$E$11*inputs!$E$12*inputs!$E$15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</row>
    <row r="21" spans="1:125" s="12" customFormat="1" ht="16.05" customHeight="1" x14ac:dyDescent="0.3">
      <c r="A21" t="s">
        <v>16</v>
      </c>
      <c r="B21" t="s">
        <v>47</v>
      </c>
      <c r="C21" t="s">
        <v>55</v>
      </c>
      <c r="D21" s="10">
        <f>D9*inputs!$E$11*inputs!$E$12*inputs!$E$15</f>
        <v>5138.9985716382489</v>
      </c>
      <c r="E21" t="str">
        <f t="shared" ca="1" si="0"/>
        <v>=D9*inputs!$E$11*inputs!$E$12*inputs!$E$15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</row>
    <row r="22" spans="1:125" s="12" customFormat="1" ht="16.05" customHeight="1" x14ac:dyDescent="0.3">
      <c r="A22" t="s">
        <v>16</v>
      </c>
      <c r="B22" t="s">
        <v>47</v>
      </c>
      <c r="C22" t="s">
        <v>56</v>
      </c>
      <c r="D22" s="10">
        <f>D10*inputs!$E$11*inputs!$E$12*inputs!$E$15</f>
        <v>5135.4012726381015</v>
      </c>
      <c r="E22" t="str">
        <f t="shared" ca="1" si="0"/>
        <v>=D10*inputs!$E$11*inputs!$E$12*inputs!$E$15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</row>
    <row r="23" spans="1:125" s="12" customFormat="1" ht="16.05" customHeight="1" x14ac:dyDescent="0.3">
      <c r="A23" t="s">
        <v>16</v>
      </c>
      <c r="B23" t="s">
        <v>47</v>
      </c>
      <c r="C23" t="s">
        <v>57</v>
      </c>
      <c r="D23" s="10">
        <f>D11*inputs!$E$11*inputs!$E$12*inputs!$E$15</f>
        <v>5131.8064917472548</v>
      </c>
      <c r="E23" t="str">
        <f t="shared" ca="1" si="0"/>
        <v>=D11*inputs!$E$11*inputs!$E$12*inputs!$E$15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</row>
    <row r="24" spans="1:125" s="12" customFormat="1" ht="16.05" customHeight="1" x14ac:dyDescent="0.3">
      <c r="A24" t="s">
        <v>16</v>
      </c>
      <c r="B24" t="s">
        <v>47</v>
      </c>
      <c r="C24" t="s">
        <v>58</v>
      </c>
      <c r="D24" s="10">
        <f>D12*inputs!$E$11*inputs!$E$12*inputs!$E$15</f>
        <v>5128.2142272030324</v>
      </c>
      <c r="E24" t="str">
        <f t="shared" ca="1" si="0"/>
        <v>=D12*inputs!$E$11*inputs!$E$12*inputs!$E$15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</row>
    <row r="25" spans="1:125" s="12" customFormat="1" ht="16.05" customHeight="1" x14ac:dyDescent="0.3">
      <c r="A25" t="s">
        <v>16</v>
      </c>
      <c r="B25" t="s">
        <v>47</v>
      </c>
      <c r="C25" t="s">
        <v>110</v>
      </c>
      <c r="D25" s="10">
        <f>D13*inputs!$E$11*inputs!$E$12*inputs!$E$15</f>
        <v>5124.6244772439895</v>
      </c>
      <c r="E25" t="str">
        <f t="shared" ca="1" si="0"/>
        <v>=D13*inputs!$E$11*inputs!$E$12*inputs!$E$15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</row>
    <row r="26" spans="1:125" s="12" customFormat="1" ht="16.05" customHeight="1" x14ac:dyDescent="0.3">
      <c r="A26" t="s">
        <v>16</v>
      </c>
      <c r="B26" t="s">
        <v>59</v>
      </c>
      <c r="C26" t="s">
        <v>61</v>
      </c>
      <c r="D26" s="10">
        <f>D2*inputs!E7*inputs!E9</f>
        <v>25911.976709165749</v>
      </c>
      <c r="E26" t="str">
        <f t="shared" ca="1" si="0"/>
        <v>=D2*inputs!E7*inputs!E9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</row>
    <row r="27" spans="1:125" s="12" customFormat="1" ht="16.05" customHeight="1" x14ac:dyDescent="0.3">
      <c r="A27" t="s">
        <v>16</v>
      </c>
      <c r="B27" t="s">
        <v>59</v>
      </c>
      <c r="C27" t="s">
        <v>62</v>
      </c>
      <c r="D27" s="10">
        <f>D3*inputs!E11*inputs!E13</f>
        <v>25803.176724000004</v>
      </c>
      <c r="E27" t="str">
        <f t="shared" ca="1" si="0"/>
        <v>=D3*inputs!E11*inputs!E13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</row>
    <row r="28" spans="1:125" s="12" customFormat="1" ht="16.05" customHeight="1" x14ac:dyDescent="0.3">
      <c r="A28" t="s">
        <v>16</v>
      </c>
      <c r="B28" t="s">
        <v>59</v>
      </c>
      <c r="C28" t="s">
        <v>111</v>
      </c>
      <c r="D28" s="10">
        <f>D4*inputs!$E$11*inputs!$E$13*inputs!$E$15</f>
        <v>1289.2557250146601</v>
      </c>
      <c r="E28" t="str">
        <f t="shared" ca="1" si="0"/>
        <v>=D4*inputs!$E$11*inputs!$E$13*inputs!$E$15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</row>
    <row r="29" spans="1:125" s="12" customFormat="1" ht="16.05" customHeight="1" x14ac:dyDescent="0.3">
      <c r="A29" t="s">
        <v>16</v>
      </c>
      <c r="B29" t="s">
        <v>59</v>
      </c>
      <c r="C29" t="s">
        <v>112</v>
      </c>
      <c r="D29" s="10">
        <f>D5*inputs!$E$11*inputs!$E$13*inputs!$E$15</f>
        <v>1288.3532460071501</v>
      </c>
      <c r="E29" t="str">
        <f t="shared" ca="1" si="0"/>
        <v>=D5*inputs!$E$11*inputs!$E$13*inputs!$E$15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</row>
    <row r="30" spans="1:125" s="12" customFormat="1" ht="16.05" customHeight="1" x14ac:dyDescent="0.3">
      <c r="A30" t="s">
        <v>16</v>
      </c>
      <c r="B30" t="s">
        <v>59</v>
      </c>
      <c r="C30" t="s">
        <v>113</v>
      </c>
      <c r="D30" s="10">
        <f>D6*inputs!$E$11*inputs!$E$13*inputs!$E$15</f>
        <v>1287.4513987349451</v>
      </c>
      <c r="E30" t="str">
        <f t="shared" ca="1" si="0"/>
        <v>=D6*inputs!$E$11*inputs!$E$13*inputs!$E$15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</row>
    <row r="31" spans="1:125" s="12" customFormat="1" ht="16.05" customHeight="1" x14ac:dyDescent="0.3">
      <c r="A31" t="s">
        <v>16</v>
      </c>
      <c r="B31" t="s">
        <v>59</v>
      </c>
      <c r="C31" t="s">
        <v>114</v>
      </c>
      <c r="D31" s="10">
        <f>D7*inputs!$E$11*inputs!$E$13*inputs!$E$15</f>
        <v>1286.5501827558307</v>
      </c>
      <c r="E31" t="str">
        <f t="shared" ca="1" si="0"/>
        <v>=D7*inputs!$E$11*inputs!$E$13*inputs!$E$15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</row>
    <row r="32" spans="1:125" s="12" customFormat="1" ht="16.05" customHeight="1" x14ac:dyDescent="0.3">
      <c r="A32" t="s">
        <v>16</v>
      </c>
      <c r="B32" t="s">
        <v>59</v>
      </c>
      <c r="C32" t="s">
        <v>115</v>
      </c>
      <c r="D32" s="10">
        <f>D8*inputs!$E$11*inputs!$E$13*inputs!$E$15</f>
        <v>1285.6495976279018</v>
      </c>
      <c r="E32" t="str">
        <f t="shared" ca="1" si="0"/>
        <v>=D8*inputs!$E$11*inputs!$E$13*inputs!$E$15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</row>
    <row r="33" spans="1:125" s="12" customFormat="1" ht="16.05" customHeight="1" x14ac:dyDescent="0.3">
      <c r="A33" t="s">
        <v>16</v>
      </c>
      <c r="B33" t="s">
        <v>59</v>
      </c>
      <c r="C33" t="s">
        <v>116</v>
      </c>
      <c r="D33" s="10">
        <f>D9*inputs!$E$11*inputs!$E$13*inputs!$E$15</f>
        <v>1284.7496429095622</v>
      </c>
      <c r="E33" t="str">
        <f t="shared" ca="1" si="0"/>
        <v>=D9*inputs!$E$11*inputs!$E$13*inputs!$E$15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</row>
    <row r="34" spans="1:125" s="12" customFormat="1" ht="16.05" customHeight="1" x14ac:dyDescent="0.3">
      <c r="A34" t="s">
        <v>16</v>
      </c>
      <c r="B34" t="s">
        <v>59</v>
      </c>
      <c r="C34" t="s">
        <v>117</v>
      </c>
      <c r="D34" s="10">
        <f>D10*inputs!$E$11*inputs!$E$13*inputs!$E$15</f>
        <v>1283.8503181595254</v>
      </c>
      <c r="E34" t="str">
        <f t="shared" ca="1" si="0"/>
        <v>=D10*inputs!$E$11*inputs!$E$13*inputs!$E$15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</row>
    <row r="35" spans="1:125" s="12" customFormat="1" ht="16.05" customHeight="1" x14ac:dyDescent="0.3">
      <c r="A35" t="s">
        <v>16</v>
      </c>
      <c r="B35" t="s">
        <v>59</v>
      </c>
      <c r="C35" t="s">
        <v>118</v>
      </c>
      <c r="D35" s="10">
        <f>D11*inputs!$E$11*inputs!$E$13*inputs!$E$15</f>
        <v>1282.9516229368137</v>
      </c>
      <c r="E35" t="str">
        <f t="shared" ca="1" si="0"/>
        <v>=D11*inputs!$E$11*inputs!$E$13*inputs!$E$15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</row>
    <row r="36" spans="1:125" s="12" customFormat="1" ht="16.05" customHeight="1" x14ac:dyDescent="0.3">
      <c r="A36" t="s">
        <v>16</v>
      </c>
      <c r="B36" t="s">
        <v>59</v>
      </c>
      <c r="C36" t="s">
        <v>119</v>
      </c>
      <c r="D36" s="10">
        <f>D12*inputs!$E$11*inputs!$E$13*inputs!$E$15</f>
        <v>1282.0535568007581</v>
      </c>
      <c r="E36" t="str">
        <f t="shared" ca="1" si="0"/>
        <v>=D12*inputs!$E$11*inputs!$E$13*inputs!$E$15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</row>
    <row r="37" spans="1:125" s="12" customFormat="1" ht="16.05" customHeight="1" x14ac:dyDescent="0.3">
      <c r="A37" t="s">
        <v>16</v>
      </c>
      <c r="B37" t="s">
        <v>59</v>
      </c>
      <c r="C37" t="s">
        <v>120</v>
      </c>
      <c r="D37" s="10">
        <f>D13*inputs!$E$11*inputs!$E$13*inputs!$E$15</f>
        <v>1281.1561193109974</v>
      </c>
      <c r="E37" t="str">
        <f t="shared" ca="1" si="0"/>
        <v>=D13*inputs!$E$11*inputs!$E$13*inputs!$E$15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</row>
    <row r="38" spans="1:125" s="12" customFormat="1" ht="16.05" customHeight="1" x14ac:dyDescent="0.3">
      <c r="A38" t="s">
        <v>16</v>
      </c>
      <c r="B38" t="s">
        <v>63</v>
      </c>
      <c r="C38" t="s">
        <v>64</v>
      </c>
      <c r="D38" s="10">
        <f>D2*inputs!E10</f>
        <v>22672.979620520029</v>
      </c>
      <c r="E38" t="str">
        <f t="shared" ca="1" si="0"/>
        <v>=D2*inputs!E10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</row>
    <row r="39" spans="1:125" s="12" customFormat="1" ht="16.05" customHeight="1" x14ac:dyDescent="0.3">
      <c r="A39" t="s">
        <v>16</v>
      </c>
      <c r="B39" t="s">
        <v>63</v>
      </c>
      <c r="C39" t="s">
        <v>65</v>
      </c>
      <c r="D39" s="10">
        <f>D3*inputs!E14</f>
        <v>64507.941810000004</v>
      </c>
      <c r="E39" t="str">
        <f t="shared" ca="1" si="0"/>
        <v>=D3*inputs!E14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</row>
    <row r="40" spans="1:125" s="12" customFormat="1" ht="16.05" customHeight="1" x14ac:dyDescent="0.3">
      <c r="A40" t="s">
        <v>16</v>
      </c>
      <c r="B40" t="s">
        <v>63</v>
      </c>
      <c r="C40" t="s">
        <v>121</v>
      </c>
      <c r="D40" s="10">
        <f>D4*inputs!$E$14*inputs!$E$16</f>
        <v>3223.1393125366503</v>
      </c>
      <c r="E40" t="str">
        <f t="shared" ca="1" si="0"/>
        <v>=D4*inputs!$E$14*inputs!$E$16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</row>
    <row r="41" spans="1:125" s="12" customFormat="1" ht="16.05" customHeight="1" x14ac:dyDescent="0.3">
      <c r="A41" t="s">
        <v>16</v>
      </c>
      <c r="B41" t="s">
        <v>63</v>
      </c>
      <c r="C41" t="s">
        <v>122</v>
      </c>
      <c r="D41" s="10">
        <f>D5*inputs!$E$14*inputs!$E$16</f>
        <v>3220.8831150178748</v>
      </c>
      <c r="E41" t="str">
        <f t="shared" ca="1" si="0"/>
        <v>=D5*inputs!$E$14*inputs!$E$16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</row>
    <row r="42" spans="1:125" s="12" customFormat="1" ht="16.05" customHeight="1" x14ac:dyDescent="0.3">
      <c r="A42" t="s">
        <v>16</v>
      </c>
      <c r="B42" t="s">
        <v>63</v>
      </c>
      <c r="C42" t="s">
        <v>123</v>
      </c>
      <c r="D42" s="10">
        <f>D6*inputs!$E$14*inputs!$E$16</f>
        <v>3218.6284968373625</v>
      </c>
      <c r="E42" t="str">
        <f t="shared" ca="1" si="0"/>
        <v>=D6*inputs!$E$14*inputs!$E$16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</row>
    <row r="43" spans="1:125" s="12" customFormat="1" ht="16.05" customHeight="1" x14ac:dyDescent="0.3">
      <c r="A43" t="s">
        <v>16</v>
      </c>
      <c r="B43" t="s">
        <v>63</v>
      </c>
      <c r="C43" t="s">
        <v>124</v>
      </c>
      <c r="D43" s="10">
        <f>D7*inputs!$E$14*inputs!$E$16</f>
        <v>3216.3754568895765</v>
      </c>
      <c r="E43" t="str">
        <f t="shared" ca="1" si="0"/>
        <v>=D7*inputs!$E$14*inputs!$E$16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</row>
    <row r="44" spans="1:125" s="12" customFormat="1" ht="16.05" customHeight="1" x14ac:dyDescent="0.3">
      <c r="A44" t="s">
        <v>16</v>
      </c>
      <c r="B44" t="s">
        <v>63</v>
      </c>
      <c r="C44" t="s">
        <v>125</v>
      </c>
      <c r="D44" s="10">
        <f>D8*inputs!$E$14*inputs!$E$16</f>
        <v>3214.1239940697542</v>
      </c>
      <c r="E44" t="str">
        <f t="shared" ca="1" si="0"/>
        <v>=D8*inputs!$E$14*inputs!$E$16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</row>
    <row r="45" spans="1:125" s="12" customFormat="1" ht="16.05" customHeight="1" x14ac:dyDescent="0.3">
      <c r="A45" t="s">
        <v>16</v>
      </c>
      <c r="B45" t="s">
        <v>63</v>
      </c>
      <c r="C45" t="s">
        <v>126</v>
      </c>
      <c r="D45" s="10">
        <f>D9*inputs!$E$14*inputs!$E$16</f>
        <v>3211.8741072739053</v>
      </c>
      <c r="E45" t="str">
        <f t="shared" ca="1" si="0"/>
        <v>=D9*inputs!$E$14*inputs!$E$16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</row>
    <row r="46" spans="1:125" s="12" customFormat="1" ht="16.05" customHeight="1" x14ac:dyDescent="0.3">
      <c r="A46" t="s">
        <v>16</v>
      </c>
      <c r="B46" t="s">
        <v>63</v>
      </c>
      <c r="C46" t="s">
        <v>127</v>
      </c>
      <c r="D46" s="10">
        <f>D10*inputs!$E$14*inputs!$E$16</f>
        <v>3209.6257953988134</v>
      </c>
      <c r="E46" t="str">
        <f t="shared" ca="1" si="0"/>
        <v>=D10*inputs!$E$14*inputs!$E$16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</row>
    <row r="47" spans="1:125" s="12" customFormat="1" ht="16.05" customHeight="1" x14ac:dyDescent="0.3">
      <c r="A47" t="s">
        <v>16</v>
      </c>
      <c r="B47" t="s">
        <v>63</v>
      </c>
      <c r="C47" t="s">
        <v>128</v>
      </c>
      <c r="D47" s="10">
        <f>D11*inputs!$E$14*inputs!$E$16</f>
        <v>3207.3790573420342</v>
      </c>
      <c r="E47" t="str">
        <f t="shared" ca="1" si="0"/>
        <v>=D11*inputs!$E$14*inputs!$E$16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</row>
    <row r="48" spans="1:125" s="12" customFormat="1" ht="16.05" customHeight="1" x14ac:dyDescent="0.3">
      <c r="A48" t="s">
        <v>16</v>
      </c>
      <c r="B48" t="s">
        <v>63</v>
      </c>
      <c r="C48" t="s">
        <v>129</v>
      </c>
      <c r="D48" s="10">
        <f>D12*inputs!$E$14*inputs!$E$16</f>
        <v>3205.1338920018948</v>
      </c>
      <c r="E48" t="str">
        <f t="shared" ca="1" si="0"/>
        <v>=D12*inputs!$E$14*inputs!$E$16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</row>
    <row r="49" spans="1:125" s="12" customFormat="1" ht="16.05" customHeight="1" x14ac:dyDescent="0.3">
      <c r="A49" t="s">
        <v>16</v>
      </c>
      <c r="B49" t="s">
        <v>63</v>
      </c>
      <c r="C49" t="s">
        <v>130</v>
      </c>
      <c r="D49" s="10">
        <f>D13*inputs!$E$14*inputs!$E$16</f>
        <v>3202.8902982774935</v>
      </c>
      <c r="E49" t="str">
        <f t="shared" ca="1" si="0"/>
        <v>=D13*inputs!$E$14*inputs!$E$16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</row>
    <row r="50" spans="1:125" s="12" customFormat="1" ht="16.05" customHeight="1" x14ac:dyDescent="0.3">
      <c r="A50" t="s">
        <v>16</v>
      </c>
      <c r="B50" t="s">
        <v>107</v>
      </c>
      <c r="C50" t="s">
        <v>150</v>
      </c>
      <c r="D50" s="40">
        <f>inputs!E24*(D2+D3)/100000</f>
        <v>71.108335970602909</v>
      </c>
      <c r="E50" t="str">
        <f t="shared" ca="1" si="0"/>
        <v>=inputs!E24*(D2+D3)/100000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</row>
    <row r="51" spans="1:125" s="12" customFormat="1" x14ac:dyDescent="0.3">
      <c r="A51" t="s">
        <v>16</v>
      </c>
      <c r="B51" t="s">
        <v>190</v>
      </c>
      <c r="C51" t="s">
        <v>66</v>
      </c>
      <c r="D51" s="10">
        <f>(D14*inputs!E17*inputs!E18)/(inputs!E31^0)</f>
        <v>10261.142776829636</v>
      </c>
      <c r="E51" t="str">
        <f t="shared" ca="1" si="0"/>
        <v>=(D14*inputs!E17*inputs!E18)/(inputs!E31^0)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</row>
    <row r="52" spans="1:125" s="12" customFormat="1" x14ac:dyDescent="0.3">
      <c r="A52" t="s">
        <v>16</v>
      </c>
      <c r="B52" t="s">
        <v>190</v>
      </c>
      <c r="C52" t="s">
        <v>67</v>
      </c>
      <c r="D52" s="10">
        <f>(D15*inputs!E17*inputs!E18)/(inputs!E31^1)</f>
        <v>9920.4446434019428</v>
      </c>
      <c r="E52" t="str">
        <f t="shared" ca="1" si="0"/>
        <v>=(D15*inputs!E17*inputs!E18)/(inputs!E31^1)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</row>
    <row r="53" spans="1:125" s="12" customFormat="1" x14ac:dyDescent="0.3">
      <c r="A53" t="s">
        <v>16</v>
      </c>
      <c r="B53" t="s">
        <v>190</v>
      </c>
      <c r="C53" t="s">
        <v>151</v>
      </c>
      <c r="D53" s="10">
        <f>(D16*inputs!$E$18)/(inputs!$E$31^2)</f>
        <v>1924.9515208061284</v>
      </c>
      <c r="E53" t="str">
        <f t="shared" ca="1" si="0"/>
        <v>=(D16*inputs!$E$18)/(inputs!$E$31^2)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</row>
    <row r="54" spans="1:125" s="12" customFormat="1" x14ac:dyDescent="0.3">
      <c r="A54" t="s">
        <v>16</v>
      </c>
      <c r="B54" t="s">
        <v>190</v>
      </c>
      <c r="C54" t="s">
        <v>152</v>
      </c>
      <c r="D54" s="10">
        <f>(D17*inputs!$E$18)/(inputs!$E$31^3)</f>
        <v>1867.5767521762762</v>
      </c>
      <c r="E54" t="str">
        <f t="shared" ca="1" si="0"/>
        <v>=(D17*inputs!$E$18)/(inputs!$E$31^3)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</row>
    <row r="55" spans="1:125" s="12" customFormat="1" x14ac:dyDescent="0.3">
      <c r="A55" t="s">
        <v>16</v>
      </c>
      <c r="B55" t="s">
        <v>190</v>
      </c>
      <c r="C55" t="s">
        <v>166</v>
      </c>
      <c r="D55" s="10">
        <f>(D18*inputs!$E$18)/(inputs!$E$31^4)</f>
        <v>1811.9120858735466</v>
      </c>
      <c r="E55" t="str">
        <f t="shared" ca="1" si="0"/>
        <v>=(D18*inputs!$E$18)/(inputs!$E$31^4)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</row>
    <row r="56" spans="1:125" s="12" customFormat="1" x14ac:dyDescent="0.3">
      <c r="A56" t="s">
        <v>16</v>
      </c>
      <c r="B56" t="s">
        <v>190</v>
      </c>
      <c r="C56" t="s">
        <v>167</v>
      </c>
      <c r="D56" s="10">
        <f>(D19*inputs!$E$18)/(inputs!$E$31^5)</f>
        <v>1757.9065508868307</v>
      </c>
      <c r="E56" t="str">
        <f t="shared" ca="1" si="0"/>
        <v>=(D19*inputs!$E$18)/(inputs!$E$31^5)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</row>
    <row r="57" spans="1:125" s="12" customFormat="1" x14ac:dyDescent="0.3">
      <c r="A57" t="s">
        <v>16</v>
      </c>
      <c r="B57" t="s">
        <v>190</v>
      </c>
      <c r="C57" t="s">
        <v>168</v>
      </c>
      <c r="D57" s="10">
        <f>(D20*inputs!$E$18)/(inputs!$E$31^6)</f>
        <v>1705.5106954380678</v>
      </c>
      <c r="E57" t="str">
        <f t="shared" ca="1" si="0"/>
        <v>=(D20*inputs!$E$18)/(inputs!$E$31^6)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</row>
    <row r="58" spans="1:125" s="12" customFormat="1" x14ac:dyDescent="0.3">
      <c r="A58" t="s">
        <v>16</v>
      </c>
      <c r="B58" t="s">
        <v>190</v>
      </c>
      <c r="C58" t="s">
        <v>169</v>
      </c>
      <c r="D58" s="10">
        <f>(D21*inputs!$E$18)/(inputs!$E$31^7)</f>
        <v>1654.6765417002532</v>
      </c>
      <c r="E58" t="str">
        <f t="shared" ca="1" si="0"/>
        <v>=(D21*inputs!$E$18)/(inputs!$E$31^7)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</row>
    <row r="59" spans="1:125" s="12" customFormat="1" x14ac:dyDescent="0.3">
      <c r="A59" t="s">
        <v>16</v>
      </c>
      <c r="B59" t="s">
        <v>190</v>
      </c>
      <c r="C59" t="s">
        <v>170</v>
      </c>
      <c r="D59" s="10">
        <f>(D22*inputs!$E$18)/(inputs!$E$31^8)</f>
        <v>1605.3575418651099</v>
      </c>
      <c r="E59" t="str">
        <f t="shared" ca="1" si="0"/>
        <v>=(D22*inputs!$E$18)/(inputs!$E$31^8)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</row>
    <row r="60" spans="1:125" s="12" customFormat="1" x14ac:dyDescent="0.3">
      <c r="A60" t="s">
        <v>16</v>
      </c>
      <c r="B60" t="s">
        <v>190</v>
      </c>
      <c r="C60" t="s">
        <v>171</v>
      </c>
      <c r="D60" s="10">
        <f>(D23*inputs!$E$18)/(inputs!$E$31^9)</f>
        <v>1557.5085355201984</v>
      </c>
      <c r="E60" t="str">
        <f t="shared" ca="1" si="0"/>
        <v>=(D23*inputs!$E$18)/(inputs!$E$31^9)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</row>
    <row r="61" spans="1:125" s="12" customFormat="1" x14ac:dyDescent="0.3">
      <c r="A61" t="s">
        <v>16</v>
      </c>
      <c r="B61" t="s">
        <v>190</v>
      </c>
      <c r="C61" t="s">
        <v>172</v>
      </c>
      <c r="D61" s="10">
        <f>(D24*inputs!$E$18)/(inputs!$E$31^10)</f>
        <v>1511.085708296441</v>
      </c>
      <c r="E61" t="str">
        <f t="shared" ca="1" si="0"/>
        <v>=(D24*inputs!$E$18)/(inputs!$E$31^10)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</row>
    <row r="62" spans="1:125" s="12" customFormat="1" x14ac:dyDescent="0.3">
      <c r="A62" t="s">
        <v>16</v>
      </c>
      <c r="B62" t="s">
        <v>190</v>
      </c>
      <c r="C62" t="s">
        <v>173</v>
      </c>
      <c r="D62" s="10">
        <f>(D25*inputs!$E$18)/(inputs!$E$31^11)</f>
        <v>1466.0465517481878</v>
      </c>
      <c r="E62" t="str">
        <f t="shared" ca="1" si="0"/>
        <v>=(D25*inputs!$E$18)/(inputs!$E$31^11)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</row>
    <row r="63" spans="1:125" s="12" customFormat="1" x14ac:dyDescent="0.3">
      <c r="A63" t="s">
        <v>16</v>
      </c>
      <c r="B63" t="s">
        <v>190</v>
      </c>
      <c r="C63" t="s">
        <v>71</v>
      </c>
      <c r="D63" s="10">
        <f>D26*inputs!E17*inputs!E19</f>
        <v>4262.5201686577657</v>
      </c>
      <c r="E63" t="str">
        <f t="shared" ca="1" si="0"/>
        <v>=D26*inputs!E17*inputs!E19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</row>
    <row r="64" spans="1:125" s="12" customFormat="1" x14ac:dyDescent="0.3">
      <c r="A64" t="s">
        <v>16</v>
      </c>
      <c r="B64" t="s">
        <v>190</v>
      </c>
      <c r="C64" t="s">
        <v>69</v>
      </c>
      <c r="D64" s="10">
        <f>(D27*inputs!E17*inputs!E19)/(inputs!E31^1)</f>
        <v>4120.9927874737868</v>
      </c>
      <c r="E64" t="str">
        <f t="shared" ca="1" si="0"/>
        <v>=(D27*inputs!E17*inputs!E19)/(inputs!E31^1)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</row>
    <row r="65" spans="1:125" s="12" customFormat="1" x14ac:dyDescent="0.3">
      <c r="A65" t="s">
        <v>16</v>
      </c>
      <c r="B65" t="s">
        <v>190</v>
      </c>
      <c r="C65" t="s">
        <v>70</v>
      </c>
      <c r="D65" s="10">
        <f>(D28*inputs!$E$19)/(inputs!$E$31^2)</f>
        <v>799.63263932476809</v>
      </c>
      <c r="E65" t="str">
        <f t="shared" ca="1" si="0"/>
        <v>=(D28*inputs!$E$19)/(inputs!$E$31^2)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</row>
    <row r="66" spans="1:125" s="12" customFormat="1" x14ac:dyDescent="0.3">
      <c r="A66" t="s">
        <v>16</v>
      </c>
      <c r="B66" t="s">
        <v>190</v>
      </c>
      <c r="C66" t="s">
        <v>164</v>
      </c>
      <c r="D66" s="10">
        <f>(D29*inputs!$E$19)/(inputs!$E$31^3)</f>
        <v>775.79892861868041</v>
      </c>
      <c r="E66" t="str">
        <f t="shared" ca="1" si="0"/>
        <v>=(D29*inputs!$E$19)/(inputs!$E$31^3)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</row>
    <row r="67" spans="1:125" s="12" customFormat="1" x14ac:dyDescent="0.3">
      <c r="A67" t="s">
        <v>16</v>
      </c>
      <c r="B67" t="s">
        <v>190</v>
      </c>
      <c r="C67" t="s">
        <v>165</v>
      </c>
      <c r="D67" s="10">
        <f>(D30*inputs!$E$19)/(inputs!$E$31^4)</f>
        <v>752.67560132878384</v>
      </c>
      <c r="E67" t="str">
        <f t="shared" ref="E67:E131" ca="1" si="1">_xlfn.FORMULATEXT(D67)</f>
        <v>=(D30*inputs!$E$19)/(inputs!$E$31^4)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</row>
    <row r="68" spans="1:125" s="12" customFormat="1" x14ac:dyDescent="0.3">
      <c r="A68" t="s">
        <v>16</v>
      </c>
      <c r="B68" t="s">
        <v>190</v>
      </c>
      <c r="C68" t="s">
        <v>174</v>
      </c>
      <c r="D68" s="10">
        <f>(D31*inputs!$E$19)/(inputs!$E$31^5)</f>
        <v>730.24148389112031</v>
      </c>
      <c r="E68" t="str">
        <f t="shared" ca="1" si="1"/>
        <v>=(D31*inputs!$E$19)/(inputs!$E$31^5)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</row>
    <row r="69" spans="1:125" s="12" customFormat="1" x14ac:dyDescent="0.3">
      <c r="A69" t="s">
        <v>16</v>
      </c>
      <c r="B69" t="s">
        <v>190</v>
      </c>
      <c r="C69" t="s">
        <v>175</v>
      </c>
      <c r="D69" s="10">
        <f>(D32*inputs!$E$19)/(inputs!$E$31^6)</f>
        <v>708.47603383727812</v>
      </c>
      <c r="E69" t="str">
        <f t="shared" ca="1" si="1"/>
        <v>=(D32*inputs!$E$19)/(inputs!$E$31^6)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</row>
    <row r="70" spans="1:125" s="12" customFormat="1" x14ac:dyDescent="0.3">
      <c r="A70" t="s">
        <v>16</v>
      </c>
      <c r="B70" t="s">
        <v>190</v>
      </c>
      <c r="C70" t="s">
        <v>176</v>
      </c>
      <c r="D70" s="10">
        <f>(D33*inputs!$E$19)/(inputs!$E$31^7)</f>
        <v>687.35932098406988</v>
      </c>
      <c r="E70" t="str">
        <f t="shared" ca="1" si="1"/>
        <v>=(D33*inputs!$E$19)/(inputs!$E$31^7)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</row>
    <row r="71" spans="1:125" s="12" customFormat="1" x14ac:dyDescent="0.3">
      <c r="A71" t="s">
        <v>16</v>
      </c>
      <c r="B71" t="s">
        <v>190</v>
      </c>
      <c r="C71" t="s">
        <v>177</v>
      </c>
      <c r="D71" s="10">
        <f>(D34*inputs!$E$19)/(inputs!$E$31^8)</f>
        <v>666.87200918386509</v>
      </c>
      <c r="E71" t="str">
        <f t="shared" ca="1" si="1"/>
        <v>=(D34*inputs!$E$19)/(inputs!$E$31^8)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</row>
    <row r="72" spans="1:125" s="12" customFormat="1" x14ac:dyDescent="0.3">
      <c r="A72" t="s">
        <v>16</v>
      </c>
      <c r="B72" t="s">
        <v>190</v>
      </c>
      <c r="C72" t="s">
        <v>178</v>
      </c>
      <c r="D72" s="10">
        <f>(D35*inputs!$E$19)/(inputs!$E$31^9)</f>
        <v>646.99533861887028</v>
      </c>
      <c r="E72" t="str">
        <f t="shared" ca="1" si="1"/>
        <v>=(D35*inputs!$E$19)/(inputs!$E$31^9)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</row>
    <row r="73" spans="1:125" s="12" customFormat="1" x14ac:dyDescent="0.3">
      <c r="A73" t="s">
        <v>16</v>
      </c>
      <c r="B73" t="s">
        <v>190</v>
      </c>
      <c r="C73" t="s">
        <v>179</v>
      </c>
      <c r="D73" s="10">
        <f>(D36*inputs!$E$19)/(inputs!$E$31^10)</f>
        <v>627.71110862314276</v>
      </c>
      <c r="E73" t="str">
        <f t="shared" ca="1" si="1"/>
        <v>=(D36*inputs!$E$19)/(inputs!$E$31^10)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</row>
    <row r="74" spans="1:125" s="12" customFormat="1" x14ac:dyDescent="0.3">
      <c r="A74" t="s">
        <v>16</v>
      </c>
      <c r="B74" t="s">
        <v>190</v>
      </c>
      <c r="C74" t="s">
        <v>180</v>
      </c>
      <c r="D74" s="10">
        <f>(D37*inputs!$E$19)/(inputs!$E$31^11)</f>
        <v>609.0016610166083</v>
      </c>
      <c r="E74" t="str">
        <f t="shared" ca="1" si="1"/>
        <v>=(D37*inputs!$E$19)/(inputs!$E$31^11)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</row>
    <row r="75" spans="1:125" s="12" customFormat="1" x14ac:dyDescent="0.3">
      <c r="A75" t="s">
        <v>16</v>
      </c>
      <c r="B75" t="s">
        <v>190</v>
      </c>
      <c r="C75" t="s">
        <v>72</v>
      </c>
      <c r="D75" s="10">
        <f>D38*inputs!E17*inputs!E20</f>
        <v>753.87657238229099</v>
      </c>
      <c r="E75" t="str">
        <f t="shared" ca="1" si="1"/>
        <v>=D38*inputs!E17*inputs!E20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</row>
    <row r="76" spans="1:125" s="12" customFormat="1" x14ac:dyDescent="0.3">
      <c r="A76" t="s">
        <v>16</v>
      </c>
      <c r="B76" t="s">
        <v>190</v>
      </c>
      <c r="C76" t="s">
        <v>73</v>
      </c>
      <c r="D76" s="10">
        <f>(D39*inputs!E17*inputs!E20)/(inputs!E31^1)</f>
        <v>2082.4165681383497</v>
      </c>
      <c r="E76" t="str">
        <f t="shared" ca="1" si="1"/>
        <v>=(D39*inputs!E17*inputs!E20)/(inputs!E31^1)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</row>
    <row r="77" spans="1:125" s="12" customFormat="1" x14ac:dyDescent="0.3">
      <c r="A77" t="s">
        <v>16</v>
      </c>
      <c r="B77" t="s">
        <v>190</v>
      </c>
      <c r="C77" t="s">
        <v>74</v>
      </c>
      <c r="D77" s="10">
        <f>(D40*inputs!$E$20)/(inputs!$E$31^2)</f>
        <v>404.06968476517534</v>
      </c>
      <c r="E77" t="str">
        <f t="shared" ca="1" si="1"/>
        <v>=(D40*inputs!$E$20)/(inputs!$E$31^2)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</row>
    <row r="78" spans="1:125" s="12" customFormat="1" x14ac:dyDescent="0.3">
      <c r="A78" t="s">
        <v>16</v>
      </c>
      <c r="B78" t="s">
        <v>190</v>
      </c>
      <c r="C78" t="s">
        <v>75</v>
      </c>
      <c r="D78" s="10">
        <f>(D41*inputs!$E$20)/(inputs!$E$31^3)</f>
        <v>392.02605435518421</v>
      </c>
      <c r="E78" t="str">
        <f t="shared" ca="1" si="1"/>
        <v>=(D41*inputs!$E$20)/(inputs!$E$31^3)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</row>
    <row r="79" spans="1:125" s="12" customFormat="1" x14ac:dyDescent="0.3">
      <c r="A79" t="s">
        <v>16</v>
      </c>
      <c r="B79" t="s">
        <v>190</v>
      </c>
      <c r="C79" t="s">
        <v>76</v>
      </c>
      <c r="D79" s="10">
        <f>(D42*inputs!$E$20)/(inputs!$E$31^4)</f>
        <v>380.34139428848124</v>
      </c>
      <c r="E79" t="str">
        <f t="shared" ca="1" si="1"/>
        <v>=(D42*inputs!$E$20)/(inputs!$E$31^4)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</row>
    <row r="80" spans="1:125" s="12" customFormat="1" x14ac:dyDescent="0.3">
      <c r="A80" t="s">
        <v>16</v>
      </c>
      <c r="B80" t="s">
        <v>190</v>
      </c>
      <c r="C80" t="s">
        <v>77</v>
      </c>
      <c r="D80" s="10">
        <f>(D43*inputs!$E$20)/(inputs!$E$31^5)</f>
        <v>369.00500515774689</v>
      </c>
      <c r="E80" t="str">
        <f t="shared" ca="1" si="1"/>
        <v>=(D43*inputs!$E$20)/(inputs!$E$31^5)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</row>
    <row r="81" spans="1:125" s="12" customFormat="1" x14ac:dyDescent="0.3">
      <c r="A81" t="s">
        <v>16</v>
      </c>
      <c r="B81" t="s">
        <v>190</v>
      </c>
      <c r="C81" t="s">
        <v>78</v>
      </c>
      <c r="D81" s="10">
        <f>(D44*inputs!$E$20)/(inputs!$E$31^6)</f>
        <v>358.0065064603267</v>
      </c>
      <c r="E81" t="str">
        <f t="shared" ca="1" si="1"/>
        <v>=(D44*inputs!$E$20)/(inputs!$E$31^6)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</row>
    <row r="82" spans="1:125" s="12" customFormat="1" x14ac:dyDescent="0.3">
      <c r="A82" t="s">
        <v>16</v>
      </c>
      <c r="B82" t="s">
        <v>190</v>
      </c>
      <c r="C82" t="s">
        <v>79</v>
      </c>
      <c r="D82" s="10">
        <f>(D45*inputs!$E$20)/(inputs!$E$31^7)</f>
        <v>347.33582709301402</v>
      </c>
      <c r="E82" t="str">
        <f t="shared" ca="1" si="1"/>
        <v>=(D45*inputs!$E$20)/(inputs!$E$31^7)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</row>
    <row r="83" spans="1:125" s="12" customFormat="1" x14ac:dyDescent="0.3">
      <c r="A83" t="s">
        <v>16</v>
      </c>
      <c r="B83" t="s">
        <v>190</v>
      </c>
      <c r="C83" t="s">
        <v>80</v>
      </c>
      <c r="D83" s="10">
        <f>(D46*inputs!$E$20)/(inputs!$E$31^8)</f>
        <v>336.98319613014456</v>
      </c>
      <c r="E83" t="str">
        <f t="shared" ca="1" si="1"/>
        <v>=(D46*inputs!$E$20)/(inputs!$E$31^8)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</row>
    <row r="84" spans="1:125" s="12" customFormat="1" x14ac:dyDescent="0.3">
      <c r="A84" t="s">
        <v>16</v>
      </c>
      <c r="B84" t="s">
        <v>190</v>
      </c>
      <c r="C84" t="s">
        <v>81</v>
      </c>
      <c r="D84" s="10">
        <f>(D47*inputs!$E$20)/(inputs!$E$31^9)</f>
        <v>326.93913387655681</v>
      </c>
      <c r="E84" t="str">
        <f t="shared" ca="1" si="1"/>
        <v>=(D47*inputs!$E$20)/(inputs!$E$31^9)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</row>
    <row r="85" spans="1:125" s="12" customFormat="1" x14ac:dyDescent="0.3">
      <c r="A85" t="s">
        <v>16</v>
      </c>
      <c r="B85" t="s">
        <v>190</v>
      </c>
      <c r="C85" t="s">
        <v>82</v>
      </c>
      <c r="D85" s="10">
        <f>(D48*inputs!$E$20)/(inputs!$E$31^10)</f>
        <v>317.1944431872264</v>
      </c>
      <c r="E85" t="str">
        <f t="shared" ca="1" si="1"/>
        <v>=(D48*inputs!$E$20)/(inputs!$E$31^10)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</row>
    <row r="86" spans="1:125" s="12" customFormat="1" x14ac:dyDescent="0.3">
      <c r="A86" t="s">
        <v>16</v>
      </c>
      <c r="B86" t="s">
        <v>190</v>
      </c>
      <c r="C86" t="s">
        <v>83</v>
      </c>
      <c r="D86" s="10">
        <f>(D49*inputs!$E$20)/(inputs!$E$31^11)</f>
        <v>307.74020104562652</v>
      </c>
      <c r="E86" t="str">
        <f t="shared" ca="1" si="1"/>
        <v>=(D49*inputs!$E$20)/(inputs!$E$31^11)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</row>
    <row r="87" spans="1:125" s="12" customFormat="1" x14ac:dyDescent="0.3">
      <c r="A87" t="s">
        <v>16</v>
      </c>
      <c r="B87" t="s">
        <v>190</v>
      </c>
      <c r="C87" t="s">
        <v>153</v>
      </c>
      <c r="D87" s="10">
        <f>D50*inputs!E25</f>
        <v>4266.5001582361747</v>
      </c>
      <c r="E87" t="str">
        <f t="shared" ca="1" si="1"/>
        <v>=D50*inputs!E25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</row>
    <row r="88" spans="1:125" s="12" customFormat="1" x14ac:dyDescent="0.3">
      <c r="A88" t="s">
        <v>16</v>
      </c>
      <c r="B88" t="s">
        <v>84</v>
      </c>
      <c r="C88" t="s">
        <v>85</v>
      </c>
      <c r="D88" s="10">
        <f>D51*(inputs!$E$26*inputs!$E$27)</f>
        <v>36796457.997711077</v>
      </c>
      <c r="E88" t="str">
        <f t="shared" ca="1" si="1"/>
        <v>=D51*(inputs!$E$26*inputs!$E$27)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</row>
    <row r="89" spans="1:125" s="12" customFormat="1" x14ac:dyDescent="0.3">
      <c r="A89" t="s">
        <v>16</v>
      </c>
      <c r="B89" t="s">
        <v>84</v>
      </c>
      <c r="C89" t="s">
        <v>86</v>
      </c>
      <c r="D89" s="10">
        <f>D52*(inputs!$E$26*inputs!$E$27)</f>
        <v>35574714.491239369</v>
      </c>
      <c r="E89" t="str">
        <f t="shared" ca="1" si="1"/>
        <v>=D52*(inputs!$E$26*inputs!$E$27)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</row>
    <row r="90" spans="1:125" s="12" customFormat="1" x14ac:dyDescent="0.3">
      <c r="A90" t="s">
        <v>16</v>
      </c>
      <c r="B90" t="s">
        <v>84</v>
      </c>
      <c r="C90" t="s">
        <v>163</v>
      </c>
      <c r="D90" s="10">
        <f>D53*(inputs!$E$26*inputs!$E$27)</f>
        <v>6902876.1536107762</v>
      </c>
      <c r="E90" t="str">
        <f t="shared" ca="1" si="1"/>
        <v>=D53*(inputs!$E$26*inputs!$E$27)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</row>
    <row r="91" spans="1:125" s="12" customFormat="1" x14ac:dyDescent="0.3">
      <c r="A91" t="s">
        <v>16</v>
      </c>
      <c r="B91" t="s">
        <v>84</v>
      </c>
      <c r="C91" t="s">
        <v>181</v>
      </c>
      <c r="D91" s="10">
        <f>D54*(inputs!$E$26*inputs!$E$27)</f>
        <v>6697130.2333041262</v>
      </c>
      <c r="E91" t="str">
        <f t="shared" ca="1" si="1"/>
        <v>=D54*(inputs!$E$26*inputs!$E$27)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</row>
    <row r="92" spans="1:125" s="12" customFormat="1" x14ac:dyDescent="0.3">
      <c r="A92" t="s">
        <v>16</v>
      </c>
      <c r="B92" t="s">
        <v>84</v>
      </c>
      <c r="C92" t="s">
        <v>182</v>
      </c>
      <c r="D92" s="10">
        <f>D55*(inputs!$E$26*inputs!$E$27)</f>
        <v>6497516.7399425386</v>
      </c>
      <c r="E92" t="str">
        <f t="shared" ca="1" si="1"/>
        <v>=D55*(inputs!$E$26*inputs!$E$27)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</row>
    <row r="93" spans="1:125" s="12" customFormat="1" x14ac:dyDescent="0.3">
      <c r="A93" t="s">
        <v>16</v>
      </c>
      <c r="B93" t="s">
        <v>84</v>
      </c>
      <c r="C93" t="s">
        <v>183</v>
      </c>
      <c r="D93" s="10">
        <f>D56*(inputs!$E$26*inputs!$E$27)</f>
        <v>6303852.8914801748</v>
      </c>
      <c r="E93" t="str">
        <f t="shared" ca="1" si="1"/>
        <v>=D56*(inputs!$E$26*inputs!$E$27)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</row>
    <row r="94" spans="1:125" s="12" customFormat="1" x14ac:dyDescent="0.3">
      <c r="A94" t="s">
        <v>16</v>
      </c>
      <c r="B94" t="s">
        <v>84</v>
      </c>
      <c r="C94" t="s">
        <v>184</v>
      </c>
      <c r="D94" s="10">
        <f>D57*(inputs!$E$26*inputs!$E$27)</f>
        <v>6115961.3538409108</v>
      </c>
      <c r="E94" t="str">
        <f t="shared" ca="1" si="1"/>
        <v>=D57*(inputs!$E$26*inputs!$E$27)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</row>
    <row r="95" spans="1:125" s="12" customFormat="1" x14ac:dyDescent="0.3">
      <c r="A95" t="s">
        <v>16</v>
      </c>
      <c r="B95" t="s">
        <v>84</v>
      </c>
      <c r="C95" t="s">
        <v>185</v>
      </c>
      <c r="D95" s="10">
        <f>D58*(inputs!$E$26*inputs!$E$27)</f>
        <v>5933670.0785371084</v>
      </c>
      <c r="E95" t="str">
        <f t="shared" ca="1" si="1"/>
        <v>=D58*(inputs!$E$26*inputs!$E$27)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</row>
    <row r="96" spans="1:125" s="12" customFormat="1" x14ac:dyDescent="0.3">
      <c r="A96" t="s">
        <v>16</v>
      </c>
      <c r="B96" t="s">
        <v>84</v>
      </c>
      <c r="C96" t="s">
        <v>186</v>
      </c>
      <c r="D96" s="10">
        <f>D59*(inputs!$E$26*inputs!$E$27)</f>
        <v>5756812.1451282836</v>
      </c>
      <c r="E96" t="str">
        <f t="shared" ca="1" si="1"/>
        <v>=D59*(inputs!$E$26*inputs!$E$27)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</row>
    <row r="97" spans="1:125" s="12" customFormat="1" x14ac:dyDescent="0.3">
      <c r="A97" t="s">
        <v>16</v>
      </c>
      <c r="B97" t="s">
        <v>84</v>
      </c>
      <c r="C97" t="s">
        <v>187</v>
      </c>
      <c r="D97" s="10">
        <f>D60*(inputs!$E$26*inputs!$E$27)</f>
        <v>5585225.608375431</v>
      </c>
      <c r="E97" t="str">
        <f t="shared" ca="1" si="1"/>
        <v>=D60*(inputs!$E$26*inputs!$E$27)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</row>
    <row r="98" spans="1:125" s="12" customFormat="1" x14ac:dyDescent="0.3">
      <c r="A98" t="s">
        <v>16</v>
      </c>
      <c r="B98" t="s">
        <v>84</v>
      </c>
      <c r="C98" t="s">
        <v>188</v>
      </c>
      <c r="D98" s="10">
        <f>D61*(inputs!$E$26*inputs!$E$27)</f>
        <v>5418753.3499510372</v>
      </c>
      <c r="E98" t="str">
        <f t="shared" ca="1" si="1"/>
        <v>=D61*(inputs!$E$26*inputs!$E$27)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</row>
    <row r="99" spans="1:125" s="12" customFormat="1" x14ac:dyDescent="0.3">
      <c r="A99" t="s">
        <v>16</v>
      </c>
      <c r="B99" t="s">
        <v>84</v>
      </c>
      <c r="C99" t="s">
        <v>189</v>
      </c>
      <c r="D99" s="10">
        <f>D62*(inputs!$E$26*inputs!$E$27)</f>
        <v>5257242.9345690012</v>
      </c>
      <c r="E99" t="str">
        <f t="shared" ca="1" si="1"/>
        <v>=D62*(inputs!$E$26*inputs!$E$27)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</row>
    <row r="100" spans="1:125" s="12" customFormat="1" x14ac:dyDescent="0.3">
      <c r="A100" t="s">
        <v>16</v>
      </c>
      <c r="B100" t="s">
        <v>84</v>
      </c>
      <c r="C100" t="s">
        <v>87</v>
      </c>
      <c r="D100" s="10">
        <f>D63*(inputs!$E$26*inputs!$E$27)</f>
        <v>15285397.324806748</v>
      </c>
      <c r="E100" t="str">
        <f t="shared" ca="1" si="1"/>
        <v>=D63*(inputs!$E$26*inputs!$E$27)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</row>
    <row r="101" spans="1:125" s="12" customFormat="1" x14ac:dyDescent="0.3">
      <c r="A101" t="s">
        <v>16</v>
      </c>
      <c r="B101" t="s">
        <v>84</v>
      </c>
      <c r="C101" t="s">
        <v>88</v>
      </c>
      <c r="D101" s="10">
        <f>D64*(inputs!$E$26*inputs!$E$27)</f>
        <v>14777880.135880999</v>
      </c>
      <c r="E101" t="str">
        <f t="shared" ca="1" si="1"/>
        <v>=D64*(inputs!$E$26*inputs!$E$27)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</row>
    <row r="102" spans="1:125" s="12" customFormat="1" x14ac:dyDescent="0.3">
      <c r="A102" t="s">
        <v>16</v>
      </c>
      <c r="B102" t="s">
        <v>84</v>
      </c>
      <c r="C102" t="s">
        <v>89</v>
      </c>
      <c r="D102" s="10">
        <f>D65*(inputs!$E$26*inputs!$E$27)</f>
        <v>2867482.6446186183</v>
      </c>
      <c r="E102" t="str">
        <f t="shared" ca="1" si="1"/>
        <v>=D65*(inputs!$E$26*inputs!$E$27)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</row>
    <row r="103" spans="1:125" s="12" customFormat="1" x14ac:dyDescent="0.3">
      <c r="A103" t="s">
        <v>16</v>
      </c>
      <c r="B103" t="s">
        <v>84</v>
      </c>
      <c r="C103" t="s">
        <v>154</v>
      </c>
      <c r="D103" s="10">
        <f>D66*(inputs!$E$26*inputs!$E$27)</f>
        <v>2782014.958026588</v>
      </c>
      <c r="E103" t="str">
        <f t="shared" ca="1" si="1"/>
        <v>=D66*(inputs!$E$26*inputs!$E$27)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</row>
    <row r="104" spans="1:125" s="12" customFormat="1" x14ac:dyDescent="0.3">
      <c r="A104" t="s">
        <v>16</v>
      </c>
      <c r="B104" t="s">
        <v>84</v>
      </c>
      <c r="C104" t="s">
        <v>155</v>
      </c>
      <c r="D104" s="10">
        <f>D67*(inputs!$E$26*inputs!$E$27)</f>
        <v>2699094.7063650191</v>
      </c>
      <c r="E104" t="str">
        <f t="shared" ca="1" si="1"/>
        <v>=D67*(inputs!$E$26*inputs!$E$27)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</row>
    <row r="105" spans="1:125" s="12" customFormat="1" x14ac:dyDescent="0.3">
      <c r="A105" t="s">
        <v>16</v>
      </c>
      <c r="B105" t="s">
        <v>84</v>
      </c>
      <c r="C105" t="s">
        <v>156</v>
      </c>
      <c r="D105" s="10">
        <f>D68*(inputs!$E$26*inputs!$E$27)</f>
        <v>2618645.9612335572</v>
      </c>
      <c r="E105" t="str">
        <f t="shared" ca="1" si="1"/>
        <v>=D68*(inputs!$E$26*inputs!$E$27)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</row>
    <row r="106" spans="1:125" s="12" customFormat="1" x14ac:dyDescent="0.3">
      <c r="A106" t="s">
        <v>16</v>
      </c>
      <c r="B106" t="s">
        <v>84</v>
      </c>
      <c r="C106" t="s">
        <v>157</v>
      </c>
      <c r="D106" s="10">
        <f>D69*(inputs!$E$26*inputs!$E$27)</f>
        <v>2540595.0573404795</v>
      </c>
      <c r="E106" t="str">
        <f t="shared" ca="1" si="1"/>
        <v>=D69*(inputs!$E$26*inputs!$E$27)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</row>
    <row r="107" spans="1:125" s="12" customFormat="1" x14ac:dyDescent="0.3">
      <c r="A107" t="s">
        <v>16</v>
      </c>
      <c r="B107" t="s">
        <v>84</v>
      </c>
      <c r="C107" t="s">
        <v>158</v>
      </c>
      <c r="D107" s="10">
        <f>D70*(inputs!$E$26*inputs!$E$27)</f>
        <v>2464870.5250488748</v>
      </c>
      <c r="E107" t="str">
        <f t="shared" ca="1" si="1"/>
        <v>=D70*(inputs!$E$26*inputs!$E$27)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</row>
    <row r="108" spans="1:125" s="12" customFormat="1" x14ac:dyDescent="0.3">
      <c r="A108" t="s">
        <v>16</v>
      </c>
      <c r="B108" t="s">
        <v>84</v>
      </c>
      <c r="C108" t="s">
        <v>159</v>
      </c>
      <c r="D108" s="10">
        <f>D71*(inputs!$E$26*inputs!$E$27)</f>
        <v>2391403.02493334</v>
      </c>
      <c r="E108" t="str">
        <f t="shared" ca="1" si="1"/>
        <v>=D71*(inputs!$E$26*inputs!$E$27)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</row>
    <row r="109" spans="1:125" s="12" customFormat="1" x14ac:dyDescent="0.3">
      <c r="A109" t="s">
        <v>16</v>
      </c>
      <c r="B109" t="s">
        <v>84</v>
      </c>
      <c r="C109" t="s">
        <v>160</v>
      </c>
      <c r="D109" s="10">
        <f>D72*(inputs!$E$26*inputs!$E$27)</f>
        <v>2320125.2842872688</v>
      </c>
      <c r="E109" t="str">
        <f t="shared" ca="1" si="1"/>
        <v>=D72*(inputs!$E$26*inputs!$E$27)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</row>
    <row r="110" spans="1:125" s="12" customFormat="1" x14ac:dyDescent="0.3">
      <c r="A110" t="s">
        <v>16</v>
      </c>
      <c r="B110" t="s">
        <v>84</v>
      </c>
      <c r="C110" t="s">
        <v>161</v>
      </c>
      <c r="D110" s="10">
        <f>D73*(inputs!$E$26*inputs!$E$27)</f>
        <v>2250972.0355225899</v>
      </c>
      <c r="E110" t="str">
        <f t="shared" ca="1" si="1"/>
        <v>=D73*(inputs!$E$26*inputs!$E$27)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</row>
    <row r="111" spans="1:125" s="12" customFormat="1" x14ac:dyDescent="0.3">
      <c r="A111" t="s">
        <v>16</v>
      </c>
      <c r="B111" t="s">
        <v>84</v>
      </c>
      <c r="C111" t="s">
        <v>162</v>
      </c>
      <c r="D111" s="10">
        <f>D74*(inputs!$E$26*inputs!$E$27)</f>
        <v>2183879.9564055572</v>
      </c>
      <c r="E111" t="str">
        <f t="shared" ca="1" si="1"/>
        <v>=D74*(inputs!$E$26*inputs!$E$27)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</row>
    <row r="112" spans="1:125" s="12" customFormat="1" x14ac:dyDescent="0.3">
      <c r="A112" t="s">
        <v>16</v>
      </c>
      <c r="B112" t="s">
        <v>84</v>
      </c>
      <c r="C112" t="s">
        <v>90</v>
      </c>
      <c r="D112" s="10">
        <f>D75*(inputs!$E$26*inputs!$E$27)</f>
        <v>2703401.3885628954</v>
      </c>
      <c r="E112" t="str">
        <f t="shared" ca="1" si="1"/>
        <v>=D75*(inputs!$E$26*inputs!$E$27)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</row>
    <row r="113" spans="1:125" s="12" customFormat="1" x14ac:dyDescent="0.3">
      <c r="A113" t="s">
        <v>16</v>
      </c>
      <c r="B113" t="s">
        <v>84</v>
      </c>
      <c r="C113" t="s">
        <v>91</v>
      </c>
      <c r="D113" s="10">
        <f>D76*(inputs!$E$26*inputs!$E$27)</f>
        <v>7467545.8133441219</v>
      </c>
      <c r="E113" t="str">
        <f t="shared" ca="1" si="1"/>
        <v>=D76*(inputs!$E$26*inputs!$E$27)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</row>
    <row r="114" spans="1:125" s="12" customFormat="1" x14ac:dyDescent="0.3">
      <c r="A114" t="s">
        <v>16</v>
      </c>
      <c r="B114" t="s">
        <v>84</v>
      </c>
      <c r="C114" t="s">
        <v>92</v>
      </c>
      <c r="D114" s="10">
        <f>D77*(inputs!$E$26*inputs!$E$27)</f>
        <v>1448993.8895679188</v>
      </c>
      <c r="E114" t="str">
        <f t="shared" ca="1" si="1"/>
        <v>=D77*(inputs!$E$26*inputs!$E$27)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</row>
    <row r="115" spans="1:125" s="12" customFormat="1" x14ac:dyDescent="0.3">
      <c r="A115" t="s">
        <v>16</v>
      </c>
      <c r="B115" t="s">
        <v>84</v>
      </c>
      <c r="C115" t="s">
        <v>93</v>
      </c>
      <c r="D115" s="10">
        <f>D78*(inputs!$E$26*inputs!$E$27)</f>
        <v>1405805.4309176905</v>
      </c>
      <c r="E115" t="str">
        <f t="shared" ca="1" si="1"/>
        <v>=D78*(inputs!$E$26*inputs!$E$27)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</row>
    <row r="116" spans="1:125" s="12" customFormat="1" x14ac:dyDescent="0.3">
      <c r="A116" t="s">
        <v>16</v>
      </c>
      <c r="B116" t="s">
        <v>84</v>
      </c>
      <c r="C116" t="s">
        <v>94</v>
      </c>
      <c r="D116" s="10">
        <f>D79*(inputs!$E$26*inputs!$E$27)</f>
        <v>1363904.2399184937</v>
      </c>
      <c r="E116" t="str">
        <f t="shared" ca="1" si="1"/>
        <v>=D79*(inputs!$E$26*inputs!$E$27)</v>
      </c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</row>
    <row r="117" spans="1:125" s="12" customFormat="1" x14ac:dyDescent="0.3">
      <c r="A117" t="s">
        <v>16</v>
      </c>
      <c r="B117" t="s">
        <v>84</v>
      </c>
      <c r="C117" t="s">
        <v>95</v>
      </c>
      <c r="D117" s="10">
        <f>D80*(inputs!$E$26*inputs!$E$27)</f>
        <v>1323251.9484956805</v>
      </c>
      <c r="E117" t="str">
        <f t="shared" ca="1" si="1"/>
        <v>=D80*(inputs!$E$26*inputs!$E$27)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</row>
    <row r="118" spans="1:125" s="12" customFormat="1" x14ac:dyDescent="0.3">
      <c r="A118" t="s">
        <v>16</v>
      </c>
      <c r="B118" t="s">
        <v>84</v>
      </c>
      <c r="C118" t="s">
        <v>96</v>
      </c>
      <c r="D118" s="10">
        <f>D81*(inputs!$E$26*inputs!$E$27)</f>
        <v>1283811.3321667316</v>
      </c>
      <c r="E118" t="str">
        <f t="shared" ca="1" si="1"/>
        <v>=D81*(inputs!$E$26*inputs!$E$27)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</row>
    <row r="119" spans="1:125" s="12" customFormat="1" x14ac:dyDescent="0.3">
      <c r="A119" t="s">
        <v>16</v>
      </c>
      <c r="B119" t="s">
        <v>84</v>
      </c>
      <c r="C119" t="s">
        <v>97</v>
      </c>
      <c r="D119" s="10">
        <f>D82*(inputs!$E$26*inputs!$E$27)</f>
        <v>1245546.2759555483</v>
      </c>
      <c r="E119" t="str">
        <f t="shared" ca="1" si="1"/>
        <v>=D82*(inputs!$E$26*inputs!$E$27)</v>
      </c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</row>
    <row r="120" spans="1:125" s="12" customFormat="1" x14ac:dyDescent="0.3">
      <c r="A120" t="s">
        <v>16</v>
      </c>
      <c r="B120" t="s">
        <v>84</v>
      </c>
      <c r="C120" t="s">
        <v>98</v>
      </c>
      <c r="D120" s="10">
        <f>D83*(inputs!$E$26*inputs!$E$27)</f>
        <v>1208421.7413226983</v>
      </c>
      <c r="E120" t="str">
        <f t="shared" ca="1" si="1"/>
        <v>=D83*(inputs!$E$26*inputs!$E$27)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</row>
    <row r="121" spans="1:125" s="12" customFormat="1" x14ac:dyDescent="0.3">
      <c r="A121" t="s">
        <v>16</v>
      </c>
      <c r="B121" t="s">
        <v>84</v>
      </c>
      <c r="C121" t="s">
        <v>99</v>
      </c>
      <c r="D121" s="10">
        <f>D84*(inputs!$E$26*inputs!$E$27)</f>
        <v>1172403.7340813328</v>
      </c>
      <c r="E121" t="str">
        <f t="shared" ca="1" si="1"/>
        <v>=D84*(inputs!$E$26*inputs!$E$27)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</row>
    <row r="122" spans="1:125" s="12" customFormat="1" x14ac:dyDescent="0.3">
      <c r="A122" t="s">
        <v>16</v>
      </c>
      <c r="B122" t="s">
        <v>84</v>
      </c>
      <c r="C122" t="s">
        <v>100</v>
      </c>
      <c r="D122" s="10">
        <f>D85*(inputs!$E$26*inputs!$E$27)</f>
        <v>1137459.2732693939</v>
      </c>
      <c r="E122" t="str">
        <f t="shared" ca="1" si="1"/>
        <v>=D85*(inputs!$E$26*inputs!$E$27)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</row>
    <row r="123" spans="1:125" s="12" customFormat="1" x14ac:dyDescent="0.3">
      <c r="A123" t="s">
        <v>16</v>
      </c>
      <c r="B123" t="s">
        <v>84</v>
      </c>
      <c r="C123" t="s">
        <v>101</v>
      </c>
      <c r="D123" s="10">
        <f>D86*(inputs!$E$26*inputs!$E$27)</f>
        <v>1103556.3609496166</v>
      </c>
      <c r="E123" t="str">
        <f t="shared" ca="1" si="1"/>
        <v>=D86*(inputs!$E$26*inputs!$E$27)</v>
      </c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</row>
    <row r="124" spans="1:125" s="12" customFormat="1" x14ac:dyDescent="0.3">
      <c r="A124" t="s">
        <v>16</v>
      </c>
      <c r="B124" t="s">
        <v>84</v>
      </c>
      <c r="C124" t="s">
        <v>755</v>
      </c>
      <c r="D124" s="10">
        <f>D87*(inputs!E26*inputs!E27)</f>
        <v>15299669.567434922</v>
      </c>
      <c r="E124" t="str">
        <f t="shared" ca="1" si="1"/>
        <v>=D87*(inputs!E26*inputs!E27)</v>
      </c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</row>
    <row r="125" spans="1:125" x14ac:dyDescent="0.3">
      <c r="A125" t="s">
        <v>16</v>
      </c>
      <c r="B125" t="s">
        <v>191</v>
      </c>
      <c r="C125" t="s">
        <v>824</v>
      </c>
      <c r="D125">
        <f>(D14+D26)*inputs!E28</f>
        <v>287234261.82110232</v>
      </c>
      <c r="E125" t="str">
        <f t="shared" ca="1" si="1"/>
        <v>=(D14+D26)*inputs!E28</v>
      </c>
    </row>
    <row r="126" spans="1:125" x14ac:dyDescent="0.3">
      <c r="A126" t="s">
        <v>16</v>
      </c>
      <c r="B126" t="s">
        <v>191</v>
      </c>
      <c r="C126" t="s">
        <v>825</v>
      </c>
      <c r="D126" s="10">
        <f>((D15+D27)*inputs!E28)/(inputs!E31^1)</f>
        <v>277697295.13159227</v>
      </c>
      <c r="E126" t="str">
        <f t="shared" ca="1" si="1"/>
        <v>=((D15+D27)*inputs!E28)/(inputs!E31^1)</v>
      </c>
    </row>
    <row r="127" spans="1:125" s="12" customFormat="1" x14ac:dyDescent="0.3">
      <c r="A127" t="s">
        <v>16</v>
      </c>
      <c r="B127" t="s">
        <v>191</v>
      </c>
      <c r="C127" t="s">
        <v>826</v>
      </c>
      <c r="D127" s="20">
        <f>(($D$16+$D$28)*inputs!$E$28)/(inputs!$E$31^2)</f>
        <v>13471014.904126221</v>
      </c>
      <c r="E127" s="19" t="str">
        <f t="shared" ca="1" si="1"/>
        <v>=(($D$16+$D$28)*inputs!$E$28)/(inputs!$E$31^2)</v>
      </c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</row>
    <row r="128" spans="1:125" s="12" customFormat="1" x14ac:dyDescent="0.3">
      <c r="A128" t="s">
        <v>16</v>
      </c>
      <c r="B128" t="s">
        <v>191</v>
      </c>
      <c r="C128" t="s">
        <v>827</v>
      </c>
      <c r="D128" s="20">
        <f>(($D$17+$D$29)*inputs!$E$28)/(inputs!$E$31^3)</f>
        <v>13069500.188051781</v>
      </c>
      <c r="E128" s="19" t="str">
        <f ca="1">_xlfn.FORMULATEXT(D128)</f>
        <v>=(($D$17+$D$29)*inputs!$E$28)/(inputs!$E$31^3)</v>
      </c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</row>
    <row r="129" spans="1:85" s="12" customFormat="1" x14ac:dyDescent="0.3">
      <c r="A129" t="s">
        <v>16</v>
      </c>
      <c r="B129" t="s">
        <v>191</v>
      </c>
      <c r="C129" t="s">
        <v>828</v>
      </c>
      <c r="D129" s="20">
        <f>(($D$18+$D$30)*inputs!$E$28)/(inputs!$E$31^4)</f>
        <v>12679952.949437035</v>
      </c>
      <c r="E129" s="19" t="str">
        <f t="shared" ca="1" si="1"/>
        <v>=(($D$18+$D$30)*inputs!$E$28)/(inputs!$E$31^4)</v>
      </c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</row>
    <row r="130" spans="1:85" s="12" customFormat="1" x14ac:dyDescent="0.3">
      <c r="A130" t="s">
        <v>16</v>
      </c>
      <c r="B130" t="s">
        <v>191</v>
      </c>
      <c r="C130" t="s">
        <v>829</v>
      </c>
      <c r="D130" s="20">
        <f>(($D$19+$D$31)*inputs!$E$28)/(inputs!$E$31^5)</f>
        <v>12302016.487740226</v>
      </c>
      <c r="E130" s="19" t="str">
        <f t="shared" ca="1" si="1"/>
        <v>=(($D$19+$D$31)*inputs!$E$28)/(inputs!$E$31^5)</v>
      </c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</row>
    <row r="131" spans="1:85" s="12" customFormat="1" x14ac:dyDescent="0.3">
      <c r="A131" t="s">
        <v>16</v>
      </c>
      <c r="B131" t="s">
        <v>191</v>
      </c>
      <c r="C131" t="s">
        <v>830</v>
      </c>
      <c r="D131" s="20">
        <f>(($D$20+$D$32)*inputs!$E$28)/(inputs!$E$31^6)</f>
        <v>11935344.734173598</v>
      </c>
      <c r="E131" s="19" t="str">
        <f t="shared" ca="1" si="1"/>
        <v>=(($D$20+$D$32)*inputs!$E$28)/(inputs!$E$31^6)</v>
      </c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</row>
    <row r="132" spans="1:85" s="12" customFormat="1" x14ac:dyDescent="0.3">
      <c r="A132" t="s">
        <v>16</v>
      </c>
      <c r="B132" t="s">
        <v>191</v>
      </c>
      <c r="C132" t="s">
        <v>831</v>
      </c>
      <c r="D132" s="20">
        <f>(($D$21+$D$33)*inputs!$E$28)/(inputs!$E$31^7)</f>
        <v>11579601.934815221</v>
      </c>
      <c r="E132" s="19" t="str">
        <f t="shared" ref="E132:E148" ca="1" si="2">_xlfn.FORMULATEXT(D132)</f>
        <v>=(($D$21+$D$33)*inputs!$E$28)/(inputs!$E$31^7)</v>
      </c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</row>
    <row r="133" spans="1:85" s="12" customFormat="1" x14ac:dyDescent="0.3">
      <c r="A133" t="s">
        <v>16</v>
      </c>
      <c r="B133" t="s">
        <v>191</v>
      </c>
      <c r="C133" t="s">
        <v>832</v>
      </c>
      <c r="D133" s="20">
        <f>(($D$22+$D$34)*inputs!$E$28)/(inputs!$E$31^8)</f>
        <v>11234462.343165873</v>
      </c>
      <c r="E133" s="19" t="str">
        <f t="shared" ca="1" si="2"/>
        <v>=(($D$22+$D$34)*inputs!$E$28)/(inputs!$E$31^8)</v>
      </c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</row>
    <row r="134" spans="1:85" s="12" customFormat="1" x14ac:dyDescent="0.3">
      <c r="A134" t="s">
        <v>16</v>
      </c>
      <c r="B134" t="s">
        <v>191</v>
      </c>
      <c r="C134" t="s">
        <v>833</v>
      </c>
      <c r="D134" s="20">
        <f>(($D$23+$D$35)*inputs!$E$28)/(inputs!$E$31^9)</f>
        <v>10899609.921869569</v>
      </c>
      <c r="E134" s="19" t="str">
        <f t="shared" ca="1" si="2"/>
        <v>=(($D$23+$D$35)*inputs!$E$28)/(inputs!$E$31^9)</v>
      </c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</row>
    <row r="135" spans="1:85" s="12" customFormat="1" x14ac:dyDescent="0.3">
      <c r="A135" t="s">
        <v>16</v>
      </c>
      <c r="B135" t="s">
        <v>191</v>
      </c>
      <c r="C135" t="s">
        <v>834</v>
      </c>
      <c r="D135" s="20">
        <f>(($D$24+$D$36)*inputs!$E$28)/(inputs!$E$31^10)</f>
        <v>10574738.053324526</v>
      </c>
      <c r="E135" s="19" t="str">
        <f t="shared" ca="1" si="2"/>
        <v>=(($D$24+$D$36)*inputs!$E$28)/(inputs!$E$31^10)</v>
      </c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</row>
    <row r="136" spans="1:85" s="12" customFormat="1" x14ac:dyDescent="0.3">
      <c r="A136" t="s">
        <v>16</v>
      </c>
      <c r="B136" t="s">
        <v>191</v>
      </c>
      <c r="C136" t="s">
        <v>835</v>
      </c>
      <c r="D136" s="20">
        <f>(($D$25+$D$37)*inputs!$E$28)/(inputs!$E$31^11)</f>
        <v>10259549.258919608</v>
      </c>
      <c r="E136" s="19" t="str">
        <f t="shared" ca="1" si="2"/>
        <v>=(($D$25+$D$37)*inputs!$E$28)/(inputs!$E$31^11)</v>
      </c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</row>
    <row r="137" spans="1:85" s="12" customFormat="1" x14ac:dyDescent="0.3">
      <c r="A137" t="s">
        <v>16</v>
      </c>
      <c r="B137" t="s">
        <v>192</v>
      </c>
      <c r="C137" t="s">
        <v>131</v>
      </c>
      <c r="D137" s="10">
        <f>D38*inputs!E29</f>
        <v>50265995.818692908</v>
      </c>
      <c r="E137" t="str">
        <f t="shared" ca="1" si="2"/>
        <v>=D38*inputs!E29</v>
      </c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85" s="12" customFormat="1" x14ac:dyDescent="0.3">
      <c r="A138" t="s">
        <v>16</v>
      </c>
      <c r="B138" t="s">
        <v>192</v>
      </c>
      <c r="C138" t="s">
        <v>132</v>
      </c>
      <c r="D138" s="10">
        <f>(D39*inputs!E29)/(inputs!E31^1)</f>
        <v>138848647.56579614</v>
      </c>
      <c r="E138" t="str">
        <f t="shared" ca="1" si="2"/>
        <v>=(D39*inputs!E29)/(inputs!E31^1)</v>
      </c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85" s="12" customFormat="1" x14ac:dyDescent="0.3">
      <c r="A139" t="s">
        <v>16</v>
      </c>
      <c r="B139" t="s">
        <v>192</v>
      </c>
      <c r="C139" t="s">
        <v>133</v>
      </c>
      <c r="D139" s="10">
        <f>(D40*inputs!$E$29)/(inputs!$E$31^2)</f>
        <v>6735507.4520631107</v>
      </c>
      <c r="E139" t="str">
        <f t="shared" ca="1" si="2"/>
        <v>=(D40*inputs!$E$29)/(inputs!$E$31^2)</v>
      </c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85" s="12" customFormat="1" x14ac:dyDescent="0.3">
      <c r="A140" t="s">
        <v>16</v>
      </c>
      <c r="B140" t="s">
        <v>192</v>
      </c>
      <c r="C140" t="s">
        <v>134</v>
      </c>
      <c r="D140" s="10">
        <f>(D41*inputs!$E$29)/(inputs!$E$31^3)</f>
        <v>6534750.0940258894</v>
      </c>
      <c r="E140" t="str">
        <f t="shared" ca="1" si="2"/>
        <v>=(D41*inputs!$E$29)/(inputs!$E$31^3)</v>
      </c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85" s="12" customFormat="1" x14ac:dyDescent="0.3">
      <c r="A141" t="s">
        <v>16</v>
      </c>
      <c r="B141" t="s">
        <v>192</v>
      </c>
      <c r="C141" t="s">
        <v>135</v>
      </c>
      <c r="D141" s="10">
        <f>(D42*inputs!$E$29)/(inputs!$E$31^4)</f>
        <v>6339976.4747185167</v>
      </c>
      <c r="E141" t="str">
        <f t="shared" ca="1" si="2"/>
        <v>=(D42*inputs!$E$29)/(inputs!$E$31^4)</v>
      </c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85" s="12" customFormat="1" x14ac:dyDescent="0.3">
      <c r="A142" t="s">
        <v>16</v>
      </c>
      <c r="B142" t="s">
        <v>192</v>
      </c>
      <c r="C142" t="s">
        <v>136</v>
      </c>
      <c r="D142" s="10">
        <f>(D43*inputs!$E$29)/(inputs!$E$31^5)</f>
        <v>6151008.2438701121</v>
      </c>
      <c r="E142" t="str">
        <f t="shared" ca="1" si="2"/>
        <v>=(D43*inputs!$E$29)/(inputs!$E$31^5)</v>
      </c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85" s="12" customFormat="1" x14ac:dyDescent="0.3">
      <c r="A143" t="s">
        <v>16</v>
      </c>
      <c r="B143" t="s">
        <v>192</v>
      </c>
      <c r="C143" t="s">
        <v>137</v>
      </c>
      <c r="D143" s="10">
        <f>(D44*inputs!$E$29)/(inputs!$E$31^6)</f>
        <v>5967672.3670867989</v>
      </c>
      <c r="E143" t="str">
        <f t="shared" ca="1" si="2"/>
        <v>=(D44*inputs!$E$29)/(inputs!$E$31^6)</v>
      </c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85" s="12" customFormat="1" x14ac:dyDescent="0.3">
      <c r="A144" t="s">
        <v>16</v>
      </c>
      <c r="B144" t="s">
        <v>192</v>
      </c>
      <c r="C144" t="s">
        <v>138</v>
      </c>
      <c r="D144" s="10">
        <f>(D45*inputs!$E$29)/(inputs!$E$31^7)</f>
        <v>5789800.9674076093</v>
      </c>
      <c r="E144" t="str">
        <f t="shared" ca="1" si="2"/>
        <v>=(D45*inputs!$E$29)/(inputs!$E$31^7)</v>
      </c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119" s="12" customFormat="1" x14ac:dyDescent="0.3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3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3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3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3">
      <c r="A149" t="s">
        <v>32</v>
      </c>
      <c r="B149" t="s">
        <v>289</v>
      </c>
      <c r="C149" t="s">
        <v>252</v>
      </c>
      <c r="D149" s="10">
        <f>(D2*inputs!E39*inputs!E50*inputs!E61)-inputs!E32*(D2*inputs!E39*inputs!E50*inputs!E61)</f>
        <v>31005.364411002916</v>
      </c>
      <c r="E149" t="str">
        <f ca="1">_xlfn.FORMULATEXT(D149)</f>
        <v>=(D2*inputs!E39*inputs!E50*inputs!E61)-inputs!E32*(D2*inputs!E39*inputs!E50*inputs!E61)</v>
      </c>
    </row>
    <row r="150" spans="1:119" x14ac:dyDescent="0.3">
      <c r="A150" t="s">
        <v>32</v>
      </c>
      <c r="B150" t="s">
        <v>289</v>
      </c>
      <c r="C150" t="s">
        <v>279</v>
      </c>
      <c r="D150" s="38">
        <f>(D2*inputs!E40*inputs!E51*inputs!E62)-inputs!E32*(D2*inputs!E40*inputs!E51*inputs!E62)</f>
        <v>21356.39208392732</v>
      </c>
      <c r="E150" t="str">
        <f ca="1">_xlfn.FORMULATEXT(D150)</f>
        <v>=(D2*inputs!E40*inputs!E51*inputs!E62)-inputs!E32*(D2*inputs!E40*inputs!E51*inputs!E62)</v>
      </c>
    </row>
    <row r="151" spans="1:119" s="14" customFormat="1" x14ac:dyDescent="0.3">
      <c r="A151" t="s">
        <v>32</v>
      </c>
      <c r="B151" t="s">
        <v>289</v>
      </c>
      <c r="C151" t="s">
        <v>280</v>
      </c>
      <c r="D151" s="10">
        <f>(D3*inputs!E41*inputs!E52*inputs!E63)-inputs!E33*(D3*inputs!E41*inputs!E52*inputs!E63)</f>
        <v>0</v>
      </c>
      <c r="E151" t="str">
        <f ca="1">_xlfn.FORMULATEXT(D151)</f>
        <v>=(D3*inputs!E41*inputs!E52*inputs!E63)-inputs!E33*(D3*inputs!E41*inputs!E52*inputs!E63)</v>
      </c>
      <c r="F151" t="s">
        <v>814</v>
      </c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</row>
    <row r="152" spans="1:119" s="14" customFormat="1" x14ac:dyDescent="0.3">
      <c r="A152" t="s">
        <v>32</v>
      </c>
      <c r="B152" t="s">
        <v>289</v>
      </c>
      <c r="C152" t="s">
        <v>281</v>
      </c>
      <c r="D152" s="10">
        <f>(D3*inputs!E42*inputs!E53*inputs!E64)-inputs!E33*(D3*inputs!E42*inputs!E53*inputs!E64)</f>
        <v>0</v>
      </c>
      <c r="E152" t="str">
        <f t="shared" ref="E152:E214" ca="1" si="3">_xlfn.FORMULATEXT(D152)</f>
        <v>=(D3*inputs!E42*inputs!E53*inputs!E64)-inputs!E33*(D3*inputs!E42*inputs!E53*inputs!E64)</v>
      </c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</row>
    <row r="153" spans="1:119" s="14" customFormat="1" x14ac:dyDescent="0.3">
      <c r="A153" t="s">
        <v>32</v>
      </c>
      <c r="B153" t="s">
        <v>289</v>
      </c>
      <c r="C153" t="s">
        <v>282</v>
      </c>
      <c r="D153" s="10">
        <f>(D3*inputs!E43*inputs!E54*inputs!E65)-inputs!E33*(D3*inputs!E43*inputs!E54*inputs!E65)</f>
        <v>0</v>
      </c>
      <c r="E153" t="str">
        <f t="shared" ca="1" si="3"/>
        <v>=(D3*inputs!E43*inputs!E54*inputs!E65)-inputs!E33*(D3*inputs!E43*inputs!E54*inputs!E65)</v>
      </c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</row>
    <row r="154" spans="1:119" s="14" customFormat="1" x14ac:dyDescent="0.3">
      <c r="A154" t="s">
        <v>32</v>
      </c>
      <c r="B154" t="s">
        <v>289</v>
      </c>
      <c r="C154" t="s">
        <v>283</v>
      </c>
      <c r="D154" s="10">
        <f>(D3*inputs!E44*inputs!E55*inputs!E66)-inputs!E33*(D3*inputs!E44*inputs!E55*inputs!E66)</f>
        <v>0</v>
      </c>
      <c r="E154" t="str">
        <f t="shared" ca="1" si="3"/>
        <v>=(D3*inputs!E44*inputs!E55*inputs!E66)-inputs!E33*(D3*inputs!E44*inputs!E55*inputs!E66)</v>
      </c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</row>
    <row r="155" spans="1:119" s="14" customFormat="1" x14ac:dyDescent="0.3">
      <c r="A155" t="s">
        <v>32</v>
      </c>
      <c r="B155" t="s">
        <v>289</v>
      </c>
      <c r="C155" t="s">
        <v>284</v>
      </c>
      <c r="D155" s="10">
        <f>(D3*inputs!E45*inputs!E56*inputs!E67)-inputs!E33*(D3*inputs!E45*inputs!E56*inputs!E67)</f>
        <v>27348.321004395963</v>
      </c>
      <c r="E155" t="str">
        <f t="shared" ca="1" si="3"/>
        <v>=(D3*inputs!E45*inputs!E56*inputs!E67)-inputs!E33*(D3*inputs!E45*inputs!E56*inputs!E67)</v>
      </c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</row>
    <row r="156" spans="1:119" s="14" customFormat="1" x14ac:dyDescent="0.3">
      <c r="A156" t="s">
        <v>32</v>
      </c>
      <c r="B156" t="s">
        <v>289</v>
      </c>
      <c r="C156" t="s">
        <v>285</v>
      </c>
      <c r="D156" s="10">
        <f>(D3*inputs!E46*inputs!E57*inputs!E68)-inputs!E33*(D3*inputs!E46*inputs!E57*inputs!E68)</f>
        <v>16251.124535719164</v>
      </c>
      <c r="E156" t="str">
        <f t="shared" ca="1" si="3"/>
        <v>=(D3*inputs!E46*inputs!E57*inputs!E68)-inputs!E33*(D3*inputs!E46*inputs!E57*inputs!E68)</v>
      </c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</row>
    <row r="157" spans="1:119" s="14" customFormat="1" x14ac:dyDescent="0.3">
      <c r="A157" t="s">
        <v>32</v>
      </c>
      <c r="B157" t="s">
        <v>289</v>
      </c>
      <c r="C157" t="s">
        <v>286</v>
      </c>
      <c r="D157" s="10">
        <f>(D3*inputs!E47*inputs!E58*inputs!E69)-inputs!E33*(D3*inputs!E47*inputs!E58*inputs!E69)</f>
        <v>0</v>
      </c>
      <c r="E157" t="str">
        <f t="shared" ca="1" si="3"/>
        <v>=(D3*inputs!E47*inputs!E58*inputs!E69)-inputs!E33*(D3*inputs!E47*inputs!E58*inputs!E69)</v>
      </c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</row>
    <row r="158" spans="1:119" s="14" customFormat="1" x14ac:dyDescent="0.3">
      <c r="A158" t="s">
        <v>32</v>
      </c>
      <c r="B158" t="s">
        <v>289</v>
      </c>
      <c r="C158" t="s">
        <v>287</v>
      </c>
      <c r="D158" s="10">
        <f>(D3*inputs!E48*inputs!E59*inputs!E70)-inputs!E33*(D3*inputs!E48*inputs!E59*inputs!E70)</f>
        <v>0</v>
      </c>
      <c r="E158" t="str">
        <f t="shared" ca="1" si="3"/>
        <v>=(D3*inputs!E48*inputs!E59*inputs!E70)-inputs!E33*(D3*inputs!E48*inputs!E59*inputs!E70)</v>
      </c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</row>
    <row r="159" spans="1:119" s="14" customFormat="1" x14ac:dyDescent="0.3">
      <c r="A159" t="s">
        <v>32</v>
      </c>
      <c r="B159" t="s">
        <v>289</v>
      </c>
      <c r="C159" t="s">
        <v>288</v>
      </c>
      <c r="D159" s="10">
        <f>(D3*inputs!E49*inputs!E60*inputs!E71)-inputs!E33*(D3*inputs!E49*inputs!E60*inputs!E71)</f>
        <v>0</v>
      </c>
      <c r="E159" t="str">
        <f t="shared" ca="1" si="3"/>
        <v>=(D3*inputs!E49*inputs!E60*inputs!E71)-inputs!E33*(D3*inputs!E49*inputs!E60*inputs!E71)</v>
      </c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</row>
    <row r="160" spans="1:119" x14ac:dyDescent="0.3">
      <c r="A160" t="s">
        <v>32</v>
      </c>
      <c r="B160" t="s">
        <v>290</v>
      </c>
      <c r="C160" t="s">
        <v>291</v>
      </c>
      <c r="D160" s="10">
        <f>$D$155-$D$155*inputs!$E$33</f>
        <v>27340.116508094645</v>
      </c>
      <c r="E160" t="str">
        <f t="shared" ca="1" si="3"/>
        <v>=$D$155-$D$155*inputs!$E$33</v>
      </c>
    </row>
    <row r="161" spans="1:119" s="16" customFormat="1" x14ac:dyDescent="0.3">
      <c r="A161" t="s">
        <v>32</v>
      </c>
      <c r="B161" t="s">
        <v>290</v>
      </c>
      <c r="C161" t="s">
        <v>292</v>
      </c>
      <c r="D161" s="10">
        <f>D160-D160*inputs!$E$33</f>
        <v>27331.914473142217</v>
      </c>
      <c r="E161" t="str">
        <f t="shared" ca="1" si="3"/>
        <v>=D160-D160*inputs!$E$33</v>
      </c>
      <c r="F161" t="s">
        <v>815</v>
      </c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</row>
    <row r="162" spans="1:119" s="16" customFormat="1" x14ac:dyDescent="0.3">
      <c r="A162" t="s">
        <v>32</v>
      </c>
      <c r="B162" t="s">
        <v>290</v>
      </c>
      <c r="C162" t="s">
        <v>293</v>
      </c>
      <c r="D162" s="10">
        <f>D161-D161*inputs!$E$33</f>
        <v>27323.714898800274</v>
      </c>
      <c r="E162" t="str">
        <f t="shared" ca="1" si="3"/>
        <v>=D161-D161*inputs!$E$33</v>
      </c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</row>
    <row r="163" spans="1:119" s="16" customFormat="1" x14ac:dyDescent="0.3">
      <c r="A163" t="s">
        <v>32</v>
      </c>
      <c r="B163" t="s">
        <v>290</v>
      </c>
      <c r="C163" t="s">
        <v>294</v>
      </c>
      <c r="D163" s="10">
        <f>D162-D162*inputs!$E$33</f>
        <v>27315.517784330634</v>
      </c>
      <c r="E163" t="str">
        <f t="shared" ca="1" si="3"/>
        <v>=D162-D162*inputs!$E$33</v>
      </c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</row>
    <row r="164" spans="1:119" s="16" customFormat="1" x14ac:dyDescent="0.3">
      <c r="A164" t="s">
        <v>32</v>
      </c>
      <c r="B164" t="s">
        <v>290</v>
      </c>
      <c r="C164" t="s">
        <v>295</v>
      </c>
      <c r="D164" s="10">
        <f>D163-D163*inputs!$E$34</f>
        <v>27307.323128995333</v>
      </c>
      <c r="E164" t="str">
        <f t="shared" ca="1" si="3"/>
        <v>=D163-D163*inputs!$E$34</v>
      </c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</row>
    <row r="165" spans="1:119" s="16" customFormat="1" x14ac:dyDescent="0.3">
      <c r="A165" t="s">
        <v>32</v>
      </c>
      <c r="B165" t="s">
        <v>290</v>
      </c>
      <c r="C165" t="s">
        <v>296</v>
      </c>
      <c r="D165" s="10">
        <f>D164-D164*inputs!$E$34</f>
        <v>27299.130932056632</v>
      </c>
      <c r="E165" t="str">
        <f t="shared" ca="1" si="3"/>
        <v>=D164-D164*inputs!$E$34</v>
      </c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</row>
    <row r="166" spans="1:119" s="16" customFormat="1" x14ac:dyDescent="0.3">
      <c r="A166" t="s">
        <v>32</v>
      </c>
      <c r="B166" t="s">
        <v>290</v>
      </c>
      <c r="C166" t="s">
        <v>297</v>
      </c>
      <c r="D166" s="10">
        <f>D165-D165*inputs!$E$34</f>
        <v>27290.941192777016</v>
      </c>
      <c r="E166" t="str">
        <f t="shared" ca="1" si="3"/>
        <v>=D165-D165*inputs!$E$34</v>
      </c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</row>
    <row r="167" spans="1:119" s="16" customFormat="1" x14ac:dyDescent="0.3">
      <c r="A167" t="s">
        <v>32</v>
      </c>
      <c r="B167" t="s">
        <v>290</v>
      </c>
      <c r="C167" t="s">
        <v>298</v>
      </c>
      <c r="D167" s="10">
        <f>D166-D166*inputs!$E$34</f>
        <v>27282.753910419182</v>
      </c>
      <c r="E167" t="str">
        <f t="shared" ca="1" si="3"/>
        <v>=D166-D166*inputs!$E$34</v>
      </c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</row>
    <row r="168" spans="1:119" s="16" customFormat="1" x14ac:dyDescent="0.3">
      <c r="A168" t="s">
        <v>32</v>
      </c>
      <c r="B168" t="s">
        <v>290</v>
      </c>
      <c r="C168" t="s">
        <v>299</v>
      </c>
      <c r="D168" s="10">
        <f>D167-D167*inputs!$E$34</f>
        <v>27274.569084246057</v>
      </c>
      <c r="E168" t="str">
        <f t="shared" ca="1" si="3"/>
        <v>=D167-D167*inputs!$E$34</v>
      </c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</row>
    <row r="169" spans="1:119" s="16" customFormat="1" x14ac:dyDescent="0.3">
      <c r="A169" t="s">
        <v>32</v>
      </c>
      <c r="B169" t="s">
        <v>290</v>
      </c>
      <c r="C169" t="s">
        <v>300</v>
      </c>
      <c r="D169" s="10">
        <f>D168-D168*inputs!$E$35</f>
        <v>27266.386713520784</v>
      </c>
      <c r="E169" t="str">
        <f t="shared" ca="1" si="3"/>
        <v>=D168-D168*inputs!$E$35</v>
      </c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</row>
    <row r="170" spans="1:119" s="16" customFormat="1" x14ac:dyDescent="0.3">
      <c r="A170" t="s">
        <v>32</v>
      </c>
      <c r="B170" t="s">
        <v>290</v>
      </c>
      <c r="C170" t="s">
        <v>301</v>
      </c>
      <c r="D170" s="10">
        <f>D169-D169*inputs!$E$35</f>
        <v>27258.206797506729</v>
      </c>
      <c r="E170" t="str">
        <f t="shared" ca="1" si="3"/>
        <v>=D169-D169*inputs!$E$35</v>
      </c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</row>
    <row r="171" spans="1:119" s="16" customFormat="1" x14ac:dyDescent="0.3">
      <c r="A171" t="s">
        <v>32</v>
      </c>
      <c r="B171" t="s">
        <v>290</v>
      </c>
      <c r="C171" t="s">
        <v>302</v>
      </c>
      <c r="D171" s="10">
        <f>D170-D170*inputs!$E$35</f>
        <v>27250.029335467476</v>
      </c>
      <c r="E171" t="str">
        <f t="shared" ca="1" si="3"/>
        <v>=D170-D170*inputs!$E$35</v>
      </c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</row>
    <row r="172" spans="1:119" s="16" customFormat="1" x14ac:dyDescent="0.3">
      <c r="A172" t="s">
        <v>32</v>
      </c>
      <c r="B172" t="s">
        <v>290</v>
      </c>
      <c r="C172" t="s">
        <v>303</v>
      </c>
      <c r="D172" s="10">
        <f>D171-D171*inputs!$E$35</f>
        <v>27241.854326666835</v>
      </c>
      <c r="E172" t="str">
        <f t="shared" ca="1" si="3"/>
        <v>=D171-D171*inputs!$E$35</v>
      </c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</row>
    <row r="173" spans="1:119" s="16" customFormat="1" x14ac:dyDescent="0.3">
      <c r="A173" t="s">
        <v>32</v>
      </c>
      <c r="B173" t="s">
        <v>290</v>
      </c>
      <c r="C173" t="s">
        <v>304</v>
      </c>
      <c r="D173" s="10">
        <f>D172-D172*inputs!$E$35</f>
        <v>27233.681770368836</v>
      </c>
      <c r="E173" t="str">
        <f t="shared" ca="1" si="3"/>
        <v>=D172-D172*inputs!$E$35</v>
      </c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</row>
    <row r="174" spans="1:119" s="16" customFormat="1" x14ac:dyDescent="0.3">
      <c r="A174" t="s">
        <v>32</v>
      </c>
      <c r="B174" t="s">
        <v>290</v>
      </c>
      <c r="C174" t="s">
        <v>305</v>
      </c>
      <c r="D174" s="10">
        <f>D173-D173*inputs!$E$35</f>
        <v>27225.511665837726</v>
      </c>
      <c r="E174" t="str">
        <f t="shared" ca="1" si="3"/>
        <v>=D173-D173*inputs!$E$35</v>
      </c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</row>
    <row r="175" spans="1:119" s="16" customFormat="1" x14ac:dyDescent="0.3">
      <c r="A175" t="s">
        <v>32</v>
      </c>
      <c r="B175" t="s">
        <v>290</v>
      </c>
      <c r="C175" t="s">
        <v>306</v>
      </c>
      <c r="D175" s="10">
        <f>D174-D174*inputs!$E$35</f>
        <v>27217.344012337977</v>
      </c>
      <c r="E175" t="str">
        <f t="shared" ca="1" si="3"/>
        <v>=D174-D174*inputs!$E$35</v>
      </c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</row>
    <row r="176" spans="1:119" s="16" customFormat="1" x14ac:dyDescent="0.3">
      <c r="A176" t="s">
        <v>32</v>
      </c>
      <c r="B176" t="s">
        <v>290</v>
      </c>
      <c r="C176" t="s">
        <v>307</v>
      </c>
      <c r="D176" s="10">
        <f>D175-D175*inputs!$E$35</f>
        <v>27209.178809134275</v>
      </c>
      <c r="E176" t="str">
        <f t="shared" ca="1" si="3"/>
        <v>=D175-D175*inputs!$E$35</v>
      </c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</row>
    <row r="177" spans="1:121" s="16" customFormat="1" x14ac:dyDescent="0.3">
      <c r="A177" t="s">
        <v>32</v>
      </c>
      <c r="B177" t="s">
        <v>290</v>
      </c>
      <c r="C177" t="s">
        <v>308</v>
      </c>
      <c r="D177" s="10">
        <f>D176-D176*inputs!$E$35</f>
        <v>27201.016055491535</v>
      </c>
      <c r="E177" t="str">
        <f t="shared" ca="1" si="3"/>
        <v>=D176-D176*inputs!$E$35</v>
      </c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</row>
    <row r="178" spans="1:121" s="16" customFormat="1" x14ac:dyDescent="0.3">
      <c r="A178" t="s">
        <v>32</v>
      </c>
      <c r="B178" t="s">
        <v>290</v>
      </c>
      <c r="C178" t="s">
        <v>309</v>
      </c>
      <c r="D178" s="10">
        <f>D177-D177*inputs!$E$35</f>
        <v>27192.855750674888</v>
      </c>
      <c r="E178" t="str">
        <f t="shared" ca="1" si="3"/>
        <v>=D177-D177*inputs!$E$35</v>
      </c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</row>
    <row r="179" spans="1:121" s="16" customFormat="1" x14ac:dyDescent="0.3">
      <c r="A179" t="s">
        <v>32</v>
      </c>
      <c r="B179" t="s">
        <v>290</v>
      </c>
      <c r="C179" t="s">
        <v>310</v>
      </c>
      <c r="D179" s="10">
        <f>D178-D178*inputs!$E$36</f>
        <v>27165.662894924211</v>
      </c>
      <c r="E179" t="str">
        <f t="shared" ca="1" si="3"/>
        <v>=D178-D178*inputs!$E$36</v>
      </c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</row>
    <row r="180" spans="1:121" s="16" customFormat="1" x14ac:dyDescent="0.3">
      <c r="A180" t="s">
        <v>32</v>
      </c>
      <c r="B180" t="s">
        <v>290</v>
      </c>
      <c r="C180" t="s">
        <v>311</v>
      </c>
      <c r="D180" s="10">
        <f>D179-D179*inputs!$E$36</f>
        <v>27138.497232029287</v>
      </c>
      <c r="E180" t="str">
        <f t="shared" ca="1" si="3"/>
        <v>=D179-D179*inputs!$E$36</v>
      </c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</row>
    <row r="181" spans="1:121" s="16" customFormat="1" x14ac:dyDescent="0.3">
      <c r="A181" t="s">
        <v>32</v>
      </c>
      <c r="B181" t="s">
        <v>290</v>
      </c>
      <c r="C181" t="s">
        <v>312</v>
      </c>
      <c r="D181" s="10">
        <f>D180-D180*inputs!$E$36</f>
        <v>27111.358734797257</v>
      </c>
      <c r="E181" t="str">
        <f t="shared" ca="1" si="3"/>
        <v>=D180-D180*inputs!$E$36</v>
      </c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</row>
    <row r="182" spans="1:121" s="16" customFormat="1" x14ac:dyDescent="0.3">
      <c r="A182" t="s">
        <v>32</v>
      </c>
      <c r="B182" t="s">
        <v>290</v>
      </c>
      <c r="C182" t="s">
        <v>313</v>
      </c>
      <c r="D182" s="10">
        <f>D181-D181*inputs!$E$36</f>
        <v>27084.24737606246</v>
      </c>
      <c r="E182" t="str">
        <f t="shared" ca="1" si="3"/>
        <v>=D181-D181*inputs!$E$36</v>
      </c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</row>
    <row r="183" spans="1:121" s="16" customFormat="1" x14ac:dyDescent="0.3">
      <c r="A183" t="s">
        <v>32</v>
      </c>
      <c r="B183" t="s">
        <v>290</v>
      </c>
      <c r="C183" t="s">
        <v>314</v>
      </c>
      <c r="D183" s="20">
        <f>D182-D182*inputs!$E$36</f>
        <v>27057.163128686396</v>
      </c>
      <c r="E183" s="19" t="str">
        <f t="shared" ca="1" si="3"/>
        <v>=D182-D182*inputs!$E$36</v>
      </c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</row>
    <row r="184" spans="1:121" s="16" customFormat="1" x14ac:dyDescent="0.3">
      <c r="A184" t="s">
        <v>32</v>
      </c>
      <c r="B184" t="s">
        <v>290</v>
      </c>
      <c r="C184" t="s">
        <v>315</v>
      </c>
      <c r="D184" s="10">
        <f>D183-D183*inputs!$E$37</f>
        <v>27003.048802429024</v>
      </c>
      <c r="E184" t="str">
        <f t="shared" ca="1" si="3"/>
        <v>=D183-D183*inputs!$E$37</v>
      </c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</row>
    <row r="185" spans="1:121" s="16" customFormat="1" x14ac:dyDescent="0.3">
      <c r="A185" t="s">
        <v>32</v>
      </c>
      <c r="B185" t="s">
        <v>290</v>
      </c>
      <c r="C185" t="s">
        <v>316</v>
      </c>
      <c r="D185" s="10">
        <f>D184-D184*inputs!$E$37</f>
        <v>26949.042704824165</v>
      </c>
      <c r="E185" t="str">
        <f t="shared" ca="1" si="3"/>
        <v>=D184-D184*inputs!$E$37</v>
      </c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</row>
    <row r="186" spans="1:121" s="16" customFormat="1" x14ac:dyDescent="0.3">
      <c r="A186" t="s">
        <v>32</v>
      </c>
      <c r="B186" t="s">
        <v>290</v>
      </c>
      <c r="C186" t="s">
        <v>317</v>
      </c>
      <c r="D186" s="10">
        <f>D185-D185*inputs!$E$37</f>
        <v>26895.144619414517</v>
      </c>
      <c r="E186" t="str">
        <f t="shared" ca="1" si="3"/>
        <v>=D185-D185*inputs!$E$37</v>
      </c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</row>
    <row r="187" spans="1:121" s="16" customFormat="1" x14ac:dyDescent="0.3">
      <c r="A187" t="s">
        <v>32</v>
      </c>
      <c r="B187" t="s">
        <v>290</v>
      </c>
      <c r="C187" t="s">
        <v>318</v>
      </c>
      <c r="D187" s="10">
        <f>D186-D186*inputs!$E$37</f>
        <v>26841.354330175687</v>
      </c>
      <c r="E187" t="str">
        <f t="shared" ca="1" si="3"/>
        <v>=D186-D186*inputs!$E$37</v>
      </c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</row>
    <row r="188" spans="1:121" s="16" customFormat="1" x14ac:dyDescent="0.3">
      <c r="A188" t="s">
        <v>32</v>
      </c>
      <c r="B188" t="s">
        <v>290</v>
      </c>
      <c r="C188" t="s">
        <v>319</v>
      </c>
      <c r="D188" s="10">
        <f>D187-D187*inputs!$E$38</f>
        <v>26787.671621515336</v>
      </c>
      <c r="E188" t="str">
        <f t="shared" ca="1" si="3"/>
        <v>=D187-D187*inputs!$E$38</v>
      </c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</row>
    <row r="189" spans="1:121" s="16" customFormat="1" x14ac:dyDescent="0.3">
      <c r="A189" t="s">
        <v>32</v>
      </c>
      <c r="B189" t="s">
        <v>290</v>
      </c>
      <c r="C189" t="s">
        <v>320</v>
      </c>
      <c r="D189" s="10">
        <f>D188-D188*inputs!$E$38</f>
        <v>26734.096278272304</v>
      </c>
      <c r="E189" t="str">
        <f t="shared" ca="1" si="3"/>
        <v>=D188-D188*inputs!$E$38</v>
      </c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</row>
    <row r="190" spans="1:121" s="16" customFormat="1" x14ac:dyDescent="0.3">
      <c r="A190" t="s">
        <v>32</v>
      </c>
      <c r="B190" t="s">
        <v>290</v>
      </c>
      <c r="C190" t="s">
        <v>321</v>
      </c>
      <c r="D190" s="10">
        <f>D189-D189*inputs!$E$38</f>
        <v>26680.628085715758</v>
      </c>
      <c r="E190" t="str">
        <f t="shared" ca="1" si="3"/>
        <v>=D189-D189*inputs!$E$38</v>
      </c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</row>
    <row r="191" spans="1:121" s="16" customFormat="1" x14ac:dyDescent="0.3">
      <c r="A191" t="s">
        <v>32</v>
      </c>
      <c r="B191" t="s">
        <v>290</v>
      </c>
      <c r="C191" t="s">
        <v>322</v>
      </c>
      <c r="D191" s="10">
        <f>D190-D190*inputs!$E$38</f>
        <v>26627.266829544325</v>
      </c>
      <c r="E191" t="str">
        <f t="shared" ca="1" si="3"/>
        <v>=D190-D190*inputs!$E$38</v>
      </c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</row>
    <row r="192" spans="1:121" s="16" customFormat="1" x14ac:dyDescent="0.3">
      <c r="A192" t="s">
        <v>32</v>
      </c>
      <c r="B192" t="s">
        <v>290</v>
      </c>
      <c r="C192" t="s">
        <v>323</v>
      </c>
      <c r="D192" s="10">
        <f>D191-D191*inputs!$E$38</f>
        <v>26574.012295885237</v>
      </c>
      <c r="E192" t="str">
        <f t="shared" ca="1" si="3"/>
        <v>=D191-D191*inputs!$E$38</v>
      </c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</row>
    <row r="193" spans="1:121" s="16" customFormat="1" x14ac:dyDescent="0.3">
      <c r="A193" t="s">
        <v>32</v>
      </c>
      <c r="B193" t="s">
        <v>290</v>
      </c>
      <c r="C193" t="s">
        <v>324</v>
      </c>
      <c r="D193" s="10">
        <f>D192-D192*inputs!$E$38</f>
        <v>26520.864271293467</v>
      </c>
      <c r="E193" t="str">
        <f t="shared" ca="1" si="3"/>
        <v>=D192-D192*inputs!$E$38</v>
      </c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</row>
    <row r="194" spans="1:121" s="16" customFormat="1" x14ac:dyDescent="0.3">
      <c r="A194" t="s">
        <v>32</v>
      </c>
      <c r="B194" t="s">
        <v>290</v>
      </c>
      <c r="C194" t="s">
        <v>325</v>
      </c>
      <c r="D194" s="10">
        <f>D193-D193*inputs!$E$38</f>
        <v>26467.822542750881</v>
      </c>
      <c r="E194" t="str">
        <f t="shared" ca="1" si="3"/>
        <v>=D193-D193*inputs!$E$38</v>
      </c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</row>
    <row r="195" spans="1:121" s="16" customFormat="1" x14ac:dyDescent="0.3">
      <c r="A195" t="s">
        <v>32</v>
      </c>
      <c r="B195" t="s">
        <v>290</v>
      </c>
      <c r="C195" t="s">
        <v>326</v>
      </c>
      <c r="D195" s="10">
        <f>D194-D194*inputs!$E$38</f>
        <v>26414.886897665379</v>
      </c>
      <c r="E195" t="str">
        <f t="shared" ca="1" si="3"/>
        <v>=D194-D194*inputs!$E$38</v>
      </c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</row>
    <row r="196" spans="1:121" s="16" customFormat="1" x14ac:dyDescent="0.3">
      <c r="A196" t="s">
        <v>32</v>
      </c>
      <c r="B196" t="s">
        <v>290</v>
      </c>
      <c r="C196" t="s">
        <v>327</v>
      </c>
      <c r="D196" s="10">
        <f>D195-D195*inputs!$E$38</f>
        <v>26362.05712387005</v>
      </c>
      <c r="E196" t="str">
        <f t="shared" ca="1" si="3"/>
        <v>=D195-D195*inputs!$E$38</v>
      </c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</row>
    <row r="197" spans="1:121" s="16" customFormat="1" x14ac:dyDescent="0.3">
      <c r="A197" t="s">
        <v>32</v>
      </c>
      <c r="B197" t="s">
        <v>290</v>
      </c>
      <c r="C197" t="s">
        <v>328</v>
      </c>
      <c r="D197" s="10">
        <f>D196-D196*inputs!$E$38</f>
        <v>26309.333009622311</v>
      </c>
      <c r="E197" t="str">
        <f t="shared" ca="1" si="3"/>
        <v>=D196-D196*inputs!$E$38</v>
      </c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</row>
    <row r="198" spans="1:121" s="16" customFormat="1" x14ac:dyDescent="0.3">
      <c r="A198" t="s">
        <v>32</v>
      </c>
      <c r="B198" t="s">
        <v>290</v>
      </c>
      <c r="C198" t="s">
        <v>329</v>
      </c>
      <c r="D198" s="10">
        <f>D197-D197*inputs!$E$38</f>
        <v>26256.714343603067</v>
      </c>
      <c r="E198" t="str">
        <f t="shared" ca="1" si="3"/>
        <v>=D197-D197*inputs!$E$38</v>
      </c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</row>
    <row r="199" spans="1:121" s="14" customFormat="1" x14ac:dyDescent="0.3">
      <c r="A199" t="s">
        <v>32</v>
      </c>
      <c r="B199" t="s">
        <v>290</v>
      </c>
      <c r="C199" t="s">
        <v>330</v>
      </c>
      <c r="D199" s="10">
        <f>$D$156*(1 - inputs!$E$33)</f>
        <v>16246.249198358448</v>
      </c>
      <c r="E199" t="str">
        <f t="shared" ca="1" si="3"/>
        <v>=$D$156*(1 - inputs!$E$33)</v>
      </c>
      <c r="F199" t="s">
        <v>816</v>
      </c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</row>
    <row r="200" spans="1:121" s="14" customFormat="1" x14ac:dyDescent="0.3">
      <c r="A200" t="s">
        <v>32</v>
      </c>
      <c r="B200" t="s">
        <v>290</v>
      </c>
      <c r="C200" t="s">
        <v>331</v>
      </c>
      <c r="D200" s="10">
        <f>$D$199*(1 - inputs!$E$33)</f>
        <v>16241.375323598941</v>
      </c>
      <c r="E200" t="str">
        <f t="shared" ca="1" si="3"/>
        <v>=$D$199*(1 - inputs!$E$33)</v>
      </c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21" s="14" customFormat="1" x14ac:dyDescent="0.3">
      <c r="A201" t="s">
        <v>32</v>
      </c>
      <c r="B201" t="s">
        <v>290</v>
      </c>
      <c r="C201" t="s">
        <v>332</v>
      </c>
      <c r="D201" s="10">
        <f>$D$200*(1 - inputs!$E$33)</f>
        <v>16236.502911001862</v>
      </c>
      <c r="E201" t="str">
        <f t="shared" ca="1" si="3"/>
        <v>=$D$200*(1 - inputs!$E$33)</v>
      </c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</row>
    <row r="202" spans="1:121" s="14" customFormat="1" x14ac:dyDescent="0.3">
      <c r="A202" t="s">
        <v>32</v>
      </c>
      <c r="B202" t="s">
        <v>290</v>
      </c>
      <c r="C202" t="s">
        <v>333</v>
      </c>
      <c r="D202" s="10">
        <f>$D$201*(1 - inputs!$E$33)</f>
        <v>16231.631960128561</v>
      </c>
      <c r="E202" t="str">
        <f t="shared" ca="1" si="3"/>
        <v>=$D$201*(1 - inputs!$E$33)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</row>
    <row r="203" spans="1:121" s="14" customFormat="1" x14ac:dyDescent="0.3">
      <c r="A203" t="s">
        <v>32</v>
      </c>
      <c r="B203" t="s">
        <v>290</v>
      </c>
      <c r="C203" t="s">
        <v>334</v>
      </c>
      <c r="D203" s="10">
        <f>$D$202*(1 - inputs!$E$34)</f>
        <v>16226.762470540523</v>
      </c>
      <c r="E203" t="str">
        <f t="shared" ca="1" si="3"/>
        <v>=$D$202*(1 - inputs!$E$34)</v>
      </c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</row>
    <row r="204" spans="1:121" s="14" customFormat="1" x14ac:dyDescent="0.3">
      <c r="A204" t="s">
        <v>32</v>
      </c>
      <c r="B204" t="s">
        <v>290</v>
      </c>
      <c r="C204" t="s">
        <v>335</v>
      </c>
      <c r="D204" s="10">
        <f>$D$203*(1 - inputs!$E$34)</f>
        <v>16221.894441799363</v>
      </c>
      <c r="E204" t="str">
        <f t="shared" ca="1" si="3"/>
        <v>=$D$203*(1 - inputs!$E$34)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</row>
    <row r="205" spans="1:121" s="14" customFormat="1" x14ac:dyDescent="0.3">
      <c r="A205" t="s">
        <v>32</v>
      </c>
      <c r="B205" t="s">
        <v>290</v>
      </c>
      <c r="C205" t="s">
        <v>336</v>
      </c>
      <c r="D205" s="10">
        <f>$D$204*(1 - inputs!$E$34)</f>
        <v>16217.027873466823</v>
      </c>
      <c r="E205" t="str">
        <f t="shared" ca="1" si="3"/>
        <v>=$D$204*(1 - inputs!$E$34)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</row>
    <row r="206" spans="1:121" s="14" customFormat="1" x14ac:dyDescent="0.3">
      <c r="A206" t="s">
        <v>32</v>
      </c>
      <c r="B206" t="s">
        <v>290</v>
      </c>
      <c r="C206" t="s">
        <v>337</v>
      </c>
      <c r="D206" s="10">
        <f>$D$205*(1 - inputs!$E$34)</f>
        <v>16212.162765104784</v>
      </c>
      <c r="E206" t="str">
        <f t="shared" ca="1" si="3"/>
        <v>=$D$205*(1 - inputs!$E$34)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</row>
    <row r="207" spans="1:121" s="14" customFormat="1" x14ac:dyDescent="0.3">
      <c r="A207" t="s">
        <v>32</v>
      </c>
      <c r="B207" t="s">
        <v>290</v>
      </c>
      <c r="C207" t="s">
        <v>338</v>
      </c>
      <c r="D207" s="10">
        <f>$D$206*(1 - inputs!$E$34)</f>
        <v>16207.299116275253</v>
      </c>
      <c r="E207" t="str">
        <f t="shared" ca="1" si="3"/>
        <v>=$D$206*(1 - inputs!$E$34)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</row>
    <row r="208" spans="1:121" s="14" customFormat="1" x14ac:dyDescent="0.3">
      <c r="A208" t="s">
        <v>32</v>
      </c>
      <c r="B208" t="s">
        <v>290</v>
      </c>
      <c r="C208" t="s">
        <v>339</v>
      </c>
      <c r="D208" s="10">
        <f>$D$207*(1 - inputs!$E$35)</f>
        <v>16202.436926540371</v>
      </c>
      <c r="E208" t="str">
        <f t="shared" ca="1" si="3"/>
        <v>=$D$207*(1 - inputs!$E$35)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</row>
    <row r="209" spans="1:110" s="14" customFormat="1" x14ac:dyDescent="0.3">
      <c r="A209" t="s">
        <v>32</v>
      </c>
      <c r="B209" t="s">
        <v>290</v>
      </c>
      <c r="C209" t="s">
        <v>340</v>
      </c>
      <c r="D209" s="10">
        <f>$D$208*(1 - inputs!$E$35)</f>
        <v>16197.57619546241</v>
      </c>
      <c r="E209" t="str">
        <f t="shared" ca="1" si="3"/>
        <v>=$D$208*(1 - inputs!$E$35)</v>
      </c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</row>
    <row r="210" spans="1:110" s="14" customFormat="1" x14ac:dyDescent="0.3">
      <c r="A210" t="s">
        <v>32</v>
      </c>
      <c r="B210" t="s">
        <v>290</v>
      </c>
      <c r="C210" t="s">
        <v>341</v>
      </c>
      <c r="D210" s="10">
        <f>$D$209*(1 - inputs!$E$35)</f>
        <v>16192.716922603771</v>
      </c>
      <c r="E210" t="str">
        <f t="shared" ca="1" si="3"/>
        <v>=$D$209*(1 - inputs!$E$35)</v>
      </c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</row>
    <row r="211" spans="1:110" s="14" customFormat="1" x14ac:dyDescent="0.3">
      <c r="A211" t="s">
        <v>32</v>
      </c>
      <c r="B211" t="s">
        <v>290</v>
      </c>
      <c r="C211" t="s">
        <v>342</v>
      </c>
      <c r="D211" s="10">
        <f>$D$210*(1 - inputs!$E$35)</f>
        <v>16187.859107526991</v>
      </c>
      <c r="E211" t="str">
        <f t="shared" ca="1" si="3"/>
        <v>=$D$210*(1 - inputs!$E$35)</v>
      </c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</row>
    <row r="212" spans="1:110" s="14" customFormat="1" x14ac:dyDescent="0.3">
      <c r="A212" t="s">
        <v>32</v>
      </c>
      <c r="B212" t="s">
        <v>290</v>
      </c>
      <c r="C212" t="s">
        <v>343</v>
      </c>
      <c r="D212" s="10">
        <f>$D$211*(1 - inputs!$E$35)</f>
        <v>16183.002749794732</v>
      </c>
      <c r="E212" t="str">
        <f t="shared" ca="1" si="3"/>
        <v>=$D$211*(1 - inputs!$E$35)</v>
      </c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</row>
    <row r="213" spans="1:110" s="14" customFormat="1" x14ac:dyDescent="0.3">
      <c r="A213" t="s">
        <v>32</v>
      </c>
      <c r="B213" t="s">
        <v>290</v>
      </c>
      <c r="C213" t="s">
        <v>344</v>
      </c>
      <c r="D213" s="10">
        <f>$D$212*(1 - inputs!$E$35)</f>
        <v>16178.147848969795</v>
      </c>
      <c r="E213" t="str">
        <f t="shared" ca="1" si="3"/>
        <v>=$D$212*(1 - inputs!$E$35)</v>
      </c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</row>
    <row r="214" spans="1:110" s="14" customFormat="1" x14ac:dyDescent="0.3">
      <c r="A214" t="s">
        <v>32</v>
      </c>
      <c r="B214" t="s">
        <v>290</v>
      </c>
      <c r="C214" t="s">
        <v>345</v>
      </c>
      <c r="D214" s="10">
        <f>$D$213*(1 - inputs!$E$35)</f>
        <v>16173.294404615104</v>
      </c>
      <c r="E214" t="str">
        <f t="shared" ca="1" si="3"/>
        <v>=$D$213*(1 - inputs!$E$35)</v>
      </c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</row>
    <row r="215" spans="1:110" s="14" customFormat="1" x14ac:dyDescent="0.3">
      <c r="A215" t="s">
        <v>32</v>
      </c>
      <c r="B215" t="s">
        <v>290</v>
      </c>
      <c r="C215" t="s">
        <v>346</v>
      </c>
      <c r="D215" s="10">
        <f>$D$214*(1 - inputs!$E$35)</f>
        <v>16168.442416293719</v>
      </c>
      <c r="E215" t="str">
        <f t="shared" ref="E215:E279" ca="1" si="4">_xlfn.FORMULATEXT(D215)</f>
        <v>=$D$214*(1 - inputs!$E$35)</v>
      </c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</row>
    <row r="216" spans="1:110" s="14" customFormat="1" x14ac:dyDescent="0.3">
      <c r="A216" t="s">
        <v>32</v>
      </c>
      <c r="B216" t="s">
        <v>290</v>
      </c>
      <c r="C216" t="s">
        <v>347</v>
      </c>
      <c r="D216" s="10">
        <f>$D$215*(1 - inputs!$E$35)</f>
        <v>16163.591883568832</v>
      </c>
      <c r="E216" t="str">
        <f t="shared" ca="1" si="4"/>
        <v>=$D$215*(1 - inputs!$E$35)</v>
      </c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</row>
    <row r="217" spans="1:110" s="14" customFormat="1" x14ac:dyDescent="0.3">
      <c r="A217" t="s">
        <v>32</v>
      </c>
      <c r="B217" t="s">
        <v>290</v>
      </c>
      <c r="C217" t="s">
        <v>348</v>
      </c>
      <c r="D217" s="10">
        <f>$D$216*(1 - inputs!$E$35)</f>
        <v>16158.742806003762</v>
      </c>
      <c r="E217" t="str">
        <f t="shared" ca="1" si="4"/>
        <v>=$D$216*(1 - inputs!$E$35)</v>
      </c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</row>
    <row r="218" spans="1:110" s="14" customFormat="1" x14ac:dyDescent="0.3">
      <c r="A218" t="s">
        <v>32</v>
      </c>
      <c r="B218" t="s">
        <v>290</v>
      </c>
      <c r="C218" t="s">
        <v>349</v>
      </c>
      <c r="D218" s="10">
        <f>$D$217*(1 - inputs!$E$36)</f>
        <v>16142.584063197759</v>
      </c>
      <c r="E218" t="str">
        <f t="shared" ca="1" si="4"/>
        <v>=$D$217*(1 - inputs!$E$36)</v>
      </c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</row>
    <row r="219" spans="1:110" s="14" customFormat="1" x14ac:dyDescent="0.3">
      <c r="A219" t="s">
        <v>32</v>
      </c>
      <c r="B219" t="s">
        <v>290</v>
      </c>
      <c r="C219" t="s">
        <v>350</v>
      </c>
      <c r="D219" s="10">
        <f>$D$218*(1 - inputs!$E$36)</f>
        <v>16126.441479134561</v>
      </c>
      <c r="E219" t="str">
        <f t="shared" ca="1" si="4"/>
        <v>=$D$218*(1 - inputs!$E$36)</v>
      </c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</row>
    <row r="220" spans="1:110" s="14" customFormat="1" x14ac:dyDescent="0.3">
      <c r="A220" t="s">
        <v>32</v>
      </c>
      <c r="B220" t="s">
        <v>290</v>
      </c>
      <c r="C220" t="s">
        <v>351</v>
      </c>
      <c r="D220" s="10">
        <f>$D$219*(1 - inputs!$E$36)</f>
        <v>16110.315037655426</v>
      </c>
      <c r="E220" t="str">
        <f t="shared" ca="1" si="4"/>
        <v>=$D$219*(1 - inputs!$E$36)</v>
      </c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</row>
    <row r="221" spans="1:110" s="14" customFormat="1" x14ac:dyDescent="0.3">
      <c r="A221" t="s">
        <v>32</v>
      </c>
      <c r="B221" t="s">
        <v>290</v>
      </c>
      <c r="C221" t="s">
        <v>352</v>
      </c>
      <c r="D221" s="10">
        <f>$D$220*(1 - inputs!$E$36)</f>
        <v>16094.204722617771</v>
      </c>
      <c r="E221" t="str">
        <f t="shared" ca="1" si="4"/>
        <v>=$D$220*(1 - inputs!$E$36)</v>
      </c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</row>
    <row r="222" spans="1:110" s="14" customFormat="1" x14ac:dyDescent="0.3">
      <c r="A222" t="s">
        <v>32</v>
      </c>
      <c r="B222" t="s">
        <v>290</v>
      </c>
      <c r="C222" t="s">
        <v>353</v>
      </c>
      <c r="D222" s="10">
        <f>$D$221*(1 - inputs!$E$36)</f>
        <v>16078.110517895153</v>
      </c>
      <c r="E222" t="str">
        <f t="shared" ca="1" si="4"/>
        <v>=$D$221*(1 - inputs!$E$36)</v>
      </c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</row>
    <row r="223" spans="1:110" s="14" customFormat="1" x14ac:dyDescent="0.3">
      <c r="A223" t="s">
        <v>32</v>
      </c>
      <c r="B223" t="s">
        <v>290</v>
      </c>
      <c r="C223" t="s">
        <v>354</v>
      </c>
      <c r="D223" s="10">
        <f>$D$222*(1 - inputs!$E$37)</f>
        <v>16045.954296859363</v>
      </c>
      <c r="E223" t="str">
        <f t="shared" ca="1" si="4"/>
        <v>=$D$222*(1 - inputs!$E$37)</v>
      </c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</row>
    <row r="224" spans="1:110" s="14" customFormat="1" x14ac:dyDescent="0.3">
      <c r="A224" t="s">
        <v>32</v>
      </c>
      <c r="B224" t="s">
        <v>290</v>
      </c>
      <c r="C224" t="s">
        <v>355</v>
      </c>
      <c r="D224" s="10">
        <f>$D$223*(1 - inputs!$E$37)</f>
        <v>16013.862388265645</v>
      </c>
      <c r="E224" t="str">
        <f t="shared" ca="1" si="4"/>
        <v>=$D$223*(1 - inputs!$E$37)</v>
      </c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</row>
    <row r="225" spans="1:110" s="14" customFormat="1" x14ac:dyDescent="0.3">
      <c r="A225" t="s">
        <v>32</v>
      </c>
      <c r="B225" t="s">
        <v>290</v>
      </c>
      <c r="C225" t="s">
        <v>356</v>
      </c>
      <c r="D225" s="10">
        <f>$D$224*(1 - inputs!$E$37)</f>
        <v>15981.834663489113</v>
      </c>
      <c r="E225" t="str">
        <f t="shared" ca="1" si="4"/>
        <v>=$D$224*(1 - inputs!$E$37)</v>
      </c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</row>
    <row r="226" spans="1:110" s="14" customFormat="1" x14ac:dyDescent="0.3">
      <c r="A226" t="s">
        <v>32</v>
      </c>
      <c r="B226" t="s">
        <v>290</v>
      </c>
      <c r="C226" t="s">
        <v>357</v>
      </c>
      <c r="D226" s="10">
        <f>$D$225*(1 - inputs!$E$37)</f>
        <v>15949.870994162135</v>
      </c>
      <c r="E226" t="str">
        <f t="shared" ca="1" si="4"/>
        <v>=$D$225*(1 - inputs!$E$37)</v>
      </c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</row>
    <row r="227" spans="1:110" s="14" customFormat="1" x14ac:dyDescent="0.3">
      <c r="A227" t="s">
        <v>32</v>
      </c>
      <c r="B227" t="s">
        <v>290</v>
      </c>
      <c r="C227" t="s">
        <v>358</v>
      </c>
      <c r="D227" s="10">
        <f>$D$226*(1 - inputs!$E$37)</f>
        <v>15917.971252173811</v>
      </c>
      <c r="E227" t="str">
        <f t="shared" ca="1" si="4"/>
        <v>=$D$226*(1 - inputs!$E$37)</v>
      </c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</row>
    <row r="228" spans="1:110" s="14" customFormat="1" x14ac:dyDescent="0.3">
      <c r="A228" t="s">
        <v>32</v>
      </c>
      <c r="B228" t="s">
        <v>290</v>
      </c>
      <c r="C228" t="s">
        <v>359</v>
      </c>
      <c r="D228" s="10">
        <f>$D$227*(1 - inputs!$E$38)</f>
        <v>15886.135309669464</v>
      </c>
      <c r="E228" t="str">
        <f t="shared" ca="1" si="4"/>
        <v>=$D$227*(1 - inputs!$E$38)</v>
      </c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</row>
    <row r="229" spans="1:110" s="14" customFormat="1" x14ac:dyDescent="0.3">
      <c r="A229" t="s">
        <v>32</v>
      </c>
      <c r="B229" t="s">
        <v>290</v>
      </c>
      <c r="C229" t="s">
        <v>360</v>
      </c>
      <c r="D229" s="10">
        <f>$D$228*(1 - inputs!$E$38)</f>
        <v>15854.363039050126</v>
      </c>
      <c r="E229" t="str">
        <f t="shared" ca="1" si="4"/>
        <v>=$D$228*(1 - inputs!$E$38)</v>
      </c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</row>
    <row r="230" spans="1:110" s="14" customFormat="1" x14ac:dyDescent="0.3">
      <c r="A230" t="s">
        <v>32</v>
      </c>
      <c r="B230" t="s">
        <v>290</v>
      </c>
      <c r="C230" t="s">
        <v>361</v>
      </c>
      <c r="D230" s="10">
        <f>$D$229*(1 - inputs!$E$38)</f>
        <v>15822.654312972025</v>
      </c>
      <c r="E230" t="str">
        <f t="shared" ca="1" si="4"/>
        <v>=$D$229*(1 - inputs!$E$38)</v>
      </c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</row>
    <row r="231" spans="1:110" s="14" customFormat="1" x14ac:dyDescent="0.3">
      <c r="A231" t="s">
        <v>32</v>
      </c>
      <c r="B231" t="s">
        <v>290</v>
      </c>
      <c r="C231" t="s">
        <v>362</v>
      </c>
      <c r="D231" s="10">
        <f>$D$230*(1 - inputs!$E$38)</f>
        <v>15791.00900434608</v>
      </c>
      <c r="E231" t="str">
        <f t="shared" ca="1" si="4"/>
        <v>=$D$230*(1 - inputs!$E$38)</v>
      </c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</row>
    <row r="232" spans="1:110" s="14" customFormat="1" x14ac:dyDescent="0.3">
      <c r="A232" t="s">
        <v>32</v>
      </c>
      <c r="B232" t="s">
        <v>290</v>
      </c>
      <c r="C232" t="s">
        <v>363</v>
      </c>
      <c r="D232" s="10">
        <f>$D$231*(1 - inputs!$E$38)</f>
        <v>15759.426986337388</v>
      </c>
      <c r="E232" t="str">
        <f t="shared" ca="1" si="4"/>
        <v>=$D$231*(1 - inputs!$E$38)</v>
      </c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</row>
    <row r="233" spans="1:110" s="14" customFormat="1" x14ac:dyDescent="0.3">
      <c r="A233" t="s">
        <v>32</v>
      </c>
      <c r="B233" t="s">
        <v>290</v>
      </c>
      <c r="C233" t="s">
        <v>364</v>
      </c>
      <c r="D233" s="10">
        <f>$D$232*(1 - inputs!$E$38)</f>
        <v>15727.908132364713</v>
      </c>
      <c r="E233" t="str">
        <f t="shared" ca="1" si="4"/>
        <v>=$D$232*(1 - inputs!$E$38)</v>
      </c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</row>
    <row r="234" spans="1:110" s="14" customFormat="1" x14ac:dyDescent="0.3">
      <c r="A234" t="s">
        <v>32</v>
      </c>
      <c r="B234" t="s">
        <v>290</v>
      </c>
      <c r="C234" t="s">
        <v>365</v>
      </c>
      <c r="D234" s="10">
        <f>$D$233*(1 - inputs!$E$38)</f>
        <v>15696.452316099983</v>
      </c>
      <c r="E234" t="str">
        <f t="shared" ca="1" si="4"/>
        <v>=$D$233*(1 - inputs!$E$38)</v>
      </c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</row>
    <row r="235" spans="1:110" s="14" customFormat="1" x14ac:dyDescent="0.3">
      <c r="A235" t="s">
        <v>32</v>
      </c>
      <c r="B235" t="s">
        <v>290</v>
      </c>
      <c r="C235" t="s">
        <v>366</v>
      </c>
      <c r="D235" s="10">
        <f>$D$234*(1 - inputs!$E$38)</f>
        <v>15665.059411467784</v>
      </c>
      <c r="E235" t="str">
        <f t="shared" ca="1" si="4"/>
        <v>=$D$234*(1 - inputs!$E$38)</v>
      </c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</row>
    <row r="236" spans="1:110" s="14" customFormat="1" x14ac:dyDescent="0.3">
      <c r="A236" t="s">
        <v>32</v>
      </c>
      <c r="B236" t="s">
        <v>290</v>
      </c>
      <c r="C236" t="s">
        <v>367</v>
      </c>
      <c r="D236" s="10">
        <f>$D$235*(1 - inputs!$E$38)</f>
        <v>15633.729292644848</v>
      </c>
      <c r="E236" t="str">
        <f t="shared" ca="1" si="4"/>
        <v>=$D$235*(1 - inputs!$E$38)</v>
      </c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</row>
    <row r="237" spans="1:110" s="14" customFormat="1" x14ac:dyDescent="0.3">
      <c r="A237" t="s">
        <v>32</v>
      </c>
      <c r="B237" t="s">
        <v>290</v>
      </c>
      <c r="C237" t="s">
        <v>368</v>
      </c>
      <c r="D237" s="10">
        <f>$D$236*(1 - inputs!$E$38)</f>
        <v>15602.461834059559</v>
      </c>
      <c r="E237" t="str">
        <f t="shared" ca="1" si="4"/>
        <v>=$D$236*(1 - inputs!$E$38)</v>
      </c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</row>
    <row r="238" spans="1:110" s="16" customFormat="1" x14ac:dyDescent="0.3">
      <c r="A238" t="s">
        <v>32</v>
      </c>
      <c r="B238" t="s">
        <v>290</v>
      </c>
      <c r="C238" t="s">
        <v>369</v>
      </c>
      <c r="D238" s="10">
        <f>$D$157-$D$157*inputs!$E$33</f>
        <v>0</v>
      </c>
      <c r="E238" t="str">
        <f t="shared" ca="1" si="4"/>
        <v>=$D$157-$D$157*inputs!$E$33</v>
      </c>
      <c r="F238" t="s">
        <v>817</v>
      </c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</row>
    <row r="239" spans="1:110" s="16" customFormat="1" x14ac:dyDescent="0.3">
      <c r="A239" t="s">
        <v>32</v>
      </c>
      <c r="B239" t="s">
        <v>290</v>
      </c>
      <c r="C239" t="s">
        <v>370</v>
      </c>
      <c r="D239" s="10">
        <f>D238-D238*inputs!$E$33</f>
        <v>0</v>
      </c>
      <c r="E239" t="str">
        <f t="shared" ca="1" si="4"/>
        <v>=D238-D238*inputs!$E$33</v>
      </c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</row>
    <row r="240" spans="1:110" s="16" customFormat="1" x14ac:dyDescent="0.3">
      <c r="A240" t="s">
        <v>32</v>
      </c>
      <c r="B240" t="s">
        <v>290</v>
      </c>
      <c r="C240" t="s">
        <v>371</v>
      </c>
      <c r="D240" s="10">
        <f>D239-D239*inputs!$E$33</f>
        <v>0</v>
      </c>
      <c r="E240" t="str">
        <f t="shared" ca="1" si="4"/>
        <v>=D239-D239*inputs!$E$33</v>
      </c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</row>
    <row r="241" spans="1:110" s="16" customFormat="1" x14ac:dyDescent="0.3">
      <c r="A241" t="s">
        <v>32</v>
      </c>
      <c r="B241" t="s">
        <v>290</v>
      </c>
      <c r="C241" t="s">
        <v>372</v>
      </c>
      <c r="D241" s="10">
        <f>D240-D240*inputs!$E$33</f>
        <v>0</v>
      </c>
      <c r="E241" t="str">
        <f t="shared" ca="1" si="4"/>
        <v>=D240-D240*inputs!$E$33</v>
      </c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</row>
    <row r="242" spans="1:110" s="16" customFormat="1" x14ac:dyDescent="0.3">
      <c r="A242" t="s">
        <v>32</v>
      </c>
      <c r="B242" t="s">
        <v>290</v>
      </c>
      <c r="C242" t="s">
        <v>373</v>
      </c>
      <c r="D242" s="10">
        <f>D241-D241*inputs!$E$34</f>
        <v>0</v>
      </c>
      <c r="E242" t="str">
        <f t="shared" ca="1" si="4"/>
        <v>=D241-D241*inputs!$E$34</v>
      </c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</row>
    <row r="243" spans="1:110" s="16" customFormat="1" x14ac:dyDescent="0.3">
      <c r="A243" t="s">
        <v>32</v>
      </c>
      <c r="B243" t="s">
        <v>290</v>
      </c>
      <c r="C243" t="s">
        <v>374</v>
      </c>
      <c r="D243" s="10">
        <f>D242-D242*inputs!$E$34</f>
        <v>0</v>
      </c>
      <c r="E243" t="str">
        <f t="shared" ca="1" si="4"/>
        <v>=D242-D242*inputs!$E$34</v>
      </c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</row>
    <row r="244" spans="1:110" s="16" customFormat="1" x14ac:dyDescent="0.3">
      <c r="A244" t="s">
        <v>32</v>
      </c>
      <c r="B244" t="s">
        <v>290</v>
      </c>
      <c r="C244" t="s">
        <v>375</v>
      </c>
      <c r="D244" s="10">
        <f>D243-D243*inputs!$E$34</f>
        <v>0</v>
      </c>
      <c r="E244" t="str">
        <f t="shared" ca="1" si="4"/>
        <v>=D243-D243*inputs!$E$34</v>
      </c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</row>
    <row r="245" spans="1:110" s="16" customFormat="1" x14ac:dyDescent="0.3">
      <c r="A245" t="s">
        <v>32</v>
      </c>
      <c r="B245" t="s">
        <v>290</v>
      </c>
      <c r="C245" t="s">
        <v>376</v>
      </c>
      <c r="D245" s="10">
        <f>D244-D244*inputs!$E$34</f>
        <v>0</v>
      </c>
      <c r="E245" t="str">
        <f t="shared" ca="1" si="4"/>
        <v>=D244-D244*inputs!$E$34</v>
      </c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</row>
    <row r="246" spans="1:110" s="16" customFormat="1" x14ac:dyDescent="0.3">
      <c r="A246" t="s">
        <v>32</v>
      </c>
      <c r="B246" t="s">
        <v>290</v>
      </c>
      <c r="C246" t="s">
        <v>377</v>
      </c>
      <c r="D246" s="10">
        <f>D245-D245*inputs!$E$34</f>
        <v>0</v>
      </c>
      <c r="E246" t="str">
        <f t="shared" ca="1" si="4"/>
        <v>=D245-D245*inputs!$E$34</v>
      </c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</row>
    <row r="247" spans="1:110" s="16" customFormat="1" x14ac:dyDescent="0.3">
      <c r="A247" t="s">
        <v>32</v>
      </c>
      <c r="B247" t="s">
        <v>290</v>
      </c>
      <c r="C247" t="s">
        <v>378</v>
      </c>
      <c r="D247" s="10">
        <f>D246-D246*inputs!$E$35</f>
        <v>0</v>
      </c>
      <c r="E247" t="str">
        <f t="shared" ca="1" si="4"/>
        <v>=D246-D246*inputs!$E$35</v>
      </c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</row>
    <row r="248" spans="1:110" s="16" customFormat="1" x14ac:dyDescent="0.3">
      <c r="A248" t="s">
        <v>32</v>
      </c>
      <c r="B248" t="s">
        <v>290</v>
      </c>
      <c r="C248" t="s">
        <v>379</v>
      </c>
      <c r="D248" s="10">
        <f>D247-D247*inputs!$E$35</f>
        <v>0</v>
      </c>
      <c r="E248" t="str">
        <f t="shared" ca="1" si="4"/>
        <v>=D247-D247*inputs!$E$35</v>
      </c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</row>
    <row r="249" spans="1:110" s="16" customFormat="1" x14ac:dyDescent="0.3">
      <c r="A249" t="s">
        <v>32</v>
      </c>
      <c r="B249" t="s">
        <v>290</v>
      </c>
      <c r="C249" t="s">
        <v>380</v>
      </c>
      <c r="D249" s="10">
        <f>D248-D248*inputs!$E$35</f>
        <v>0</v>
      </c>
      <c r="E249" t="str">
        <f t="shared" ca="1" si="4"/>
        <v>=D248-D248*inputs!$E$35</v>
      </c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</row>
    <row r="250" spans="1:110" s="16" customFormat="1" x14ac:dyDescent="0.3">
      <c r="A250" t="s">
        <v>32</v>
      </c>
      <c r="B250" t="s">
        <v>290</v>
      </c>
      <c r="C250" t="s">
        <v>381</v>
      </c>
      <c r="D250" s="10">
        <f>D249-D249*inputs!$E$35</f>
        <v>0</v>
      </c>
      <c r="E250" t="str">
        <f t="shared" ca="1" si="4"/>
        <v>=D249-D249*inputs!$E$35</v>
      </c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</row>
    <row r="251" spans="1:110" s="16" customFormat="1" x14ac:dyDescent="0.3">
      <c r="A251" t="s">
        <v>32</v>
      </c>
      <c r="B251" t="s">
        <v>290</v>
      </c>
      <c r="C251" t="s">
        <v>382</v>
      </c>
      <c r="D251" s="10">
        <f>D250-D250*inputs!$E$35</f>
        <v>0</v>
      </c>
      <c r="E251" t="str">
        <f t="shared" ca="1" si="4"/>
        <v>=D250-D250*inputs!$E$35</v>
      </c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</row>
    <row r="252" spans="1:110" s="16" customFormat="1" x14ac:dyDescent="0.3">
      <c r="A252" t="s">
        <v>32</v>
      </c>
      <c r="B252" t="s">
        <v>290</v>
      </c>
      <c r="C252" t="s">
        <v>383</v>
      </c>
      <c r="D252" s="10">
        <f>D251-D251*inputs!$E$35</f>
        <v>0</v>
      </c>
      <c r="E252" t="str">
        <f t="shared" ca="1" si="4"/>
        <v>=D251-D251*inputs!$E$35</v>
      </c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</row>
    <row r="253" spans="1:110" s="16" customFormat="1" x14ac:dyDescent="0.3">
      <c r="A253" t="s">
        <v>32</v>
      </c>
      <c r="B253" t="s">
        <v>290</v>
      </c>
      <c r="C253" t="s">
        <v>384</v>
      </c>
      <c r="D253" s="10">
        <f>D252-D252*inputs!$E$35</f>
        <v>0</v>
      </c>
      <c r="E253" t="str">
        <f t="shared" ca="1" si="4"/>
        <v>=D252-D252*inputs!$E$35</v>
      </c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</row>
    <row r="254" spans="1:110" s="16" customFormat="1" x14ac:dyDescent="0.3">
      <c r="A254" t="s">
        <v>32</v>
      </c>
      <c r="B254" t="s">
        <v>290</v>
      </c>
      <c r="C254" t="s">
        <v>385</v>
      </c>
      <c r="D254" s="10">
        <f>D253-D253*inputs!$E$35</f>
        <v>0</v>
      </c>
      <c r="E254" t="str">
        <f t="shared" ca="1" si="4"/>
        <v>=D253-D253*inputs!$E$35</v>
      </c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</row>
    <row r="255" spans="1:110" s="16" customFormat="1" x14ac:dyDescent="0.3">
      <c r="A255" t="s">
        <v>32</v>
      </c>
      <c r="B255" t="s">
        <v>290</v>
      </c>
      <c r="C255" t="s">
        <v>386</v>
      </c>
      <c r="D255" s="10">
        <f>D254-D254*inputs!$E$35</f>
        <v>0</v>
      </c>
      <c r="E255" t="str">
        <f t="shared" ca="1" si="4"/>
        <v>=D254-D254*inputs!$E$35</v>
      </c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</row>
    <row r="256" spans="1:110" s="16" customFormat="1" x14ac:dyDescent="0.3">
      <c r="A256" t="s">
        <v>32</v>
      </c>
      <c r="B256" t="s">
        <v>290</v>
      </c>
      <c r="C256" t="s">
        <v>387</v>
      </c>
      <c r="D256" s="10">
        <f>D255-D255*inputs!$E$35</f>
        <v>0</v>
      </c>
      <c r="E256" t="str">
        <f t="shared" ca="1" si="4"/>
        <v>=D255-D255*inputs!$E$35</v>
      </c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</row>
    <row r="257" spans="1:110" s="16" customFormat="1" x14ac:dyDescent="0.3">
      <c r="A257" t="s">
        <v>32</v>
      </c>
      <c r="B257" t="s">
        <v>290</v>
      </c>
      <c r="C257" t="s">
        <v>388</v>
      </c>
      <c r="D257" s="10">
        <f>D256-D256*inputs!$E$36</f>
        <v>0</v>
      </c>
      <c r="E257" t="str">
        <f t="shared" ca="1" si="4"/>
        <v>=D256-D256*inputs!$E$36</v>
      </c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</row>
    <row r="258" spans="1:110" s="16" customFormat="1" x14ac:dyDescent="0.3">
      <c r="A258" t="s">
        <v>32</v>
      </c>
      <c r="B258" t="s">
        <v>290</v>
      </c>
      <c r="C258" t="s">
        <v>389</v>
      </c>
      <c r="D258" s="10">
        <f>D257-D257*inputs!$E$36</f>
        <v>0</v>
      </c>
      <c r="E258" t="str">
        <f t="shared" ca="1" si="4"/>
        <v>=D257-D257*inputs!$E$36</v>
      </c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</row>
    <row r="259" spans="1:110" s="16" customFormat="1" x14ac:dyDescent="0.3">
      <c r="A259" t="s">
        <v>32</v>
      </c>
      <c r="B259" t="s">
        <v>290</v>
      </c>
      <c r="C259" t="s">
        <v>390</v>
      </c>
      <c r="D259" s="10">
        <f>D258-D258*inputs!$E$36</f>
        <v>0</v>
      </c>
      <c r="E259" t="str">
        <f t="shared" ca="1" si="4"/>
        <v>=D258-D258*inputs!$E$36</v>
      </c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</row>
    <row r="260" spans="1:110" s="16" customFormat="1" x14ac:dyDescent="0.3">
      <c r="A260" t="s">
        <v>32</v>
      </c>
      <c r="B260" t="s">
        <v>290</v>
      </c>
      <c r="C260" t="s">
        <v>391</v>
      </c>
      <c r="D260" s="10">
        <f>D259-D259*inputs!$E$36</f>
        <v>0</v>
      </c>
      <c r="E260" t="str">
        <f t="shared" ca="1" si="4"/>
        <v>=D259-D259*inputs!$E$36</v>
      </c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</row>
    <row r="261" spans="1:110" s="16" customFormat="1" x14ac:dyDescent="0.3">
      <c r="A261" t="s">
        <v>32</v>
      </c>
      <c r="B261" t="s">
        <v>290</v>
      </c>
      <c r="C261" t="s">
        <v>392</v>
      </c>
      <c r="D261" s="10">
        <f>D260-D260*inputs!$E$36</f>
        <v>0</v>
      </c>
      <c r="E261" t="str">
        <f t="shared" ca="1" si="4"/>
        <v>=D260-D260*inputs!$E$36</v>
      </c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</row>
    <row r="262" spans="1:110" s="16" customFormat="1" x14ac:dyDescent="0.3">
      <c r="A262" t="s">
        <v>32</v>
      </c>
      <c r="B262" t="s">
        <v>290</v>
      </c>
      <c r="C262" t="s">
        <v>393</v>
      </c>
      <c r="D262" s="10">
        <f>D261-D261*inputs!$E$37</f>
        <v>0</v>
      </c>
      <c r="E262" t="str">
        <f t="shared" ca="1" si="4"/>
        <v>=D261-D261*inputs!$E$37</v>
      </c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</row>
    <row r="263" spans="1:110" s="16" customFormat="1" x14ac:dyDescent="0.3">
      <c r="A263" t="s">
        <v>32</v>
      </c>
      <c r="B263" t="s">
        <v>290</v>
      </c>
      <c r="C263" t="s">
        <v>394</v>
      </c>
      <c r="D263" s="10">
        <f>D262-D262*inputs!$E$37</f>
        <v>0</v>
      </c>
      <c r="E263" t="str">
        <f t="shared" ca="1" si="4"/>
        <v>=D262-D262*inputs!$E$37</v>
      </c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</row>
    <row r="264" spans="1:110" s="16" customFormat="1" x14ac:dyDescent="0.3">
      <c r="A264" t="s">
        <v>32</v>
      </c>
      <c r="B264" t="s">
        <v>290</v>
      </c>
      <c r="C264" t="s">
        <v>395</v>
      </c>
      <c r="D264" s="10">
        <f>D263-D263*inputs!$E$37</f>
        <v>0</v>
      </c>
      <c r="E264" t="str">
        <f t="shared" ca="1" si="4"/>
        <v>=D263-D263*inputs!$E$37</v>
      </c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</row>
    <row r="265" spans="1:110" s="16" customFormat="1" x14ac:dyDescent="0.3">
      <c r="A265" t="s">
        <v>32</v>
      </c>
      <c r="B265" t="s">
        <v>290</v>
      </c>
      <c r="C265" t="s">
        <v>396</v>
      </c>
      <c r="D265" s="10">
        <f>D264-D264*inputs!$E$37</f>
        <v>0</v>
      </c>
      <c r="E265" t="str">
        <f t="shared" ca="1" si="4"/>
        <v>=D264-D264*inputs!$E$37</v>
      </c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</row>
    <row r="266" spans="1:110" s="16" customFormat="1" x14ac:dyDescent="0.3">
      <c r="A266" t="s">
        <v>32</v>
      </c>
      <c r="B266" t="s">
        <v>290</v>
      </c>
      <c r="C266" t="s">
        <v>397</v>
      </c>
      <c r="D266" s="10">
        <f>D265-D265*inputs!$E$37</f>
        <v>0</v>
      </c>
      <c r="E266" t="str">
        <f t="shared" ca="1" si="4"/>
        <v>=D265-D265*inputs!$E$37</v>
      </c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</row>
    <row r="267" spans="1:110" s="16" customFormat="1" x14ac:dyDescent="0.3">
      <c r="A267" t="s">
        <v>32</v>
      </c>
      <c r="B267" t="s">
        <v>290</v>
      </c>
      <c r="C267" t="s">
        <v>398</v>
      </c>
      <c r="D267" s="10">
        <f>D266-D266*inputs!$E$38</f>
        <v>0</v>
      </c>
      <c r="E267" t="str">
        <f t="shared" ca="1" si="4"/>
        <v>=D266-D266*inputs!$E$38</v>
      </c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</row>
    <row r="268" spans="1:110" s="16" customFormat="1" x14ac:dyDescent="0.3">
      <c r="A268" t="s">
        <v>32</v>
      </c>
      <c r="B268" t="s">
        <v>290</v>
      </c>
      <c r="C268" t="s">
        <v>399</v>
      </c>
      <c r="D268" s="10">
        <f>D267-D267*inputs!$E$38</f>
        <v>0</v>
      </c>
      <c r="E268" t="str">
        <f t="shared" ca="1" si="4"/>
        <v>=D267-D267*inputs!$E$38</v>
      </c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</row>
    <row r="269" spans="1:110" s="16" customFormat="1" x14ac:dyDescent="0.3">
      <c r="A269" t="s">
        <v>32</v>
      </c>
      <c r="B269" t="s">
        <v>290</v>
      </c>
      <c r="C269" t="s">
        <v>400</v>
      </c>
      <c r="D269" s="10">
        <f>D268-D268*inputs!$E$38</f>
        <v>0</v>
      </c>
      <c r="E269" t="str">
        <f t="shared" ca="1" si="4"/>
        <v>=D268-D268*inputs!$E$38</v>
      </c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</row>
    <row r="270" spans="1:110" s="16" customFormat="1" x14ac:dyDescent="0.3">
      <c r="A270" t="s">
        <v>32</v>
      </c>
      <c r="B270" t="s">
        <v>290</v>
      </c>
      <c r="C270" t="s">
        <v>401</v>
      </c>
      <c r="D270" s="10">
        <f>D269-D269*inputs!$E$38</f>
        <v>0</v>
      </c>
      <c r="E270" t="str">
        <f t="shared" ca="1" si="4"/>
        <v>=D269-D269*inputs!$E$38</v>
      </c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</row>
    <row r="271" spans="1:110" s="16" customFormat="1" x14ac:dyDescent="0.3">
      <c r="A271" t="s">
        <v>32</v>
      </c>
      <c r="B271" t="s">
        <v>290</v>
      </c>
      <c r="C271" t="s">
        <v>402</v>
      </c>
      <c r="D271" s="10">
        <f>D270-D270*inputs!$E$38</f>
        <v>0</v>
      </c>
      <c r="E271" t="str">
        <f t="shared" ca="1" si="4"/>
        <v>=D270-D270*inputs!$E$38</v>
      </c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</row>
    <row r="272" spans="1:110" s="16" customFormat="1" x14ac:dyDescent="0.3">
      <c r="A272" t="s">
        <v>32</v>
      </c>
      <c r="B272" t="s">
        <v>290</v>
      </c>
      <c r="C272" t="s">
        <v>403</v>
      </c>
      <c r="D272" s="10">
        <f>D271-D271*inputs!$E$38</f>
        <v>0</v>
      </c>
      <c r="E272" t="str">
        <f t="shared" ca="1" si="4"/>
        <v>=D271-D271*inputs!$E$38</v>
      </c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</row>
    <row r="273" spans="1:110" s="16" customFormat="1" x14ac:dyDescent="0.3">
      <c r="A273" t="s">
        <v>32</v>
      </c>
      <c r="B273" t="s">
        <v>290</v>
      </c>
      <c r="C273" t="s">
        <v>404</v>
      </c>
      <c r="D273" s="10">
        <f>D272-D272*inputs!$E$38</f>
        <v>0</v>
      </c>
      <c r="E273" t="str">
        <f t="shared" ca="1" si="4"/>
        <v>=D272-D272*inputs!$E$38</v>
      </c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</row>
    <row r="274" spans="1:110" s="16" customFormat="1" x14ac:dyDescent="0.3">
      <c r="A274" t="s">
        <v>32</v>
      </c>
      <c r="B274" t="s">
        <v>290</v>
      </c>
      <c r="C274" t="s">
        <v>405</v>
      </c>
      <c r="D274" s="10">
        <f>D273-D273*inputs!$E$38</f>
        <v>0</v>
      </c>
      <c r="E274" t="str">
        <f t="shared" ca="1" si="4"/>
        <v>=D273-D273*inputs!$E$38</v>
      </c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</row>
    <row r="275" spans="1:110" s="16" customFormat="1" x14ac:dyDescent="0.3">
      <c r="A275" t="s">
        <v>32</v>
      </c>
      <c r="B275" t="s">
        <v>290</v>
      </c>
      <c r="C275" t="s">
        <v>406</v>
      </c>
      <c r="D275" s="10">
        <f>D274-D274*inputs!$E$38</f>
        <v>0</v>
      </c>
      <c r="E275" t="str">
        <f t="shared" ca="1" si="4"/>
        <v>=D274-D274*inputs!$E$38</v>
      </c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</row>
    <row r="276" spans="1:110" s="16" customFormat="1" x14ac:dyDescent="0.3">
      <c r="A276" t="s">
        <v>32</v>
      </c>
      <c r="B276" t="s">
        <v>290</v>
      </c>
      <c r="C276" t="s">
        <v>407</v>
      </c>
      <c r="D276" s="10">
        <f>D275-D275*inputs!$E$38</f>
        <v>0</v>
      </c>
      <c r="E276" t="str">
        <f t="shared" ca="1" si="4"/>
        <v>=D275-D275*inputs!$E$38</v>
      </c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</row>
    <row r="277" spans="1:110" s="14" customFormat="1" x14ac:dyDescent="0.3">
      <c r="A277" t="s">
        <v>32</v>
      </c>
      <c r="B277" t="s">
        <v>290</v>
      </c>
      <c r="C277" t="s">
        <v>408</v>
      </c>
      <c r="D277" s="10">
        <f>$D$158-$D$158*inputs!$E$33</f>
        <v>0</v>
      </c>
      <c r="E277" t="str">
        <f t="shared" ca="1" si="4"/>
        <v>=$D$158-$D$158*inputs!$E$33</v>
      </c>
      <c r="F277" t="s">
        <v>818</v>
      </c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</row>
    <row r="278" spans="1:110" s="14" customFormat="1" x14ac:dyDescent="0.3">
      <c r="A278" t="s">
        <v>32</v>
      </c>
      <c r="B278" t="s">
        <v>290</v>
      </c>
      <c r="C278" t="s">
        <v>409</v>
      </c>
      <c r="D278" s="10">
        <f>D277-D277*inputs!$E$33</f>
        <v>0</v>
      </c>
      <c r="E278" t="str">
        <f t="shared" ca="1" si="4"/>
        <v>=D277-D277*inputs!$E$33</v>
      </c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</row>
    <row r="279" spans="1:110" s="14" customFormat="1" x14ac:dyDescent="0.3">
      <c r="A279" t="s">
        <v>32</v>
      </c>
      <c r="B279" t="s">
        <v>290</v>
      </c>
      <c r="C279" t="s">
        <v>410</v>
      </c>
      <c r="D279" s="10">
        <f>D278-D278*inputs!$E$33</f>
        <v>0</v>
      </c>
      <c r="E279" t="str">
        <f t="shared" ca="1" si="4"/>
        <v>=D278-D278*inputs!$E$33</v>
      </c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</row>
    <row r="280" spans="1:110" s="14" customFormat="1" x14ac:dyDescent="0.3">
      <c r="A280" t="s">
        <v>32</v>
      </c>
      <c r="B280" t="s">
        <v>290</v>
      </c>
      <c r="C280" t="s">
        <v>411</v>
      </c>
      <c r="D280" s="10">
        <f>D279-D279*inputs!$E$33</f>
        <v>0</v>
      </c>
      <c r="E280" t="str">
        <f t="shared" ref="E280:E343" ca="1" si="5">_xlfn.FORMULATEXT(D280)</f>
        <v>=D279-D279*inputs!$E$33</v>
      </c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</row>
    <row r="281" spans="1:110" s="14" customFormat="1" x14ac:dyDescent="0.3">
      <c r="A281" t="s">
        <v>32</v>
      </c>
      <c r="B281" t="s">
        <v>290</v>
      </c>
      <c r="C281" t="s">
        <v>412</v>
      </c>
      <c r="D281" s="10">
        <f>D280-D280*inputs!$E$34</f>
        <v>0</v>
      </c>
      <c r="E281" t="str">
        <f t="shared" ca="1" si="5"/>
        <v>=D280-D280*inputs!$E$34</v>
      </c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</row>
    <row r="282" spans="1:110" s="14" customFormat="1" x14ac:dyDescent="0.3">
      <c r="A282" t="s">
        <v>32</v>
      </c>
      <c r="B282" t="s">
        <v>290</v>
      </c>
      <c r="C282" t="s">
        <v>413</v>
      </c>
      <c r="D282" s="10">
        <f>D281-D281*inputs!$E$34</f>
        <v>0</v>
      </c>
      <c r="E282" t="str">
        <f t="shared" ca="1" si="5"/>
        <v>=D281-D281*inputs!$E$34</v>
      </c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</row>
    <row r="283" spans="1:110" s="14" customFormat="1" x14ac:dyDescent="0.3">
      <c r="A283" t="s">
        <v>32</v>
      </c>
      <c r="B283" t="s">
        <v>290</v>
      </c>
      <c r="C283" t="s">
        <v>414</v>
      </c>
      <c r="D283" s="10">
        <f>D282-D282*inputs!$E$34</f>
        <v>0</v>
      </c>
      <c r="E283" t="str">
        <f t="shared" ca="1" si="5"/>
        <v>=D282-D282*inputs!$E$34</v>
      </c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</row>
    <row r="284" spans="1:110" s="14" customFormat="1" x14ac:dyDescent="0.3">
      <c r="A284" t="s">
        <v>32</v>
      </c>
      <c r="B284" t="s">
        <v>290</v>
      </c>
      <c r="C284" t="s">
        <v>415</v>
      </c>
      <c r="D284" s="10">
        <f>D283-D283*inputs!$E$34</f>
        <v>0</v>
      </c>
      <c r="E284" t="str">
        <f t="shared" ca="1" si="5"/>
        <v>=D283-D283*inputs!$E$34</v>
      </c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</row>
    <row r="285" spans="1:110" s="14" customFormat="1" x14ac:dyDescent="0.3">
      <c r="A285" t="s">
        <v>32</v>
      </c>
      <c r="B285" t="s">
        <v>290</v>
      </c>
      <c r="C285" t="s">
        <v>416</v>
      </c>
      <c r="D285" s="10">
        <f>D284-D284*inputs!$E$34</f>
        <v>0</v>
      </c>
      <c r="E285" t="str">
        <f t="shared" ca="1" si="5"/>
        <v>=D284-D284*inputs!$E$34</v>
      </c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</row>
    <row r="286" spans="1:110" s="14" customFormat="1" x14ac:dyDescent="0.3">
      <c r="A286" t="s">
        <v>32</v>
      </c>
      <c r="B286" t="s">
        <v>290</v>
      </c>
      <c r="C286" t="s">
        <v>417</v>
      </c>
      <c r="D286" s="10">
        <f>D285-D285*inputs!$E$35</f>
        <v>0</v>
      </c>
      <c r="E286" t="str">
        <f t="shared" ca="1" si="5"/>
        <v>=D285-D285*inputs!$E$35</v>
      </c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</row>
    <row r="287" spans="1:110" s="14" customFormat="1" x14ac:dyDescent="0.3">
      <c r="A287" t="s">
        <v>32</v>
      </c>
      <c r="B287" t="s">
        <v>290</v>
      </c>
      <c r="C287" t="s">
        <v>418</v>
      </c>
      <c r="D287" s="10">
        <f>D286-D286*inputs!$E$35</f>
        <v>0</v>
      </c>
      <c r="E287" t="str">
        <f t="shared" ca="1" si="5"/>
        <v>=D286-D286*inputs!$E$35</v>
      </c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</row>
    <row r="288" spans="1:110" s="14" customFormat="1" x14ac:dyDescent="0.3">
      <c r="A288" t="s">
        <v>32</v>
      </c>
      <c r="B288" t="s">
        <v>290</v>
      </c>
      <c r="C288" t="s">
        <v>419</v>
      </c>
      <c r="D288" s="10">
        <f>D287-D287*inputs!$E$35</f>
        <v>0</v>
      </c>
      <c r="E288" t="str">
        <f t="shared" ca="1" si="5"/>
        <v>=D287-D287*inputs!$E$35</v>
      </c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</row>
    <row r="289" spans="1:110" s="14" customFormat="1" x14ac:dyDescent="0.3">
      <c r="A289" t="s">
        <v>32</v>
      </c>
      <c r="B289" t="s">
        <v>290</v>
      </c>
      <c r="C289" t="s">
        <v>420</v>
      </c>
      <c r="D289" s="10">
        <f>D288-D288*inputs!$E$35</f>
        <v>0</v>
      </c>
      <c r="E289" t="str">
        <f t="shared" ca="1" si="5"/>
        <v>=D288-D288*inputs!$E$35</v>
      </c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</row>
    <row r="290" spans="1:110" s="14" customFormat="1" x14ac:dyDescent="0.3">
      <c r="A290" t="s">
        <v>32</v>
      </c>
      <c r="B290" t="s">
        <v>290</v>
      </c>
      <c r="C290" t="s">
        <v>421</v>
      </c>
      <c r="D290" s="10">
        <f>D289-D289*inputs!$E$35</f>
        <v>0</v>
      </c>
      <c r="E290" t="str">
        <f t="shared" ca="1" si="5"/>
        <v>=D289-D289*inputs!$E$35</v>
      </c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</row>
    <row r="291" spans="1:110" s="14" customFormat="1" x14ac:dyDescent="0.3">
      <c r="A291" t="s">
        <v>32</v>
      </c>
      <c r="B291" t="s">
        <v>290</v>
      </c>
      <c r="C291" t="s">
        <v>422</v>
      </c>
      <c r="D291" s="10">
        <f>D290-D290*inputs!$E$35</f>
        <v>0</v>
      </c>
      <c r="E291" t="str">
        <f t="shared" ca="1" si="5"/>
        <v>=D290-D290*inputs!$E$35</v>
      </c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</row>
    <row r="292" spans="1:110" s="14" customFormat="1" x14ac:dyDescent="0.3">
      <c r="A292" t="s">
        <v>32</v>
      </c>
      <c r="B292" t="s">
        <v>290</v>
      </c>
      <c r="C292" t="s">
        <v>423</v>
      </c>
      <c r="D292" s="10">
        <f>D291-D291*inputs!$E$35</f>
        <v>0</v>
      </c>
      <c r="E292" t="str">
        <f t="shared" ca="1" si="5"/>
        <v>=D291-D291*inputs!$E$35</v>
      </c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</row>
    <row r="293" spans="1:110" s="14" customFormat="1" x14ac:dyDescent="0.3">
      <c r="A293" t="s">
        <v>32</v>
      </c>
      <c r="B293" t="s">
        <v>290</v>
      </c>
      <c r="C293" t="s">
        <v>424</v>
      </c>
      <c r="D293" s="10">
        <f>D292-D292*inputs!$E$35</f>
        <v>0</v>
      </c>
      <c r="E293" t="str">
        <f t="shared" ca="1" si="5"/>
        <v>=D292-D292*inputs!$E$35</v>
      </c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</row>
    <row r="294" spans="1:110" s="14" customFormat="1" x14ac:dyDescent="0.3">
      <c r="A294" t="s">
        <v>32</v>
      </c>
      <c r="B294" t="s">
        <v>290</v>
      </c>
      <c r="C294" t="s">
        <v>425</v>
      </c>
      <c r="D294" s="10">
        <f>D293-D293*inputs!$E$35</f>
        <v>0</v>
      </c>
      <c r="E294" t="str">
        <f t="shared" ca="1" si="5"/>
        <v>=D293-D293*inputs!$E$35</v>
      </c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</row>
    <row r="295" spans="1:110" s="14" customFormat="1" x14ac:dyDescent="0.3">
      <c r="A295" t="s">
        <v>32</v>
      </c>
      <c r="B295" t="s">
        <v>290</v>
      </c>
      <c r="C295" t="s">
        <v>426</v>
      </c>
      <c r="D295" s="10">
        <f>D294-D294*inputs!$E$35</f>
        <v>0</v>
      </c>
      <c r="E295" t="str">
        <f t="shared" ca="1" si="5"/>
        <v>=D294-D294*inputs!$E$35</v>
      </c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</row>
    <row r="296" spans="1:110" s="14" customFormat="1" x14ac:dyDescent="0.3">
      <c r="A296" t="s">
        <v>32</v>
      </c>
      <c r="B296" t="s">
        <v>290</v>
      </c>
      <c r="C296" t="s">
        <v>427</v>
      </c>
      <c r="D296" s="10">
        <f>D295-D295*inputs!$E$36</f>
        <v>0</v>
      </c>
      <c r="E296" t="str">
        <f t="shared" ca="1" si="5"/>
        <v>=D295-D295*inputs!$E$36</v>
      </c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</row>
    <row r="297" spans="1:110" s="14" customFormat="1" x14ac:dyDescent="0.3">
      <c r="A297" t="s">
        <v>32</v>
      </c>
      <c r="B297" t="s">
        <v>290</v>
      </c>
      <c r="C297" t="s">
        <v>428</v>
      </c>
      <c r="D297" s="10">
        <f>D296-D296*inputs!$E$36</f>
        <v>0</v>
      </c>
      <c r="E297" t="str">
        <f t="shared" ca="1" si="5"/>
        <v>=D296-D296*inputs!$E$36</v>
      </c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</row>
    <row r="298" spans="1:110" s="14" customFormat="1" x14ac:dyDescent="0.3">
      <c r="A298" t="s">
        <v>32</v>
      </c>
      <c r="B298" t="s">
        <v>290</v>
      </c>
      <c r="C298" t="s">
        <v>429</v>
      </c>
      <c r="D298" s="10">
        <f>D297-D297*inputs!$E$36</f>
        <v>0</v>
      </c>
      <c r="E298" t="str">
        <f t="shared" ca="1" si="5"/>
        <v>=D297-D297*inputs!$E$36</v>
      </c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</row>
    <row r="299" spans="1:110" s="14" customFormat="1" x14ac:dyDescent="0.3">
      <c r="A299" t="s">
        <v>32</v>
      </c>
      <c r="B299" t="s">
        <v>290</v>
      </c>
      <c r="C299" t="s">
        <v>430</v>
      </c>
      <c r="D299" s="10">
        <f>D298-D298*inputs!$E$36</f>
        <v>0</v>
      </c>
      <c r="E299" t="str">
        <f t="shared" ca="1" si="5"/>
        <v>=D298-D298*inputs!$E$36</v>
      </c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</row>
    <row r="300" spans="1:110" s="14" customFormat="1" x14ac:dyDescent="0.3">
      <c r="A300" t="s">
        <v>32</v>
      </c>
      <c r="B300" t="s">
        <v>290</v>
      </c>
      <c r="C300" t="s">
        <v>431</v>
      </c>
      <c r="D300" s="10">
        <f>D299-D299*inputs!$E$36</f>
        <v>0</v>
      </c>
      <c r="E300" t="str">
        <f t="shared" ca="1" si="5"/>
        <v>=D299-D299*inputs!$E$36</v>
      </c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</row>
    <row r="301" spans="1:110" s="14" customFormat="1" x14ac:dyDescent="0.3">
      <c r="A301" t="s">
        <v>32</v>
      </c>
      <c r="B301" t="s">
        <v>290</v>
      </c>
      <c r="C301" t="s">
        <v>432</v>
      </c>
      <c r="D301" s="10">
        <f>D300-D300*inputs!$E$37</f>
        <v>0</v>
      </c>
      <c r="E301" t="str">
        <f t="shared" ca="1" si="5"/>
        <v>=D300-D300*inputs!$E$37</v>
      </c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</row>
    <row r="302" spans="1:110" s="14" customFormat="1" x14ac:dyDescent="0.3">
      <c r="A302" t="s">
        <v>32</v>
      </c>
      <c r="B302" t="s">
        <v>290</v>
      </c>
      <c r="C302" t="s">
        <v>433</v>
      </c>
      <c r="D302" s="10">
        <f>D301-D301*inputs!$E$37</f>
        <v>0</v>
      </c>
      <c r="E302" t="str">
        <f t="shared" ca="1" si="5"/>
        <v>=D301-D301*inputs!$E$37</v>
      </c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</row>
    <row r="303" spans="1:110" s="14" customFormat="1" x14ac:dyDescent="0.3">
      <c r="A303" t="s">
        <v>32</v>
      </c>
      <c r="B303" t="s">
        <v>290</v>
      </c>
      <c r="C303" t="s">
        <v>434</v>
      </c>
      <c r="D303" s="10">
        <f>D302-D302*inputs!$E$37</f>
        <v>0</v>
      </c>
      <c r="E303" t="str">
        <f t="shared" ca="1" si="5"/>
        <v>=D302-D302*inputs!$E$37</v>
      </c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</row>
    <row r="304" spans="1:110" s="14" customFormat="1" x14ac:dyDescent="0.3">
      <c r="A304" t="s">
        <v>32</v>
      </c>
      <c r="B304" t="s">
        <v>290</v>
      </c>
      <c r="C304" t="s">
        <v>435</v>
      </c>
      <c r="D304" s="10">
        <f>D303-D303*inputs!$E$37</f>
        <v>0</v>
      </c>
      <c r="E304" t="str">
        <f t="shared" ca="1" si="5"/>
        <v>=D303-D303*inputs!$E$37</v>
      </c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</row>
    <row r="305" spans="1:110" s="14" customFormat="1" x14ac:dyDescent="0.3">
      <c r="A305" t="s">
        <v>32</v>
      </c>
      <c r="B305" t="s">
        <v>290</v>
      </c>
      <c r="C305" t="s">
        <v>436</v>
      </c>
      <c r="D305" s="10">
        <f>D304-D304*inputs!$E$37</f>
        <v>0</v>
      </c>
      <c r="E305" t="str">
        <f t="shared" ca="1" si="5"/>
        <v>=D304-D304*inputs!$E$37</v>
      </c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</row>
    <row r="306" spans="1:110" s="14" customFormat="1" x14ac:dyDescent="0.3">
      <c r="A306" t="s">
        <v>32</v>
      </c>
      <c r="B306" t="s">
        <v>290</v>
      </c>
      <c r="C306" t="s">
        <v>437</v>
      </c>
      <c r="D306" s="10">
        <f>D305-D305*inputs!$E$38</f>
        <v>0</v>
      </c>
      <c r="E306" t="str">
        <f t="shared" ca="1" si="5"/>
        <v>=D305-D305*inputs!$E$38</v>
      </c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</row>
    <row r="307" spans="1:110" s="14" customFormat="1" x14ac:dyDescent="0.3">
      <c r="A307" t="s">
        <v>32</v>
      </c>
      <c r="B307" t="s">
        <v>290</v>
      </c>
      <c r="C307" t="s">
        <v>438</v>
      </c>
      <c r="D307" s="10">
        <f>D306-D306*inputs!$E$38</f>
        <v>0</v>
      </c>
      <c r="E307" t="str">
        <f t="shared" ca="1" si="5"/>
        <v>=D306-D306*inputs!$E$38</v>
      </c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</row>
    <row r="308" spans="1:110" s="14" customFormat="1" x14ac:dyDescent="0.3">
      <c r="A308" t="s">
        <v>32</v>
      </c>
      <c r="B308" t="s">
        <v>290</v>
      </c>
      <c r="C308" t="s">
        <v>439</v>
      </c>
      <c r="D308" s="10">
        <f>D307-D307*inputs!$E$38</f>
        <v>0</v>
      </c>
      <c r="E308" t="str">
        <f t="shared" ca="1" si="5"/>
        <v>=D307-D307*inputs!$E$38</v>
      </c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</row>
    <row r="309" spans="1:110" s="14" customFormat="1" x14ac:dyDescent="0.3">
      <c r="A309" t="s">
        <v>32</v>
      </c>
      <c r="B309" t="s">
        <v>290</v>
      </c>
      <c r="C309" t="s">
        <v>440</v>
      </c>
      <c r="D309" s="10">
        <f>D308-D308*inputs!$E$38</f>
        <v>0</v>
      </c>
      <c r="E309" t="str">
        <f t="shared" ca="1" si="5"/>
        <v>=D308-D308*inputs!$E$38</v>
      </c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</row>
    <row r="310" spans="1:110" s="14" customFormat="1" x14ac:dyDescent="0.3">
      <c r="A310" t="s">
        <v>32</v>
      </c>
      <c r="B310" t="s">
        <v>290</v>
      </c>
      <c r="C310" t="s">
        <v>441</v>
      </c>
      <c r="D310" s="10">
        <f>D309-D309*inputs!$E$38</f>
        <v>0</v>
      </c>
      <c r="E310" t="str">
        <f t="shared" ca="1" si="5"/>
        <v>=D309-D309*inputs!$E$38</v>
      </c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</row>
    <row r="311" spans="1:110" s="14" customFormat="1" x14ac:dyDescent="0.3">
      <c r="A311" t="s">
        <v>32</v>
      </c>
      <c r="B311" t="s">
        <v>290</v>
      </c>
      <c r="C311" t="s">
        <v>442</v>
      </c>
      <c r="D311" s="10">
        <f>D310-D310*inputs!$E$38</f>
        <v>0</v>
      </c>
      <c r="E311" t="str">
        <f t="shared" ca="1" si="5"/>
        <v>=D310-D310*inputs!$E$38</v>
      </c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</row>
    <row r="312" spans="1:110" s="14" customFormat="1" x14ac:dyDescent="0.3">
      <c r="A312" t="s">
        <v>32</v>
      </c>
      <c r="B312" t="s">
        <v>290</v>
      </c>
      <c r="C312" t="s">
        <v>443</v>
      </c>
      <c r="D312" s="10">
        <f>D311-D311*inputs!$E$38</f>
        <v>0</v>
      </c>
      <c r="E312" t="str">
        <f t="shared" ca="1" si="5"/>
        <v>=D311-D311*inputs!$E$38</v>
      </c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</row>
    <row r="313" spans="1:110" s="14" customFormat="1" x14ac:dyDescent="0.3">
      <c r="A313" t="s">
        <v>32</v>
      </c>
      <c r="B313" t="s">
        <v>290</v>
      </c>
      <c r="C313" t="s">
        <v>444</v>
      </c>
      <c r="D313" s="10">
        <f>D312-D312*inputs!$E$38</f>
        <v>0</v>
      </c>
      <c r="E313" t="str">
        <f t="shared" ca="1" si="5"/>
        <v>=D312-D312*inputs!$E$38</v>
      </c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</row>
    <row r="314" spans="1:110" s="14" customFormat="1" x14ac:dyDescent="0.3">
      <c r="A314" t="s">
        <v>32</v>
      </c>
      <c r="B314" t="s">
        <v>290</v>
      </c>
      <c r="C314" t="s">
        <v>445</v>
      </c>
      <c r="D314" s="10">
        <f>D313-D313*inputs!$E$38</f>
        <v>0</v>
      </c>
      <c r="E314" t="str">
        <f t="shared" ca="1" si="5"/>
        <v>=D313-D313*inputs!$E$38</v>
      </c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</row>
    <row r="315" spans="1:110" s="14" customFormat="1" x14ac:dyDescent="0.3">
      <c r="A315" t="s">
        <v>32</v>
      </c>
      <c r="B315" t="s">
        <v>290</v>
      </c>
      <c r="C315" t="s">
        <v>446</v>
      </c>
      <c r="D315" s="10">
        <f>D314-D314*inputs!$E$38</f>
        <v>0</v>
      </c>
      <c r="E315" t="str">
        <f t="shared" ca="1" si="5"/>
        <v>=D314-D314*inputs!$E$38</v>
      </c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</row>
    <row r="316" spans="1:110" s="16" customFormat="1" x14ac:dyDescent="0.3">
      <c r="A316" t="s">
        <v>32</v>
      </c>
      <c r="B316" t="s">
        <v>290</v>
      </c>
      <c r="C316" t="s">
        <v>447</v>
      </c>
      <c r="D316" s="10">
        <f>$D$159-$D$159*inputs!$E$33</f>
        <v>0</v>
      </c>
      <c r="E316" t="str">
        <f t="shared" ca="1" si="5"/>
        <v>=$D$159-$D$159*inputs!$E$33</v>
      </c>
      <c r="F316" t="s">
        <v>818</v>
      </c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</row>
    <row r="317" spans="1:110" s="16" customFormat="1" x14ac:dyDescent="0.3">
      <c r="A317" t="s">
        <v>32</v>
      </c>
      <c r="B317" t="s">
        <v>290</v>
      </c>
      <c r="C317" t="s">
        <v>448</v>
      </c>
      <c r="D317" s="10">
        <f>D316-D316*inputs!$E$33</f>
        <v>0</v>
      </c>
      <c r="E317" t="str">
        <f t="shared" ca="1" si="5"/>
        <v>=D316-D316*inputs!$E$33</v>
      </c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</row>
    <row r="318" spans="1:110" s="16" customFormat="1" x14ac:dyDescent="0.3">
      <c r="A318" t="s">
        <v>32</v>
      </c>
      <c r="B318" t="s">
        <v>290</v>
      </c>
      <c r="C318" t="s">
        <v>449</v>
      </c>
      <c r="D318" s="10">
        <f>D317-D317*inputs!$E$33</f>
        <v>0</v>
      </c>
      <c r="E318" t="str">
        <f t="shared" ca="1" si="5"/>
        <v>=D317-D317*inputs!$E$33</v>
      </c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</row>
    <row r="319" spans="1:110" s="16" customFormat="1" x14ac:dyDescent="0.3">
      <c r="A319" t="s">
        <v>32</v>
      </c>
      <c r="B319" t="s">
        <v>290</v>
      </c>
      <c r="C319" t="s">
        <v>450</v>
      </c>
      <c r="D319" s="10">
        <f>D318-D318*inputs!$E$33</f>
        <v>0</v>
      </c>
      <c r="E319" t="str">
        <f t="shared" ca="1" si="5"/>
        <v>=D318-D318*inputs!$E$33</v>
      </c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</row>
    <row r="320" spans="1:110" s="16" customFormat="1" x14ac:dyDescent="0.3">
      <c r="A320" t="s">
        <v>32</v>
      </c>
      <c r="B320" t="s">
        <v>290</v>
      </c>
      <c r="C320" t="s">
        <v>451</v>
      </c>
      <c r="D320" s="10">
        <f>D319-D319*inputs!$E$34</f>
        <v>0</v>
      </c>
      <c r="E320" t="str">
        <f t="shared" ca="1" si="5"/>
        <v>=D319-D319*inputs!$E$34</v>
      </c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</row>
    <row r="321" spans="1:110" s="16" customFormat="1" x14ac:dyDescent="0.3">
      <c r="A321" t="s">
        <v>32</v>
      </c>
      <c r="B321" t="s">
        <v>290</v>
      </c>
      <c r="C321" t="s">
        <v>452</v>
      </c>
      <c r="D321" s="10">
        <f>D320-D320*inputs!$E$34</f>
        <v>0</v>
      </c>
      <c r="E321" t="str">
        <f t="shared" ca="1" si="5"/>
        <v>=D320-D320*inputs!$E$34</v>
      </c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</row>
    <row r="322" spans="1:110" s="16" customFormat="1" x14ac:dyDescent="0.3">
      <c r="A322" t="s">
        <v>32</v>
      </c>
      <c r="B322" t="s">
        <v>290</v>
      </c>
      <c r="C322" t="s">
        <v>453</v>
      </c>
      <c r="D322" s="10">
        <f>D321-D321*inputs!$E$34</f>
        <v>0</v>
      </c>
      <c r="E322" t="str">
        <f t="shared" ca="1" si="5"/>
        <v>=D321-D321*inputs!$E$34</v>
      </c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</row>
    <row r="323" spans="1:110" s="16" customFormat="1" x14ac:dyDescent="0.3">
      <c r="A323" t="s">
        <v>32</v>
      </c>
      <c r="B323" t="s">
        <v>290</v>
      </c>
      <c r="C323" t="s">
        <v>454</v>
      </c>
      <c r="D323" s="10">
        <f>D322-D322*inputs!$E$34</f>
        <v>0</v>
      </c>
      <c r="E323" t="str">
        <f t="shared" ca="1" si="5"/>
        <v>=D322-D322*inputs!$E$34</v>
      </c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</row>
    <row r="324" spans="1:110" s="16" customFormat="1" x14ac:dyDescent="0.3">
      <c r="A324" t="s">
        <v>32</v>
      </c>
      <c r="B324" t="s">
        <v>290</v>
      </c>
      <c r="C324" t="s">
        <v>455</v>
      </c>
      <c r="D324" s="10">
        <f>D323-D323*inputs!$E$34</f>
        <v>0</v>
      </c>
      <c r="E324" t="str">
        <f t="shared" ca="1" si="5"/>
        <v>=D323-D323*inputs!$E$34</v>
      </c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</row>
    <row r="325" spans="1:110" s="16" customFormat="1" x14ac:dyDescent="0.3">
      <c r="A325" t="s">
        <v>32</v>
      </c>
      <c r="B325" t="s">
        <v>290</v>
      </c>
      <c r="C325" t="s">
        <v>456</v>
      </c>
      <c r="D325" s="10">
        <f>D324-D324*inputs!$E$35</f>
        <v>0</v>
      </c>
      <c r="E325" t="str">
        <f t="shared" ca="1" si="5"/>
        <v>=D324-D324*inputs!$E$35</v>
      </c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</row>
    <row r="326" spans="1:110" s="16" customFormat="1" x14ac:dyDescent="0.3">
      <c r="A326" t="s">
        <v>32</v>
      </c>
      <c r="B326" t="s">
        <v>290</v>
      </c>
      <c r="C326" t="s">
        <v>457</v>
      </c>
      <c r="D326" s="10">
        <f>D325-D325*inputs!$E$35</f>
        <v>0</v>
      </c>
      <c r="E326" t="str">
        <f t="shared" ca="1" si="5"/>
        <v>=D325-D325*inputs!$E$35</v>
      </c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</row>
    <row r="327" spans="1:110" s="16" customFormat="1" x14ac:dyDescent="0.3">
      <c r="A327" t="s">
        <v>32</v>
      </c>
      <c r="B327" t="s">
        <v>290</v>
      </c>
      <c r="C327" t="s">
        <v>458</v>
      </c>
      <c r="D327" s="10">
        <f>D326-D326*inputs!$E$35</f>
        <v>0</v>
      </c>
      <c r="E327" t="str">
        <f t="shared" ca="1" si="5"/>
        <v>=D326-D326*inputs!$E$35</v>
      </c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</row>
    <row r="328" spans="1:110" s="16" customFormat="1" x14ac:dyDescent="0.3">
      <c r="A328" t="s">
        <v>32</v>
      </c>
      <c r="B328" t="s">
        <v>290</v>
      </c>
      <c r="C328" t="s">
        <v>459</v>
      </c>
      <c r="D328" s="10">
        <f>D327-D327*inputs!$E$35</f>
        <v>0</v>
      </c>
      <c r="E328" t="str">
        <f t="shared" ca="1" si="5"/>
        <v>=D327-D327*inputs!$E$35</v>
      </c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</row>
    <row r="329" spans="1:110" s="16" customFormat="1" x14ac:dyDescent="0.3">
      <c r="A329" t="s">
        <v>32</v>
      </c>
      <c r="B329" t="s">
        <v>290</v>
      </c>
      <c r="C329" t="s">
        <v>460</v>
      </c>
      <c r="D329" s="10">
        <f>D328-D328*inputs!$E$35</f>
        <v>0</v>
      </c>
      <c r="E329" t="str">
        <f t="shared" ca="1" si="5"/>
        <v>=D328-D328*inputs!$E$35</v>
      </c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</row>
    <row r="330" spans="1:110" s="16" customFormat="1" x14ac:dyDescent="0.3">
      <c r="A330" t="s">
        <v>32</v>
      </c>
      <c r="B330" t="s">
        <v>290</v>
      </c>
      <c r="C330" t="s">
        <v>461</v>
      </c>
      <c r="D330" s="10">
        <f>D329-D329*inputs!$E$35</f>
        <v>0</v>
      </c>
      <c r="E330" t="str">
        <f t="shared" ca="1" si="5"/>
        <v>=D329-D329*inputs!$E$35</v>
      </c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</row>
    <row r="331" spans="1:110" s="16" customFormat="1" x14ac:dyDescent="0.3">
      <c r="A331" t="s">
        <v>32</v>
      </c>
      <c r="B331" t="s">
        <v>290</v>
      </c>
      <c r="C331" t="s">
        <v>462</v>
      </c>
      <c r="D331" s="10">
        <f>D330-D330*inputs!$E$35</f>
        <v>0</v>
      </c>
      <c r="E331" t="str">
        <f t="shared" ca="1" si="5"/>
        <v>=D330-D330*inputs!$E$35</v>
      </c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</row>
    <row r="332" spans="1:110" s="16" customFormat="1" x14ac:dyDescent="0.3">
      <c r="A332" t="s">
        <v>32</v>
      </c>
      <c r="B332" t="s">
        <v>290</v>
      </c>
      <c r="C332" t="s">
        <v>463</v>
      </c>
      <c r="D332" s="10">
        <f>D331-D331*inputs!$E$35</f>
        <v>0</v>
      </c>
      <c r="E332" t="str">
        <f t="shared" ca="1" si="5"/>
        <v>=D331-D331*inputs!$E$35</v>
      </c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</row>
    <row r="333" spans="1:110" s="16" customFormat="1" x14ac:dyDescent="0.3">
      <c r="A333" t="s">
        <v>32</v>
      </c>
      <c r="B333" t="s">
        <v>290</v>
      </c>
      <c r="C333" t="s">
        <v>464</v>
      </c>
      <c r="D333" s="10">
        <f>D332-D332*inputs!$E$35</f>
        <v>0</v>
      </c>
      <c r="E333" t="str">
        <f t="shared" ca="1" si="5"/>
        <v>=D332-D332*inputs!$E$35</v>
      </c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</row>
    <row r="334" spans="1:110" s="16" customFormat="1" x14ac:dyDescent="0.3">
      <c r="A334" t="s">
        <v>32</v>
      </c>
      <c r="B334" t="s">
        <v>290</v>
      </c>
      <c r="C334" t="s">
        <v>465</v>
      </c>
      <c r="D334" s="10">
        <f>D333-D333*inputs!$E$35</f>
        <v>0</v>
      </c>
      <c r="E334" t="str">
        <f t="shared" ca="1" si="5"/>
        <v>=D333-D333*inputs!$E$35</v>
      </c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</row>
    <row r="335" spans="1:110" s="16" customFormat="1" x14ac:dyDescent="0.3">
      <c r="A335" t="s">
        <v>32</v>
      </c>
      <c r="B335" t="s">
        <v>290</v>
      </c>
      <c r="C335" t="s">
        <v>466</v>
      </c>
      <c r="D335" s="10">
        <f>D334-D334*inputs!$E$36</f>
        <v>0</v>
      </c>
      <c r="E335" t="str">
        <f t="shared" ca="1" si="5"/>
        <v>=D334-D334*inputs!$E$36</v>
      </c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</row>
    <row r="336" spans="1:110" s="16" customFormat="1" x14ac:dyDescent="0.3">
      <c r="A336" t="s">
        <v>32</v>
      </c>
      <c r="B336" t="s">
        <v>290</v>
      </c>
      <c r="C336" t="s">
        <v>467</v>
      </c>
      <c r="D336" s="10">
        <f>D335-D335*inputs!$E$36</f>
        <v>0</v>
      </c>
      <c r="E336" t="str">
        <f t="shared" ca="1" si="5"/>
        <v>=D335-D335*inputs!$E$36</v>
      </c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</row>
    <row r="337" spans="1:110" s="16" customFormat="1" x14ac:dyDescent="0.3">
      <c r="A337" t="s">
        <v>32</v>
      </c>
      <c r="B337" t="s">
        <v>290</v>
      </c>
      <c r="C337" t="s">
        <v>468</v>
      </c>
      <c r="D337" s="10">
        <f>D336-D336*inputs!$E$36</f>
        <v>0</v>
      </c>
      <c r="E337" t="str">
        <f t="shared" ca="1" si="5"/>
        <v>=D336-D336*inputs!$E$36</v>
      </c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</row>
    <row r="338" spans="1:110" s="16" customFormat="1" x14ac:dyDescent="0.3">
      <c r="A338" t="s">
        <v>32</v>
      </c>
      <c r="B338" t="s">
        <v>290</v>
      </c>
      <c r="C338" t="s">
        <v>469</v>
      </c>
      <c r="D338" s="10">
        <f>D337-D337*inputs!$E$36</f>
        <v>0</v>
      </c>
      <c r="E338" t="str">
        <f t="shared" ca="1" si="5"/>
        <v>=D337-D337*inputs!$E$36</v>
      </c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</row>
    <row r="339" spans="1:110" s="16" customFormat="1" x14ac:dyDescent="0.3">
      <c r="A339" t="s">
        <v>32</v>
      </c>
      <c r="B339" t="s">
        <v>290</v>
      </c>
      <c r="C339" t="s">
        <v>470</v>
      </c>
      <c r="D339" s="10">
        <f>D338-D338*inputs!$E$36</f>
        <v>0</v>
      </c>
      <c r="E339" t="str">
        <f t="shared" ca="1" si="5"/>
        <v>=D338-D338*inputs!$E$36</v>
      </c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</row>
    <row r="340" spans="1:110" s="16" customFormat="1" x14ac:dyDescent="0.3">
      <c r="A340" t="s">
        <v>32</v>
      </c>
      <c r="B340" t="s">
        <v>290</v>
      </c>
      <c r="C340" t="s">
        <v>471</v>
      </c>
      <c r="D340" s="10">
        <f>D339-D339*inputs!$E$37</f>
        <v>0</v>
      </c>
      <c r="E340" t="str">
        <f t="shared" ca="1" si="5"/>
        <v>=D339-D339*inputs!$E$37</v>
      </c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</row>
    <row r="341" spans="1:110" s="16" customFormat="1" x14ac:dyDescent="0.3">
      <c r="A341" t="s">
        <v>32</v>
      </c>
      <c r="B341" t="s">
        <v>290</v>
      </c>
      <c r="C341" t="s">
        <v>472</v>
      </c>
      <c r="D341" s="10">
        <f>D340-D340*inputs!$E$37</f>
        <v>0</v>
      </c>
      <c r="E341" t="str">
        <f t="shared" ca="1" si="5"/>
        <v>=D340-D340*inputs!$E$37</v>
      </c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</row>
    <row r="342" spans="1:110" s="16" customFormat="1" x14ac:dyDescent="0.3">
      <c r="A342" t="s">
        <v>32</v>
      </c>
      <c r="B342" t="s">
        <v>290</v>
      </c>
      <c r="C342" t="s">
        <v>473</v>
      </c>
      <c r="D342" s="10">
        <f>D341-D341*inputs!$E$37</f>
        <v>0</v>
      </c>
      <c r="E342" t="str">
        <f t="shared" ca="1" si="5"/>
        <v>=D341-D341*inputs!$E$37</v>
      </c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</row>
    <row r="343" spans="1:110" s="16" customFormat="1" x14ac:dyDescent="0.3">
      <c r="A343" t="s">
        <v>32</v>
      </c>
      <c r="B343" t="s">
        <v>290</v>
      </c>
      <c r="C343" t="s">
        <v>474</v>
      </c>
      <c r="D343" s="10">
        <f>D342-D342*inputs!$E$37</f>
        <v>0</v>
      </c>
      <c r="E343" t="str">
        <f t="shared" ca="1" si="5"/>
        <v>=D342-D342*inputs!$E$37</v>
      </c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</row>
    <row r="344" spans="1:110" s="16" customFormat="1" x14ac:dyDescent="0.3">
      <c r="A344" t="s">
        <v>32</v>
      </c>
      <c r="B344" t="s">
        <v>290</v>
      </c>
      <c r="C344" t="s">
        <v>475</v>
      </c>
      <c r="D344" s="10">
        <f>D343-D343*inputs!$E$37</f>
        <v>0</v>
      </c>
      <c r="E344" t="str">
        <f t="shared" ref="E344:E407" ca="1" si="6">_xlfn.FORMULATEXT(D344)</f>
        <v>=D343-D343*inputs!$E$37</v>
      </c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</row>
    <row r="345" spans="1:110" s="16" customFormat="1" x14ac:dyDescent="0.3">
      <c r="A345" t="s">
        <v>32</v>
      </c>
      <c r="B345" t="s">
        <v>290</v>
      </c>
      <c r="C345" t="s">
        <v>476</v>
      </c>
      <c r="D345" s="10">
        <f>D344-D344*inputs!$E$38</f>
        <v>0</v>
      </c>
      <c r="E345" t="str">
        <f t="shared" ca="1" si="6"/>
        <v>=D344-D344*inputs!$E$38</v>
      </c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</row>
    <row r="346" spans="1:110" s="16" customFormat="1" x14ac:dyDescent="0.3">
      <c r="A346" t="s">
        <v>32</v>
      </c>
      <c r="B346" t="s">
        <v>290</v>
      </c>
      <c r="C346" t="s">
        <v>477</v>
      </c>
      <c r="D346" s="10">
        <f>D345-D345*inputs!$E$38</f>
        <v>0</v>
      </c>
      <c r="E346" t="str">
        <f t="shared" ca="1" si="6"/>
        <v>=D345-D345*inputs!$E$38</v>
      </c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</row>
    <row r="347" spans="1:110" s="16" customFormat="1" x14ac:dyDescent="0.3">
      <c r="A347" t="s">
        <v>32</v>
      </c>
      <c r="B347" t="s">
        <v>290</v>
      </c>
      <c r="C347" t="s">
        <v>478</v>
      </c>
      <c r="D347" s="10">
        <f>D346-D346*inputs!$E$38</f>
        <v>0</v>
      </c>
      <c r="E347" t="str">
        <f t="shared" ca="1" si="6"/>
        <v>=D346-D346*inputs!$E$38</v>
      </c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</row>
    <row r="348" spans="1:110" s="16" customFormat="1" x14ac:dyDescent="0.3">
      <c r="A348" t="s">
        <v>32</v>
      </c>
      <c r="B348" t="s">
        <v>290</v>
      </c>
      <c r="C348" t="s">
        <v>479</v>
      </c>
      <c r="D348" s="10">
        <f>D347-D347*inputs!$E$38</f>
        <v>0</v>
      </c>
      <c r="E348" t="str">
        <f t="shared" ca="1" si="6"/>
        <v>=D347-D347*inputs!$E$38</v>
      </c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</row>
    <row r="349" spans="1:110" s="16" customFormat="1" x14ac:dyDescent="0.3">
      <c r="A349" t="s">
        <v>32</v>
      </c>
      <c r="B349" t="s">
        <v>290</v>
      </c>
      <c r="C349" t="s">
        <v>480</v>
      </c>
      <c r="D349" s="10">
        <f>D348-D348*inputs!$E$38</f>
        <v>0</v>
      </c>
      <c r="E349" t="str">
        <f t="shared" ca="1" si="6"/>
        <v>=D348-D348*inputs!$E$38</v>
      </c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</row>
    <row r="350" spans="1:110" s="16" customFormat="1" x14ac:dyDescent="0.3">
      <c r="A350" t="s">
        <v>32</v>
      </c>
      <c r="B350" t="s">
        <v>290</v>
      </c>
      <c r="C350" t="s">
        <v>481</v>
      </c>
      <c r="D350" s="10">
        <f>D349-D349*inputs!$E$38</f>
        <v>0</v>
      </c>
      <c r="E350" t="str">
        <f t="shared" ca="1" si="6"/>
        <v>=D349-D349*inputs!$E$38</v>
      </c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</row>
    <row r="351" spans="1:110" s="16" customFormat="1" x14ac:dyDescent="0.3">
      <c r="A351" t="s">
        <v>32</v>
      </c>
      <c r="B351" t="s">
        <v>290</v>
      </c>
      <c r="C351" t="s">
        <v>482</v>
      </c>
      <c r="D351" s="10">
        <f>D350-D350*inputs!$E$38</f>
        <v>0</v>
      </c>
      <c r="E351" t="str">
        <f t="shared" ca="1" si="6"/>
        <v>=D350-D350*inputs!$E$38</v>
      </c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</row>
    <row r="352" spans="1:110" s="16" customFormat="1" x14ac:dyDescent="0.3">
      <c r="A352" t="s">
        <v>32</v>
      </c>
      <c r="B352" t="s">
        <v>290</v>
      </c>
      <c r="C352" t="s">
        <v>483</v>
      </c>
      <c r="D352" s="10">
        <f>D351-D351*inputs!$E$38</f>
        <v>0</v>
      </c>
      <c r="E352" t="str">
        <f t="shared" ca="1" si="6"/>
        <v>=D351-D351*inputs!$E$38</v>
      </c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</row>
    <row r="353" spans="1:110" s="16" customFormat="1" x14ac:dyDescent="0.3">
      <c r="A353" t="s">
        <v>32</v>
      </c>
      <c r="B353" t="s">
        <v>290</v>
      </c>
      <c r="C353" t="s">
        <v>484</v>
      </c>
      <c r="D353" s="10">
        <f>D352-D352*inputs!$E$38</f>
        <v>0</v>
      </c>
      <c r="E353" t="str">
        <f t="shared" ca="1" si="6"/>
        <v>=D352-D352*inputs!$E$38</v>
      </c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</row>
    <row r="354" spans="1:110" s="16" customFormat="1" x14ac:dyDescent="0.3">
      <c r="A354" t="s">
        <v>32</v>
      </c>
      <c r="B354" t="s">
        <v>290</v>
      </c>
      <c r="C354" t="s">
        <v>485</v>
      </c>
      <c r="D354" s="10">
        <f>D353-D353*inputs!$E$38</f>
        <v>0</v>
      </c>
      <c r="E354" t="str">
        <f t="shared" ca="1" si="6"/>
        <v>=D353-D353*inputs!$E$38</v>
      </c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</row>
    <row r="355" spans="1:110" s="14" customFormat="1" x14ac:dyDescent="0.3">
      <c r="A355" t="s">
        <v>32</v>
      </c>
      <c r="B355" t="s">
        <v>190</v>
      </c>
      <c r="C355" t="s">
        <v>494</v>
      </c>
      <c r="D355" s="10">
        <f>$D$150*inputs!E72</f>
        <v>145223.46617070577</v>
      </c>
      <c r="E355" t="str">
        <f ca="1">_xlfn.FORMULATEXT(D355)</f>
        <v>=$D$150*inputs!E72</v>
      </c>
      <c r="F355" t="s">
        <v>819</v>
      </c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</row>
    <row r="356" spans="1:110" s="16" customFormat="1" x14ac:dyDescent="0.3">
      <c r="A356" t="s">
        <v>32</v>
      </c>
      <c r="B356" t="s">
        <v>190</v>
      </c>
      <c r="C356" t="s">
        <v>496</v>
      </c>
      <c r="D356" s="10">
        <f>(D202*inputs!$E$75)/(inputs!$E$31)^inputs!E100</f>
        <v>1792.1981841532984</v>
      </c>
      <c r="E356" t="str">
        <f t="shared" ca="1" si="6"/>
        <v>=(D202*inputs!$E$75)/(inputs!$E$31)^inputs!E100</v>
      </c>
      <c r="F356" t="s">
        <v>820</v>
      </c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</row>
    <row r="357" spans="1:110" s="16" customFormat="1" x14ac:dyDescent="0.3">
      <c r="A357" t="s">
        <v>32</v>
      </c>
      <c r="B357" t="s">
        <v>190</v>
      </c>
      <c r="C357" t="s">
        <v>497</v>
      </c>
      <c r="D357" s="10">
        <f>(D203*inputs!$E$75)/(inputs!$E$31)^inputs!E101</f>
        <v>1739.4762375709249</v>
      </c>
      <c r="E357" t="str">
        <f t="shared" ca="1" si="6"/>
        <v>=(D203*inputs!$E$75)/(inputs!$E$31)^inputs!E101</v>
      </c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</row>
    <row r="358" spans="1:110" s="16" customFormat="1" x14ac:dyDescent="0.3">
      <c r="A358" t="s">
        <v>32</v>
      </c>
      <c r="B358" t="s">
        <v>190</v>
      </c>
      <c r="C358" t="s">
        <v>498</v>
      </c>
      <c r="D358" s="10">
        <f>(D204*inputs!$E$75)/(inputs!$E$31)^inputs!E102</f>
        <v>1688.3052375724794</v>
      </c>
      <c r="E358" t="str">
        <f t="shared" ca="1" si="6"/>
        <v>=(D204*inputs!$E$75)/(inputs!$E$31)^inputs!E102</v>
      </c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</row>
    <row r="359" spans="1:110" s="16" customFormat="1" x14ac:dyDescent="0.3">
      <c r="A359" t="s">
        <v>32</v>
      </c>
      <c r="B359" t="s">
        <v>190</v>
      </c>
      <c r="C359" t="s">
        <v>499</v>
      </c>
      <c r="D359" s="10">
        <f>(D205*inputs!$E$75)/(inputs!$E$31)^inputs!E103</f>
        <v>1638.6395592244735</v>
      </c>
      <c r="E359" t="str">
        <f t="shared" ca="1" si="6"/>
        <v>=(D205*inputs!$E$75)/(inputs!$E$31)^inputs!E103</v>
      </c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</row>
    <row r="360" spans="1:110" s="16" customFormat="1" x14ac:dyDescent="0.3">
      <c r="A360" t="s">
        <v>32</v>
      </c>
      <c r="B360" t="s">
        <v>190</v>
      </c>
      <c r="C360" t="s">
        <v>500</v>
      </c>
      <c r="D360" s="10">
        <f>(D206*inputs!$E$75)/(inputs!$E$31)^inputs!E104</f>
        <v>1590.4349197637925</v>
      </c>
      <c r="E360" t="str">
        <f t="shared" ca="1" si="6"/>
        <v>=(D206*inputs!$E$75)/(inputs!$E$31)^inputs!E104</v>
      </c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</row>
    <row r="361" spans="1:110" s="16" customFormat="1" x14ac:dyDescent="0.3">
      <c r="A361" t="s">
        <v>32</v>
      </c>
      <c r="B361" t="s">
        <v>190</v>
      </c>
      <c r="C361" t="s">
        <v>501</v>
      </c>
      <c r="D361" s="10">
        <f>(D207*inputs!$E$75)/(inputs!$E$31)^inputs!E105</f>
        <v>1543.6483391144307</v>
      </c>
      <c r="E361" t="str">
        <f t="shared" ca="1" si="6"/>
        <v>=(D207*inputs!$E$75)/(inputs!$E$31)^inputs!E105</v>
      </c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</row>
    <row r="362" spans="1:110" s="16" customFormat="1" x14ac:dyDescent="0.3">
      <c r="A362" t="s">
        <v>32</v>
      </c>
      <c r="B362" t="s">
        <v>190</v>
      </c>
      <c r="C362" t="s">
        <v>502</v>
      </c>
      <c r="D362" s="10">
        <f>(D208*inputs!$E$75)/(inputs!$E$31)^inputs!E106</f>
        <v>1498.2381015657245</v>
      </c>
      <c r="E362" t="str">
        <f t="shared" ca="1" si="6"/>
        <v>=(D208*inputs!$E$75)/(inputs!$E$31)^inputs!E106</v>
      </c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</row>
    <row r="363" spans="1:110" s="16" customFormat="1" x14ac:dyDescent="0.3">
      <c r="A363" t="s">
        <v>32</v>
      </c>
      <c r="B363" t="s">
        <v>190</v>
      </c>
      <c r="C363" t="s">
        <v>503</v>
      </c>
      <c r="D363" s="10">
        <f>(D209*inputs!$E$75)/(inputs!$E$31)^inputs!E107</f>
        <v>1454.1637185779175</v>
      </c>
      <c r="E363" t="str">
        <f t="shared" ca="1" si="6"/>
        <v>=(D209*inputs!$E$75)/(inputs!$E$31)^inputs!E107</v>
      </c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</row>
    <row r="364" spans="1:110" s="16" customFormat="1" x14ac:dyDescent="0.3">
      <c r="A364" t="s">
        <v>32</v>
      </c>
      <c r="B364" t="s">
        <v>190</v>
      </c>
      <c r="C364" t="s">
        <v>504</v>
      </c>
      <c r="D364" s="10">
        <f>(D210*inputs!$E$75)/(inputs!$E$31)^inputs!E108</f>
        <v>1411.3858926818875</v>
      </c>
      <c r="E364" t="str">
        <f t="shared" ca="1" si="6"/>
        <v>=(D210*inputs!$E$75)/(inputs!$E$31)^inputs!E108</v>
      </c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</row>
    <row r="365" spans="1:110" s="16" customFormat="1" x14ac:dyDescent="0.3">
      <c r="A365" t="s">
        <v>32</v>
      </c>
      <c r="B365" t="s">
        <v>190</v>
      </c>
      <c r="C365" t="s">
        <v>505</v>
      </c>
      <c r="D365" s="10">
        <f>(D211*inputs!$E$75)/(inputs!$E$31)^inputs!E109</f>
        <v>1369.866482440857</v>
      </c>
      <c r="E365" t="str">
        <f t="shared" ca="1" si="6"/>
        <v>=(D211*inputs!$E$75)/(inputs!$E$31)^inputs!E109</v>
      </c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</row>
    <row r="366" spans="1:110" s="16" customFormat="1" x14ac:dyDescent="0.3">
      <c r="A366" t="s">
        <v>32</v>
      </c>
      <c r="B366" t="s">
        <v>190</v>
      </c>
      <c r="C366" t="s">
        <v>506</v>
      </c>
      <c r="D366" s="10">
        <f>(D212*inputs!$E$75)/(inputs!$E$31)^inputs!E110</f>
        <v>1329.5684684428395</v>
      </c>
      <c r="E366" t="str">
        <f t="shared" ca="1" si="6"/>
        <v>=(D212*inputs!$E$75)/(inputs!$E$31)^inputs!E110</v>
      </c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</row>
    <row r="367" spans="1:110" s="16" customFormat="1" x14ac:dyDescent="0.3">
      <c r="A367" t="s">
        <v>32</v>
      </c>
      <c r="B367" t="s">
        <v>190</v>
      </c>
      <c r="C367" t="s">
        <v>507</v>
      </c>
      <c r="D367" s="10">
        <f>(D213*inputs!$E$75)/(inputs!$E$31)^inputs!E111</f>
        <v>1290.4559202935022</v>
      </c>
      <c r="E367" t="str">
        <f t="shared" ca="1" si="6"/>
        <v>=(D213*inputs!$E$75)/(inputs!$E$31)^inputs!E111</v>
      </c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</row>
    <row r="368" spans="1:110" s="16" customFormat="1" x14ac:dyDescent="0.3">
      <c r="A368" t="s">
        <v>32</v>
      </c>
      <c r="B368" t="s">
        <v>190</v>
      </c>
      <c r="C368" t="s">
        <v>508</v>
      </c>
      <c r="D368" s="10">
        <f>(D214*inputs!$E$75)/(inputs!$E$31)^inputs!E112</f>
        <v>1252.4939645800137</v>
      </c>
      <c r="E368" t="str">
        <f t="shared" ca="1" si="6"/>
        <v>=(D214*inputs!$E$75)/(inputs!$E$31)^inputs!E112</v>
      </c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</row>
    <row r="369" spans="1:110" s="16" customFormat="1" x14ac:dyDescent="0.3">
      <c r="A369" t="s">
        <v>32</v>
      </c>
      <c r="B369" t="s">
        <v>190</v>
      </c>
      <c r="C369" t="s">
        <v>509</v>
      </c>
      <c r="D369" s="10">
        <f>(D215*inputs!$E$75)/(inputs!$E$31)^inputs!E113</f>
        <v>1215.6487537773198</v>
      </c>
      <c r="E369" t="str">
        <f t="shared" ca="1" si="6"/>
        <v>=(D215*inputs!$E$75)/(inputs!$E$31)^inputs!E113</v>
      </c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</row>
    <row r="370" spans="1:110" s="16" customFormat="1" x14ac:dyDescent="0.3">
      <c r="A370" t="s">
        <v>32</v>
      </c>
      <c r="B370" t="s">
        <v>190</v>
      </c>
      <c r="C370" t="s">
        <v>510</v>
      </c>
      <c r="D370" s="10">
        <f>(D216*inputs!$E$75)/(inputs!$E$31)^inputs!E114</f>
        <v>1179.8874360691134</v>
      </c>
      <c r="E370" t="str">
        <f t="shared" ca="1" si="6"/>
        <v>=(D216*inputs!$E$75)/(inputs!$E$31)^inputs!E114</v>
      </c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</row>
    <row r="371" spans="1:110" s="16" customFormat="1" x14ac:dyDescent="0.3">
      <c r="A371" t="s">
        <v>32</v>
      </c>
      <c r="B371" t="s">
        <v>190</v>
      </c>
      <c r="C371" t="s">
        <v>511</v>
      </c>
      <c r="D371" s="10">
        <f>(D217*inputs!$E$75)/(inputs!$E$31)^inputs!E115</f>
        <v>1145.1781260565949</v>
      </c>
      <c r="E371" t="str">
        <f t="shared" ca="1" si="6"/>
        <v>=(D217*inputs!$E$75)/(inputs!$E$31)^inputs!E115</v>
      </c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</row>
    <row r="372" spans="1:110" s="16" customFormat="1" x14ac:dyDescent="0.3">
      <c r="A372" t="s">
        <v>32</v>
      </c>
      <c r="B372" t="s">
        <v>190</v>
      </c>
      <c r="C372" t="s">
        <v>512</v>
      </c>
      <c r="D372" s="10">
        <f>(D218*inputs!$E$75)/(inputs!$E$31)^inputs!E116</f>
        <v>1110.7115999325617</v>
      </c>
      <c r="E372" t="str">
        <f t="shared" ca="1" si="6"/>
        <v>=(D218*inputs!$E$75)/(inputs!$E$31)^inputs!E116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</row>
    <row r="373" spans="1:110" s="16" customFormat="1" x14ac:dyDescent="0.3">
      <c r="A373" t="s">
        <v>32</v>
      </c>
      <c r="B373" t="s">
        <v>190</v>
      </c>
      <c r="C373" t="s">
        <v>513</v>
      </c>
      <c r="D373" s="10">
        <f>(D219*inputs!$E$75)/(inputs!$E$31)^inputs!E117</f>
        <v>1077.2824158569213</v>
      </c>
      <c r="E373" t="str">
        <f t="shared" ca="1" si="6"/>
        <v>=(D219*inputs!$E$75)/(inputs!$E$31)^inputs!E117</v>
      </c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</row>
    <row r="374" spans="1:110" s="16" customFormat="1" x14ac:dyDescent="0.3">
      <c r="A374" t="s">
        <v>32</v>
      </c>
      <c r="B374" t="s">
        <v>190</v>
      </c>
      <c r="C374" t="s">
        <v>514</v>
      </c>
      <c r="D374" s="10">
        <f>(D220*inputs!$E$75)/(inputs!$E$31)^inputs!E118</f>
        <v>1044.8593528554022</v>
      </c>
      <c r="E374" t="str">
        <f t="shared" ca="1" si="6"/>
        <v>=(D220*inputs!$E$75)/(inputs!$E$31)^inputs!E118</v>
      </c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</row>
    <row r="375" spans="1:110" s="16" customFormat="1" x14ac:dyDescent="0.3">
      <c r="A375" t="s">
        <v>32</v>
      </c>
      <c r="B375" t="s">
        <v>190</v>
      </c>
      <c r="C375" t="s">
        <v>515</v>
      </c>
      <c r="D375" s="10">
        <f>(D221*inputs!$E$75)/(inputs!$E$31)^inputs!E119</f>
        <v>1013.4121296141233</v>
      </c>
      <c r="E375" t="str">
        <f t="shared" ca="1" si="6"/>
        <v>=(D221*inputs!$E$75)/(inputs!$E$31)^inputs!E119</v>
      </c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</row>
    <row r="376" spans="1:110" s="16" customFormat="1" x14ac:dyDescent="0.3">
      <c r="A376" t="s">
        <v>32</v>
      </c>
      <c r="B376" t="s">
        <v>190</v>
      </c>
      <c r="C376" t="s">
        <v>516</v>
      </c>
      <c r="D376" s="10">
        <f>(D222*inputs!$E$75)/(inputs!$E$31)^inputs!E120</f>
        <v>982.91137619855272</v>
      </c>
      <c r="E376" t="str">
        <f t="shared" ca="1" si="6"/>
        <v>=(D222*inputs!$E$75)/(inputs!$E$31)^inputs!E120</v>
      </c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</row>
    <row r="377" spans="1:110" s="16" customFormat="1" x14ac:dyDescent="0.3">
      <c r="A377" t="s">
        <v>32</v>
      </c>
      <c r="B377" t="s">
        <v>190</v>
      </c>
      <c r="C377" t="s">
        <v>517</v>
      </c>
      <c r="D377" s="10">
        <f>(D223*inputs!$E$75)/(inputs!$E$31)^inputs!E121</f>
        <v>952.37432373413151</v>
      </c>
      <c r="E377" t="str">
        <f t="shared" ca="1" si="6"/>
        <v>=(D223*inputs!$E$75)/(inputs!$E$31)^inputs!E121</v>
      </c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</row>
    <row r="378" spans="1:110" s="16" customFormat="1" x14ac:dyDescent="0.3">
      <c r="A378" t="s">
        <v>32</v>
      </c>
      <c r="B378" t="s">
        <v>190</v>
      </c>
      <c r="C378" t="s">
        <v>518</v>
      </c>
      <c r="D378" s="10">
        <f>(D224*inputs!$E$75)/(inputs!$E$31)^inputs!E122</f>
        <v>922.78599522977026</v>
      </c>
      <c r="E378" t="str">
        <f t="shared" ca="1" si="6"/>
        <v>=(D224*inputs!$E$75)/(inputs!$E$31)^inputs!E122</v>
      </c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</row>
    <row r="379" spans="1:110" s="16" customFormat="1" x14ac:dyDescent="0.3">
      <c r="A379" t="s">
        <v>32</v>
      </c>
      <c r="B379" t="s">
        <v>190</v>
      </c>
      <c r="C379" t="s">
        <v>519</v>
      </c>
      <c r="D379" s="10">
        <f>(D225*inputs!$E$75)/(inputs!$E$31)^inputs!E123</f>
        <v>894.11691576632109</v>
      </c>
      <c r="E379" t="str">
        <f t="shared" ca="1" si="6"/>
        <v>=(D225*inputs!$E$75)/(inputs!$E$31)^inputs!E123</v>
      </c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</row>
    <row r="380" spans="1:110" s="16" customFormat="1" x14ac:dyDescent="0.3">
      <c r="A380" t="s">
        <v>32</v>
      </c>
      <c r="B380" t="s">
        <v>190</v>
      </c>
      <c r="C380" t="s">
        <v>520</v>
      </c>
      <c r="D380" s="10">
        <f>(D226*inputs!$E$75)/(inputs!$E$31)^inputs!E124</f>
        <v>866.33852615028002</v>
      </c>
      <c r="E380" t="str">
        <f t="shared" ca="1" si="6"/>
        <v>=(D226*inputs!$E$75)/(inputs!$E$31)^inputs!E124</v>
      </c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</row>
    <row r="381" spans="1:110" s="16" customFormat="1" x14ac:dyDescent="0.3">
      <c r="A381" t="s">
        <v>32</v>
      </c>
      <c r="B381" t="s">
        <v>190</v>
      </c>
      <c r="C381" t="s">
        <v>521</v>
      </c>
      <c r="D381" s="10">
        <f>(D227*inputs!$E$75)/(inputs!$E$31)^inputs!E125</f>
        <v>839.4231544640578</v>
      </c>
      <c r="E381" t="str">
        <f t="shared" ca="1" si="6"/>
        <v>=(D227*inputs!$E$75)/(inputs!$E$31)^inputs!E125</v>
      </c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</row>
    <row r="382" spans="1:110" s="16" customFormat="1" x14ac:dyDescent="0.3">
      <c r="A382" t="s">
        <v>32</v>
      </c>
      <c r="B382" t="s">
        <v>190</v>
      </c>
      <c r="C382" t="s">
        <v>522</v>
      </c>
      <c r="D382" s="10">
        <f>(D228*inputs!$E$75)/(inputs!$E$31)^inputs!E126</f>
        <v>813.34398850012587</v>
      </c>
      <c r="E382" t="str">
        <f t="shared" ca="1" si="6"/>
        <v>=(D228*inputs!$E$75)/(inputs!$E$31)^inputs!E126</v>
      </c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</row>
    <row r="383" spans="1:110" s="16" customFormat="1" x14ac:dyDescent="0.3">
      <c r="A383" t="s">
        <v>32</v>
      </c>
      <c r="B383" t="s">
        <v>190</v>
      </c>
      <c r="C383" t="s">
        <v>523</v>
      </c>
      <c r="D383" s="10">
        <f>(D229*inputs!$E$75)/(inputs!$E$31)^inputs!E127</f>
        <v>788.07504905157839</v>
      </c>
      <c r="E383" t="str">
        <f t="shared" ca="1" si="6"/>
        <v>=(D229*inputs!$E$75)/(inputs!$E$31)^inputs!E127</v>
      </c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</row>
    <row r="384" spans="1:110" s="16" customFormat="1" x14ac:dyDescent="0.3">
      <c r="A384" t="s">
        <v>32</v>
      </c>
      <c r="B384" t="s">
        <v>190</v>
      </c>
      <c r="C384" t="s">
        <v>524</v>
      </c>
      <c r="D384" s="10">
        <f>(D230*inputs!$E$75)/(inputs!$E$31)^inputs!E128</f>
        <v>763.59116403250016</v>
      </c>
      <c r="E384" t="str">
        <f t="shared" ca="1" si="6"/>
        <v>=(D230*inputs!$E$75)/(inputs!$E$31)^inputs!E128</v>
      </c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</row>
    <row r="385" spans="1:110" s="16" customFormat="1" x14ac:dyDescent="0.3">
      <c r="A385" t="s">
        <v>32</v>
      </c>
      <c r="B385" t="s">
        <v>190</v>
      </c>
      <c r="C385" t="s">
        <v>525</v>
      </c>
      <c r="D385" s="10">
        <f>(D231*inputs!$E$75)/(inputs!$E$31)^inputs!E129</f>
        <v>739.8679434023644</v>
      </c>
      <c r="E385" t="str">
        <f t="shared" ca="1" si="6"/>
        <v>=(D231*inputs!$E$75)/(inputs!$E$31)^inputs!E129</v>
      </c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</row>
    <row r="386" spans="1:110" s="16" customFormat="1" x14ac:dyDescent="0.3">
      <c r="A386" t="s">
        <v>32</v>
      </c>
      <c r="B386" t="s">
        <v>190</v>
      </c>
      <c r="C386" t="s">
        <v>526</v>
      </c>
      <c r="D386" s="10">
        <f>(D232*inputs!$E$75)/(inputs!$E$31)^inputs!E130</f>
        <v>716.88175486947523</v>
      </c>
      <c r="E386" t="str">
        <f t="shared" ca="1" si="6"/>
        <v>=(D232*inputs!$E$75)/(inputs!$E$31)^inputs!E130</v>
      </c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</row>
    <row r="387" spans="1:110" s="16" customFormat="1" x14ac:dyDescent="0.3">
      <c r="A387" t="s">
        <v>32</v>
      </c>
      <c r="B387" t="s">
        <v>190</v>
      </c>
      <c r="C387" t="s">
        <v>527</v>
      </c>
      <c r="D387" s="10">
        <f>(D233*inputs!$E$75)/(inputs!$E$31)^inputs!E131</f>
        <v>694.60970034925856</v>
      </c>
      <c r="E387" t="str">
        <f t="shared" ca="1" si="6"/>
        <v>=(D233*inputs!$E$75)/(inputs!$E$31)^inputs!E131</v>
      </c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</row>
    <row r="388" spans="1:110" s="16" customFormat="1" x14ac:dyDescent="0.3">
      <c r="A388" t="s">
        <v>32</v>
      </c>
      <c r="B388" t="s">
        <v>190</v>
      </c>
      <c r="C388" t="s">
        <v>528</v>
      </c>
      <c r="D388" s="10">
        <f>(D234*inputs!$E$75)/(inputs!$E$31)^inputs!E132</f>
        <v>673.02959315394185</v>
      </c>
      <c r="E388" t="str">
        <f t="shared" ca="1" si="6"/>
        <v>=(D234*inputs!$E$75)/(inputs!$E$31)^inputs!E132</v>
      </c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</row>
    <row r="389" spans="1:110" s="16" customFormat="1" x14ac:dyDescent="0.3">
      <c r="A389" t="s">
        <v>32</v>
      </c>
      <c r="B389" t="s">
        <v>190</v>
      </c>
      <c r="C389" t="s">
        <v>529</v>
      </c>
      <c r="D389" s="10">
        <f>(D235*inputs!$E$75)/(inputs!$E$31)^inputs!E133</f>
        <v>652.11993589090673</v>
      </c>
      <c r="E389" t="str">
        <f t="shared" ca="1" si="6"/>
        <v>=(D235*inputs!$E$75)/(inputs!$E$31)^inputs!E133</v>
      </c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</row>
    <row r="390" spans="1:110" s="16" customFormat="1" x14ac:dyDescent="0.3">
      <c r="A390" t="s">
        <v>32</v>
      </c>
      <c r="B390" t="s">
        <v>190</v>
      </c>
      <c r="C390" t="s">
        <v>530</v>
      </c>
      <c r="D390" s="10">
        <f>(D236*inputs!$E$75)/(inputs!$E$31)^inputs!E134</f>
        <v>631.85989904769406</v>
      </c>
      <c r="E390" t="str">
        <f t="shared" ca="1" si="6"/>
        <v>=(D236*inputs!$E$75)/(inputs!$E$31)^inputs!E134</v>
      </c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</row>
    <row r="391" spans="1:110" s="16" customFormat="1" x14ac:dyDescent="0.3">
      <c r="A391" t="s">
        <v>32</v>
      </c>
      <c r="B391" t="s">
        <v>190</v>
      </c>
      <c r="C391" t="s">
        <v>531</v>
      </c>
      <c r="D391" s="10">
        <f>(D237*inputs!$E$75)/(inputs!$E$31)^inputs!E135</f>
        <v>612.22930024232892</v>
      </c>
      <c r="E391" t="str">
        <f t="shared" ca="1" si="6"/>
        <v>=(D237*inputs!$E$75)/(inputs!$E$31)^inputs!E135</v>
      </c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</row>
    <row r="392" spans="1:110" s="16" customFormat="1" x14ac:dyDescent="0.3">
      <c r="A392" t="s">
        <v>32</v>
      </c>
      <c r="B392" t="s">
        <v>190</v>
      </c>
      <c r="C392" t="s">
        <v>557</v>
      </c>
      <c r="D392" s="10">
        <f>(D241*inputs!$E$76)/(inputs!$E$31)^inputs!E100</f>
        <v>0</v>
      </c>
      <c r="E392" t="str">
        <f t="shared" ca="1" si="6"/>
        <v>=(D241*inputs!$E$76)/(inputs!$E$31)^inputs!E100</v>
      </c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</row>
    <row r="393" spans="1:110" s="16" customFormat="1" x14ac:dyDescent="0.3">
      <c r="A393" t="s">
        <v>32</v>
      </c>
      <c r="B393" t="s">
        <v>190</v>
      </c>
      <c r="C393" t="s">
        <v>558</v>
      </c>
      <c r="D393" s="10">
        <f>(D242*inputs!$E$76)/(inputs!$E$31)^inputs!E101</f>
        <v>0</v>
      </c>
      <c r="E393" t="str">
        <f t="shared" ca="1" si="6"/>
        <v>=(D242*inputs!$E$76)/(inputs!$E$31)^inputs!E101</v>
      </c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</row>
    <row r="394" spans="1:110" s="16" customFormat="1" x14ac:dyDescent="0.3">
      <c r="A394" t="s">
        <v>32</v>
      </c>
      <c r="B394" t="s">
        <v>190</v>
      </c>
      <c r="C394" t="s">
        <v>559</v>
      </c>
      <c r="D394" s="10">
        <f>(D243*inputs!$E$76)/(inputs!$E$31)^inputs!E102</f>
        <v>0</v>
      </c>
      <c r="E394" t="str">
        <f t="shared" ca="1" si="6"/>
        <v>=(D243*inputs!$E$76)/(inputs!$E$31)^inputs!E102</v>
      </c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</row>
    <row r="395" spans="1:110" s="16" customFormat="1" x14ac:dyDescent="0.3">
      <c r="A395" t="s">
        <v>32</v>
      </c>
      <c r="B395" t="s">
        <v>190</v>
      </c>
      <c r="C395" t="s">
        <v>560</v>
      </c>
      <c r="D395" s="10">
        <f>(D244*inputs!$E$76)/(inputs!$E$31)^inputs!E103</f>
        <v>0</v>
      </c>
      <c r="E395" t="str">
        <f t="shared" ca="1" si="6"/>
        <v>=(D244*inputs!$E$76)/(inputs!$E$31)^inputs!E103</v>
      </c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</row>
    <row r="396" spans="1:110" s="16" customFormat="1" x14ac:dyDescent="0.3">
      <c r="A396" t="s">
        <v>32</v>
      </c>
      <c r="B396" t="s">
        <v>190</v>
      </c>
      <c r="C396" t="s">
        <v>561</v>
      </c>
      <c r="D396" s="10">
        <f>(D245*inputs!$E$76)/(inputs!$E$31)^inputs!E104</f>
        <v>0</v>
      </c>
      <c r="E396" t="str">
        <f t="shared" ca="1" si="6"/>
        <v>=(D245*inputs!$E$76)/(inputs!$E$31)^inputs!E104</v>
      </c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</row>
    <row r="397" spans="1:110" s="16" customFormat="1" x14ac:dyDescent="0.3">
      <c r="A397" t="s">
        <v>32</v>
      </c>
      <c r="B397" t="s">
        <v>190</v>
      </c>
      <c r="C397" t="s">
        <v>562</v>
      </c>
      <c r="D397" s="10">
        <f>(D246*inputs!$E$76)/(inputs!$E$31)^inputs!E105</f>
        <v>0</v>
      </c>
      <c r="E397" t="str">
        <f t="shared" ca="1" si="6"/>
        <v>=(D246*inputs!$E$76)/(inputs!$E$31)^inputs!E105</v>
      </c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</row>
    <row r="398" spans="1:110" s="16" customFormat="1" x14ac:dyDescent="0.3">
      <c r="A398" t="s">
        <v>32</v>
      </c>
      <c r="B398" t="s">
        <v>190</v>
      </c>
      <c r="C398" t="s">
        <v>563</v>
      </c>
      <c r="D398" s="10">
        <f>(D247*inputs!$E$76)/(inputs!$E$31)^inputs!E106</f>
        <v>0</v>
      </c>
      <c r="E398" t="str">
        <f t="shared" ca="1" si="6"/>
        <v>=(D247*inputs!$E$76)/(inputs!$E$31)^inputs!E106</v>
      </c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</row>
    <row r="399" spans="1:110" s="16" customFormat="1" x14ac:dyDescent="0.3">
      <c r="A399" t="s">
        <v>32</v>
      </c>
      <c r="B399" t="s">
        <v>190</v>
      </c>
      <c r="C399" t="s">
        <v>564</v>
      </c>
      <c r="D399" s="10">
        <f>(D248*inputs!$E$76)/(inputs!$E$31)^inputs!E107</f>
        <v>0</v>
      </c>
      <c r="E399" t="str">
        <f t="shared" ca="1" si="6"/>
        <v>=(D248*inputs!$E$76)/(inputs!$E$31)^inputs!E107</v>
      </c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</row>
    <row r="400" spans="1:110" s="16" customFormat="1" x14ac:dyDescent="0.3">
      <c r="A400" t="s">
        <v>32</v>
      </c>
      <c r="B400" t="s">
        <v>190</v>
      </c>
      <c r="C400" t="s">
        <v>565</v>
      </c>
      <c r="D400" s="10">
        <f>(D249*inputs!$E$76)/(inputs!$E$31)^inputs!E108</f>
        <v>0</v>
      </c>
      <c r="E400" t="str">
        <f t="shared" ca="1" si="6"/>
        <v>=(D249*inputs!$E$76)/(inputs!$E$31)^inputs!E108</v>
      </c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</row>
    <row r="401" spans="1:110" s="16" customFormat="1" x14ac:dyDescent="0.3">
      <c r="A401" t="s">
        <v>32</v>
      </c>
      <c r="B401" t="s">
        <v>190</v>
      </c>
      <c r="C401" t="s">
        <v>566</v>
      </c>
      <c r="D401" s="10">
        <f>(D250*inputs!$E$76)/(inputs!$E$31)^inputs!E109</f>
        <v>0</v>
      </c>
      <c r="E401" t="str">
        <f t="shared" ca="1" si="6"/>
        <v>=(D250*inputs!$E$76)/(inputs!$E$31)^inputs!E109</v>
      </c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</row>
    <row r="402" spans="1:110" s="16" customFormat="1" x14ac:dyDescent="0.3">
      <c r="A402" t="s">
        <v>32</v>
      </c>
      <c r="B402" t="s">
        <v>190</v>
      </c>
      <c r="C402" t="s">
        <v>567</v>
      </c>
      <c r="D402" s="10">
        <f>(D251*inputs!$E$76)/(inputs!$E$31)^inputs!E110</f>
        <v>0</v>
      </c>
      <c r="E402" t="str">
        <f t="shared" ca="1" si="6"/>
        <v>=(D251*inputs!$E$76)/(inputs!$E$31)^inputs!E110</v>
      </c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</row>
    <row r="403" spans="1:110" s="16" customFormat="1" x14ac:dyDescent="0.3">
      <c r="A403" t="s">
        <v>32</v>
      </c>
      <c r="B403" t="s">
        <v>190</v>
      </c>
      <c r="C403" t="s">
        <v>568</v>
      </c>
      <c r="D403" s="10">
        <f>(D252*inputs!$E$76)/(inputs!$E$31)^inputs!E111</f>
        <v>0</v>
      </c>
      <c r="E403" t="str">
        <f t="shared" ca="1" si="6"/>
        <v>=(D252*inputs!$E$76)/(inputs!$E$31)^inputs!E111</v>
      </c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</row>
    <row r="404" spans="1:110" s="16" customFormat="1" x14ac:dyDescent="0.3">
      <c r="A404" t="s">
        <v>32</v>
      </c>
      <c r="B404" t="s">
        <v>190</v>
      </c>
      <c r="C404" t="s">
        <v>569</v>
      </c>
      <c r="D404" s="10">
        <f>(D253*inputs!$E$76)/(inputs!$E$31)^inputs!E112</f>
        <v>0</v>
      </c>
      <c r="E404" t="str">
        <f t="shared" ca="1" si="6"/>
        <v>=(D253*inputs!$E$76)/(inputs!$E$31)^inputs!E112</v>
      </c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</row>
    <row r="405" spans="1:110" s="16" customFormat="1" x14ac:dyDescent="0.3">
      <c r="A405" t="s">
        <v>32</v>
      </c>
      <c r="B405" t="s">
        <v>190</v>
      </c>
      <c r="C405" t="s">
        <v>570</v>
      </c>
      <c r="D405" s="10">
        <f>(D254*inputs!$E$76)/(inputs!$E$31)^inputs!E113</f>
        <v>0</v>
      </c>
      <c r="E405" t="str">
        <f t="shared" ca="1" si="6"/>
        <v>=(D254*inputs!$E$76)/(inputs!$E$31)^inputs!E113</v>
      </c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</row>
    <row r="406" spans="1:110" s="16" customFormat="1" x14ac:dyDescent="0.3">
      <c r="A406" t="s">
        <v>32</v>
      </c>
      <c r="B406" t="s">
        <v>190</v>
      </c>
      <c r="C406" t="s">
        <v>571</v>
      </c>
      <c r="D406" s="10">
        <f>(D255*inputs!$E$76)/(inputs!$E$31)^inputs!E114</f>
        <v>0</v>
      </c>
      <c r="E406" t="str">
        <f t="shared" ca="1" si="6"/>
        <v>=(D255*inputs!$E$76)/(inputs!$E$31)^inputs!E114</v>
      </c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</row>
    <row r="407" spans="1:110" s="16" customFormat="1" x14ac:dyDescent="0.3">
      <c r="A407" t="s">
        <v>32</v>
      </c>
      <c r="B407" t="s">
        <v>190</v>
      </c>
      <c r="C407" t="s">
        <v>572</v>
      </c>
      <c r="D407" s="10">
        <f>(D256*inputs!$E$76)/(inputs!$E$31)^inputs!E115</f>
        <v>0</v>
      </c>
      <c r="E407" t="str">
        <f t="shared" ca="1" si="6"/>
        <v>=(D256*inputs!$E$76)/(inputs!$E$31)^inputs!E115</v>
      </c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</row>
    <row r="408" spans="1:110" s="16" customFormat="1" x14ac:dyDescent="0.3">
      <c r="A408" t="s">
        <v>32</v>
      </c>
      <c r="B408" t="s">
        <v>190</v>
      </c>
      <c r="C408" t="s">
        <v>573</v>
      </c>
      <c r="D408" s="10">
        <f>(D257*inputs!$E$76)/(inputs!$E$31)^inputs!E116</f>
        <v>0</v>
      </c>
      <c r="E408" t="str">
        <f t="shared" ref="E408:E471" ca="1" si="7">_xlfn.FORMULATEXT(D408)</f>
        <v>=(D257*inputs!$E$76)/(inputs!$E$31)^inputs!E116</v>
      </c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</row>
    <row r="409" spans="1:110" s="16" customFormat="1" x14ac:dyDescent="0.3">
      <c r="A409" t="s">
        <v>32</v>
      </c>
      <c r="B409" t="s">
        <v>190</v>
      </c>
      <c r="C409" t="s">
        <v>574</v>
      </c>
      <c r="D409" s="10">
        <f>(D258*inputs!$E$76)/(inputs!$E$31)^inputs!E117</f>
        <v>0</v>
      </c>
      <c r="E409" t="str">
        <f t="shared" ca="1" si="7"/>
        <v>=(D258*inputs!$E$76)/(inputs!$E$31)^inputs!E117</v>
      </c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</row>
    <row r="410" spans="1:110" s="16" customFormat="1" x14ac:dyDescent="0.3">
      <c r="A410" t="s">
        <v>32</v>
      </c>
      <c r="B410" t="s">
        <v>190</v>
      </c>
      <c r="C410" t="s">
        <v>575</v>
      </c>
      <c r="D410" s="10">
        <f>(D259*inputs!$E$76)/(inputs!$E$31)^inputs!E118</f>
        <v>0</v>
      </c>
      <c r="E410" t="str">
        <f t="shared" ca="1" si="7"/>
        <v>=(D259*inputs!$E$76)/(inputs!$E$31)^inputs!E118</v>
      </c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</row>
    <row r="411" spans="1:110" s="16" customFormat="1" x14ac:dyDescent="0.3">
      <c r="A411" t="s">
        <v>32</v>
      </c>
      <c r="B411" t="s">
        <v>190</v>
      </c>
      <c r="C411" t="s">
        <v>576</v>
      </c>
      <c r="D411" s="10">
        <f>(D260*inputs!$E$76)/(inputs!$E$31)^inputs!E119</f>
        <v>0</v>
      </c>
      <c r="E411" t="str">
        <f t="shared" ca="1" si="7"/>
        <v>=(D260*inputs!$E$76)/(inputs!$E$31)^inputs!E119</v>
      </c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</row>
    <row r="412" spans="1:110" s="16" customFormat="1" x14ac:dyDescent="0.3">
      <c r="A412" t="s">
        <v>32</v>
      </c>
      <c r="B412" t="s">
        <v>190</v>
      </c>
      <c r="C412" t="s">
        <v>577</v>
      </c>
      <c r="D412" s="10">
        <f>(D261*inputs!$E$76)/(inputs!$E$31)^inputs!E120</f>
        <v>0</v>
      </c>
      <c r="E412" t="str">
        <f t="shared" ca="1" si="7"/>
        <v>=(D261*inputs!$E$76)/(inputs!$E$31)^inputs!E120</v>
      </c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</row>
    <row r="413" spans="1:110" s="16" customFormat="1" x14ac:dyDescent="0.3">
      <c r="A413" t="s">
        <v>32</v>
      </c>
      <c r="B413" t="s">
        <v>190</v>
      </c>
      <c r="C413" t="s">
        <v>578</v>
      </c>
      <c r="D413" s="10">
        <f>(D262*inputs!$E$76)/(inputs!$E$31)^inputs!E121</f>
        <v>0</v>
      </c>
      <c r="E413" t="str">
        <f t="shared" ca="1" si="7"/>
        <v>=(D262*inputs!$E$76)/(inputs!$E$31)^inputs!E121</v>
      </c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</row>
    <row r="414" spans="1:110" s="16" customFormat="1" x14ac:dyDescent="0.3">
      <c r="A414" t="s">
        <v>32</v>
      </c>
      <c r="B414" t="s">
        <v>190</v>
      </c>
      <c r="C414" t="s">
        <v>579</v>
      </c>
      <c r="D414" s="10">
        <f>(D263*inputs!$E$76)/(inputs!$E$31)^inputs!E122</f>
        <v>0</v>
      </c>
      <c r="E414" t="str">
        <f t="shared" ca="1" si="7"/>
        <v>=(D263*inputs!$E$76)/(inputs!$E$31)^inputs!E122</v>
      </c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</row>
    <row r="415" spans="1:110" s="16" customFormat="1" x14ac:dyDescent="0.3">
      <c r="A415" t="s">
        <v>32</v>
      </c>
      <c r="B415" t="s">
        <v>190</v>
      </c>
      <c r="C415" t="s">
        <v>580</v>
      </c>
      <c r="D415" s="10">
        <f>(D264*inputs!$E$76)/(inputs!$E$31)^inputs!E123</f>
        <v>0</v>
      </c>
      <c r="E415" t="str">
        <f t="shared" ca="1" si="7"/>
        <v>=(D264*inputs!$E$76)/(inputs!$E$31)^inputs!E123</v>
      </c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</row>
    <row r="416" spans="1:110" s="16" customFormat="1" x14ac:dyDescent="0.3">
      <c r="A416" t="s">
        <v>32</v>
      </c>
      <c r="B416" t="s">
        <v>190</v>
      </c>
      <c r="C416" t="s">
        <v>581</v>
      </c>
      <c r="D416" s="10">
        <f>(D265*inputs!$E$76)/(inputs!$E$31)^inputs!E124</f>
        <v>0</v>
      </c>
      <c r="E416" t="str">
        <f t="shared" ca="1" si="7"/>
        <v>=(D265*inputs!$E$76)/(inputs!$E$31)^inputs!E124</v>
      </c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</row>
    <row r="417" spans="1:110" s="16" customFormat="1" x14ac:dyDescent="0.3">
      <c r="A417" t="s">
        <v>32</v>
      </c>
      <c r="B417" t="s">
        <v>190</v>
      </c>
      <c r="C417" t="s">
        <v>582</v>
      </c>
      <c r="D417" s="10">
        <f>(D266*inputs!$E$76)/(inputs!$E$31)^inputs!E125</f>
        <v>0</v>
      </c>
      <c r="E417" t="str">
        <f t="shared" ca="1" si="7"/>
        <v>=(D266*inputs!$E$76)/(inputs!$E$31)^inputs!E125</v>
      </c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</row>
    <row r="418" spans="1:110" s="16" customFormat="1" x14ac:dyDescent="0.3">
      <c r="A418" t="s">
        <v>32</v>
      </c>
      <c r="B418" t="s">
        <v>190</v>
      </c>
      <c r="C418" t="s">
        <v>583</v>
      </c>
      <c r="D418" s="10">
        <f>(D267*inputs!$E$76)/(inputs!$E$31)^inputs!E126</f>
        <v>0</v>
      </c>
      <c r="E418" t="str">
        <f t="shared" ca="1" si="7"/>
        <v>=(D267*inputs!$E$76)/(inputs!$E$31)^inputs!E126</v>
      </c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</row>
    <row r="419" spans="1:110" s="16" customFormat="1" x14ac:dyDescent="0.3">
      <c r="A419" t="s">
        <v>32</v>
      </c>
      <c r="B419" t="s">
        <v>190</v>
      </c>
      <c r="C419" t="s">
        <v>584</v>
      </c>
      <c r="D419" s="10">
        <f>(D268*inputs!$E$76)/(inputs!$E$31)^inputs!E127</f>
        <v>0</v>
      </c>
      <c r="E419" t="str">
        <f t="shared" ca="1" si="7"/>
        <v>=(D268*inputs!$E$76)/(inputs!$E$31)^inputs!E127</v>
      </c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</row>
    <row r="420" spans="1:110" s="16" customFormat="1" x14ac:dyDescent="0.3">
      <c r="A420" t="s">
        <v>32</v>
      </c>
      <c r="B420" t="s">
        <v>190</v>
      </c>
      <c r="C420" t="s">
        <v>585</v>
      </c>
      <c r="D420" s="10">
        <f>(D269*inputs!$E$76)/(inputs!$E$31)^inputs!E128</f>
        <v>0</v>
      </c>
      <c r="E420" t="str">
        <f t="shared" ca="1" si="7"/>
        <v>=(D269*inputs!$E$76)/(inputs!$E$31)^inputs!E128</v>
      </c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</row>
    <row r="421" spans="1:110" s="16" customFormat="1" x14ac:dyDescent="0.3">
      <c r="A421" t="s">
        <v>32</v>
      </c>
      <c r="B421" t="s">
        <v>190</v>
      </c>
      <c r="C421" t="s">
        <v>586</v>
      </c>
      <c r="D421" s="10">
        <f>(D270*inputs!$E$76)/(inputs!$E$31)^inputs!E129</f>
        <v>0</v>
      </c>
      <c r="E421" t="str">
        <f t="shared" ca="1" si="7"/>
        <v>=(D270*inputs!$E$76)/(inputs!$E$31)^inputs!E129</v>
      </c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</row>
    <row r="422" spans="1:110" s="16" customFormat="1" x14ac:dyDescent="0.3">
      <c r="A422" t="s">
        <v>32</v>
      </c>
      <c r="B422" t="s">
        <v>190</v>
      </c>
      <c r="C422" t="s">
        <v>587</v>
      </c>
      <c r="D422" s="10">
        <f>(D271*inputs!$E$76)/(inputs!$E$31)^inputs!E130</f>
        <v>0</v>
      </c>
      <c r="E422" t="str">
        <f t="shared" ca="1" si="7"/>
        <v>=(D271*inputs!$E$76)/(inputs!$E$31)^inputs!E130</v>
      </c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</row>
    <row r="423" spans="1:110" s="16" customFormat="1" x14ac:dyDescent="0.3">
      <c r="A423" t="s">
        <v>32</v>
      </c>
      <c r="B423" t="s">
        <v>190</v>
      </c>
      <c r="C423" t="s">
        <v>588</v>
      </c>
      <c r="D423" s="10">
        <f>(D272*inputs!$E$76)/(inputs!$E$31)^inputs!E131</f>
        <v>0</v>
      </c>
      <c r="E423" t="str">
        <f t="shared" ca="1" si="7"/>
        <v>=(D272*inputs!$E$76)/(inputs!$E$31)^inputs!E131</v>
      </c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</row>
    <row r="424" spans="1:110" s="16" customFormat="1" x14ac:dyDescent="0.3">
      <c r="A424" t="s">
        <v>32</v>
      </c>
      <c r="B424" t="s">
        <v>190</v>
      </c>
      <c r="C424" t="s">
        <v>589</v>
      </c>
      <c r="D424" s="10">
        <f>(D273*inputs!$E$76)/(inputs!$E$31)^inputs!E132</f>
        <v>0</v>
      </c>
      <c r="E424" t="str">
        <f t="shared" ca="1" si="7"/>
        <v>=(D273*inputs!$E$76)/(inputs!$E$31)^inputs!E132</v>
      </c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</row>
    <row r="425" spans="1:110" s="16" customFormat="1" x14ac:dyDescent="0.3">
      <c r="A425" t="s">
        <v>32</v>
      </c>
      <c r="B425" t="s">
        <v>190</v>
      </c>
      <c r="C425" t="s">
        <v>590</v>
      </c>
      <c r="D425" s="10">
        <f>(D274*inputs!$E$76)/(inputs!$E$31)^inputs!E133</f>
        <v>0</v>
      </c>
      <c r="E425" t="str">
        <f t="shared" ca="1" si="7"/>
        <v>=(D274*inputs!$E$76)/(inputs!$E$31)^inputs!E133</v>
      </c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</row>
    <row r="426" spans="1:110" s="16" customFormat="1" x14ac:dyDescent="0.3">
      <c r="A426" t="s">
        <v>32</v>
      </c>
      <c r="B426" t="s">
        <v>190</v>
      </c>
      <c r="C426" t="s">
        <v>591</v>
      </c>
      <c r="D426" s="10">
        <f>(D275*inputs!$E$76)/(inputs!$E$31)^inputs!E134</f>
        <v>0</v>
      </c>
      <c r="E426" t="str">
        <f t="shared" ca="1" si="7"/>
        <v>=(D275*inputs!$E$76)/(inputs!$E$31)^inputs!E134</v>
      </c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</row>
    <row r="427" spans="1:110" s="16" customFormat="1" x14ac:dyDescent="0.3">
      <c r="A427" t="s">
        <v>32</v>
      </c>
      <c r="B427" t="s">
        <v>190</v>
      </c>
      <c r="C427" t="s">
        <v>592</v>
      </c>
      <c r="D427" s="10">
        <f>(D276*inputs!$E$76)/(inputs!$E$31)^inputs!E135</f>
        <v>0</v>
      </c>
      <c r="E427" t="str">
        <f t="shared" ca="1" si="7"/>
        <v>=(D276*inputs!$E$76)/(inputs!$E$31)^inputs!E135</v>
      </c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</row>
    <row r="428" spans="1:110" s="16" customFormat="1" x14ac:dyDescent="0.3">
      <c r="A428" t="s">
        <v>32</v>
      </c>
      <c r="B428" t="s">
        <v>190</v>
      </c>
      <c r="C428" t="s">
        <v>593</v>
      </c>
      <c r="D428" s="10">
        <f>(D280*inputs!$E$77)/(inputs!$E$31)^inputs!E100</f>
        <v>0</v>
      </c>
      <c r="E428" t="str">
        <f ca="1">_xlfn.FORMULATEXT(D428)</f>
        <v>=(D280*inputs!$E$77)/(inputs!$E$31)^inputs!E100</v>
      </c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</row>
    <row r="429" spans="1:110" s="16" customFormat="1" x14ac:dyDescent="0.3">
      <c r="A429" t="s">
        <v>32</v>
      </c>
      <c r="B429" t="s">
        <v>190</v>
      </c>
      <c r="C429" t="s">
        <v>594</v>
      </c>
      <c r="D429" s="10">
        <f>(D281*inputs!$E$77)/(inputs!$E$31)^inputs!E101</f>
        <v>0</v>
      </c>
      <c r="E429" t="str">
        <f t="shared" ca="1" si="7"/>
        <v>=(D281*inputs!$E$77)/(inputs!$E$31)^inputs!E101</v>
      </c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</row>
    <row r="430" spans="1:110" s="16" customFormat="1" x14ac:dyDescent="0.3">
      <c r="A430" t="s">
        <v>32</v>
      </c>
      <c r="B430" t="s">
        <v>190</v>
      </c>
      <c r="C430" t="s">
        <v>595</v>
      </c>
      <c r="D430" s="10">
        <f>(D282*inputs!$E$77)/(inputs!$E$31)^inputs!E102</f>
        <v>0</v>
      </c>
      <c r="E430" t="str">
        <f t="shared" ca="1" si="7"/>
        <v>=(D282*inputs!$E$77)/(inputs!$E$31)^inputs!E102</v>
      </c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</row>
    <row r="431" spans="1:110" s="16" customFormat="1" x14ac:dyDescent="0.3">
      <c r="A431" t="s">
        <v>32</v>
      </c>
      <c r="B431" t="s">
        <v>190</v>
      </c>
      <c r="C431" t="s">
        <v>596</v>
      </c>
      <c r="D431" s="10">
        <f>(D283*inputs!$E$77)/(inputs!$E$31)^inputs!E103</f>
        <v>0</v>
      </c>
      <c r="E431" t="str">
        <f t="shared" ca="1" si="7"/>
        <v>=(D283*inputs!$E$77)/(inputs!$E$31)^inputs!E103</v>
      </c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</row>
    <row r="432" spans="1:110" s="16" customFormat="1" x14ac:dyDescent="0.3">
      <c r="A432" t="s">
        <v>32</v>
      </c>
      <c r="B432" t="s">
        <v>190</v>
      </c>
      <c r="C432" t="s">
        <v>597</v>
      </c>
      <c r="D432" s="10">
        <f>(D284*inputs!$E$77)/(inputs!$E$31)^inputs!E104</f>
        <v>0</v>
      </c>
      <c r="E432" t="str">
        <f t="shared" ca="1" si="7"/>
        <v>=(D284*inputs!$E$77)/(inputs!$E$31)^inputs!E104</v>
      </c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</row>
    <row r="433" spans="1:110" s="16" customFormat="1" x14ac:dyDescent="0.3">
      <c r="A433" t="s">
        <v>32</v>
      </c>
      <c r="B433" t="s">
        <v>190</v>
      </c>
      <c r="C433" t="s">
        <v>598</v>
      </c>
      <c r="D433" s="10">
        <f>(D285*inputs!$E$77)/(inputs!$E$31)^inputs!E105</f>
        <v>0</v>
      </c>
      <c r="E433" t="str">
        <f t="shared" ca="1" si="7"/>
        <v>=(D285*inputs!$E$77)/(inputs!$E$31)^inputs!E105</v>
      </c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</row>
    <row r="434" spans="1:110" s="16" customFormat="1" x14ac:dyDescent="0.3">
      <c r="A434" t="s">
        <v>32</v>
      </c>
      <c r="B434" t="s">
        <v>190</v>
      </c>
      <c r="C434" t="s">
        <v>599</v>
      </c>
      <c r="D434" s="10">
        <f>(D286*inputs!$E$77)/(inputs!$E$31)^inputs!E106</f>
        <v>0</v>
      </c>
      <c r="E434" t="str">
        <f t="shared" ca="1" si="7"/>
        <v>=(D286*inputs!$E$77)/(inputs!$E$31)^inputs!E106</v>
      </c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</row>
    <row r="435" spans="1:110" s="16" customFormat="1" x14ac:dyDescent="0.3">
      <c r="A435" t="s">
        <v>32</v>
      </c>
      <c r="B435" t="s">
        <v>190</v>
      </c>
      <c r="C435" t="s">
        <v>600</v>
      </c>
      <c r="D435" s="10">
        <f>(D287*inputs!$E$77)/(inputs!$E$31)^inputs!E107</f>
        <v>0</v>
      </c>
      <c r="E435" t="str">
        <f t="shared" ca="1" si="7"/>
        <v>=(D287*inputs!$E$77)/(inputs!$E$31)^inputs!E107</v>
      </c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</row>
    <row r="436" spans="1:110" s="16" customFormat="1" x14ac:dyDescent="0.3">
      <c r="A436" t="s">
        <v>32</v>
      </c>
      <c r="B436" t="s">
        <v>190</v>
      </c>
      <c r="C436" t="s">
        <v>601</v>
      </c>
      <c r="D436" s="10">
        <f>(D288*inputs!$E$77)/(inputs!$E$31)^inputs!E108</f>
        <v>0</v>
      </c>
      <c r="E436" t="str">
        <f t="shared" ca="1" si="7"/>
        <v>=(D288*inputs!$E$77)/(inputs!$E$31)^inputs!E108</v>
      </c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</row>
    <row r="437" spans="1:110" s="16" customFormat="1" x14ac:dyDescent="0.3">
      <c r="A437" t="s">
        <v>32</v>
      </c>
      <c r="B437" t="s">
        <v>190</v>
      </c>
      <c r="C437" t="s">
        <v>602</v>
      </c>
      <c r="D437" s="10">
        <f>(D289*inputs!$E$77)/(inputs!$E$31)^inputs!E109</f>
        <v>0</v>
      </c>
      <c r="E437" t="str">
        <f t="shared" ca="1" si="7"/>
        <v>=(D289*inputs!$E$77)/(inputs!$E$31)^inputs!E109</v>
      </c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</row>
    <row r="438" spans="1:110" s="16" customFormat="1" x14ac:dyDescent="0.3">
      <c r="A438" t="s">
        <v>32</v>
      </c>
      <c r="B438" t="s">
        <v>190</v>
      </c>
      <c r="C438" t="s">
        <v>603</v>
      </c>
      <c r="D438" s="10">
        <f>(D290*inputs!$E$77)/(inputs!$E$31)^inputs!E110</f>
        <v>0</v>
      </c>
      <c r="E438" t="str">
        <f t="shared" ca="1" si="7"/>
        <v>=(D290*inputs!$E$77)/(inputs!$E$31)^inputs!E110</v>
      </c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</row>
    <row r="439" spans="1:110" s="16" customFormat="1" x14ac:dyDescent="0.3">
      <c r="A439" t="s">
        <v>32</v>
      </c>
      <c r="B439" t="s">
        <v>190</v>
      </c>
      <c r="C439" t="s">
        <v>604</v>
      </c>
      <c r="D439" s="10">
        <f>(D291*inputs!$E$77)/(inputs!$E$31)^inputs!E111</f>
        <v>0</v>
      </c>
      <c r="E439" t="str">
        <f t="shared" ca="1" si="7"/>
        <v>=(D291*inputs!$E$77)/(inputs!$E$31)^inputs!E111</v>
      </c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</row>
    <row r="440" spans="1:110" s="16" customFormat="1" x14ac:dyDescent="0.3">
      <c r="A440" t="s">
        <v>32</v>
      </c>
      <c r="B440" t="s">
        <v>190</v>
      </c>
      <c r="C440" t="s">
        <v>605</v>
      </c>
      <c r="D440" s="10">
        <f>(D292*inputs!$E$77)/(inputs!$E$31)^inputs!E112</f>
        <v>0</v>
      </c>
      <c r="E440" t="str">
        <f t="shared" ca="1" si="7"/>
        <v>=(D292*inputs!$E$77)/(inputs!$E$31)^inputs!E112</v>
      </c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</row>
    <row r="441" spans="1:110" s="16" customFormat="1" x14ac:dyDescent="0.3">
      <c r="A441" t="s">
        <v>32</v>
      </c>
      <c r="B441" t="s">
        <v>190</v>
      </c>
      <c r="C441" t="s">
        <v>606</v>
      </c>
      <c r="D441" s="10">
        <f>(D293*inputs!$E$77)/(inputs!$E$31)^inputs!E113</f>
        <v>0</v>
      </c>
      <c r="E441" t="str">
        <f t="shared" ca="1" si="7"/>
        <v>=(D293*inputs!$E$77)/(inputs!$E$31)^inputs!E113</v>
      </c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</row>
    <row r="442" spans="1:110" s="16" customFormat="1" x14ac:dyDescent="0.3">
      <c r="A442" t="s">
        <v>32</v>
      </c>
      <c r="B442" t="s">
        <v>190</v>
      </c>
      <c r="C442" t="s">
        <v>607</v>
      </c>
      <c r="D442" s="10">
        <f>(D294*inputs!$E$77)/(inputs!$E$31)^inputs!E114</f>
        <v>0</v>
      </c>
      <c r="E442" t="str">
        <f t="shared" ca="1" si="7"/>
        <v>=(D294*inputs!$E$77)/(inputs!$E$31)^inputs!E114</v>
      </c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</row>
    <row r="443" spans="1:110" s="16" customFormat="1" x14ac:dyDescent="0.3">
      <c r="A443" t="s">
        <v>32</v>
      </c>
      <c r="B443" t="s">
        <v>190</v>
      </c>
      <c r="C443" t="s">
        <v>608</v>
      </c>
      <c r="D443" s="10">
        <f>(D295*inputs!$E$77)/(inputs!$E$31)^inputs!E115</f>
        <v>0</v>
      </c>
      <c r="E443" t="str">
        <f t="shared" ca="1" si="7"/>
        <v>=(D295*inputs!$E$77)/(inputs!$E$31)^inputs!E115</v>
      </c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</row>
    <row r="444" spans="1:110" s="16" customFormat="1" x14ac:dyDescent="0.3">
      <c r="A444" t="s">
        <v>32</v>
      </c>
      <c r="B444" t="s">
        <v>190</v>
      </c>
      <c r="C444" t="s">
        <v>609</v>
      </c>
      <c r="D444" s="10">
        <f>(D296*inputs!$E$77)/(inputs!$E$31)^inputs!E116</f>
        <v>0</v>
      </c>
      <c r="E444" t="str">
        <f t="shared" ca="1" si="7"/>
        <v>=(D296*inputs!$E$77)/(inputs!$E$31)^inputs!E116</v>
      </c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</row>
    <row r="445" spans="1:110" s="16" customFormat="1" x14ac:dyDescent="0.3">
      <c r="A445" t="s">
        <v>32</v>
      </c>
      <c r="B445" t="s">
        <v>190</v>
      </c>
      <c r="C445" t="s">
        <v>610</v>
      </c>
      <c r="D445" s="10">
        <f>(D297*inputs!$E$77)/(inputs!$E$31)^inputs!E117</f>
        <v>0</v>
      </c>
      <c r="E445" t="str">
        <f t="shared" ca="1" si="7"/>
        <v>=(D297*inputs!$E$77)/(inputs!$E$31)^inputs!E117</v>
      </c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</row>
    <row r="446" spans="1:110" s="16" customFormat="1" x14ac:dyDescent="0.3">
      <c r="A446" t="s">
        <v>32</v>
      </c>
      <c r="B446" t="s">
        <v>190</v>
      </c>
      <c r="C446" t="s">
        <v>611</v>
      </c>
      <c r="D446" s="10">
        <f>(D298*inputs!$E$77)/(inputs!$E$31)^inputs!E118</f>
        <v>0</v>
      </c>
      <c r="E446" t="str">
        <f t="shared" ca="1" si="7"/>
        <v>=(D298*inputs!$E$77)/(inputs!$E$31)^inputs!E118</v>
      </c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</row>
    <row r="447" spans="1:110" s="16" customFormat="1" x14ac:dyDescent="0.3">
      <c r="A447" t="s">
        <v>32</v>
      </c>
      <c r="B447" t="s">
        <v>190</v>
      </c>
      <c r="C447" t="s">
        <v>612</v>
      </c>
      <c r="D447" s="10">
        <f>(D299*inputs!$E$77)/(inputs!$E$31)^inputs!E119</f>
        <v>0</v>
      </c>
      <c r="E447" t="str">
        <f t="shared" ca="1" si="7"/>
        <v>=(D299*inputs!$E$77)/(inputs!$E$31)^inputs!E119</v>
      </c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</row>
    <row r="448" spans="1:110" s="16" customFormat="1" x14ac:dyDescent="0.3">
      <c r="A448" t="s">
        <v>32</v>
      </c>
      <c r="B448" t="s">
        <v>190</v>
      </c>
      <c r="C448" t="s">
        <v>613</v>
      </c>
      <c r="D448" s="10">
        <f>(D300*inputs!$E$77)/(inputs!$E$31)^inputs!E120</f>
        <v>0</v>
      </c>
      <c r="E448" t="str">
        <f t="shared" ca="1" si="7"/>
        <v>=(D300*inputs!$E$77)/(inputs!$E$31)^inputs!E120</v>
      </c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</row>
    <row r="449" spans="1:110" s="16" customFormat="1" x14ac:dyDescent="0.3">
      <c r="A449" t="s">
        <v>32</v>
      </c>
      <c r="B449" t="s">
        <v>190</v>
      </c>
      <c r="C449" t="s">
        <v>614</v>
      </c>
      <c r="D449" s="10">
        <f>(D301*inputs!$E$77)/(inputs!$E$31)^inputs!E121</f>
        <v>0</v>
      </c>
      <c r="E449" t="str">
        <f t="shared" ca="1" si="7"/>
        <v>=(D301*inputs!$E$77)/(inputs!$E$31)^inputs!E121</v>
      </c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</row>
    <row r="450" spans="1:110" s="16" customFormat="1" x14ac:dyDescent="0.3">
      <c r="A450" t="s">
        <v>32</v>
      </c>
      <c r="B450" t="s">
        <v>190</v>
      </c>
      <c r="C450" t="s">
        <v>615</v>
      </c>
      <c r="D450" s="10">
        <f>(D302*inputs!$E$77)/(inputs!$E$31)^inputs!E122</f>
        <v>0</v>
      </c>
      <c r="E450" t="str">
        <f t="shared" ca="1" si="7"/>
        <v>=(D302*inputs!$E$77)/(inputs!$E$31)^inputs!E122</v>
      </c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</row>
    <row r="451" spans="1:110" s="16" customFormat="1" x14ac:dyDescent="0.3">
      <c r="A451" t="s">
        <v>32</v>
      </c>
      <c r="B451" t="s">
        <v>190</v>
      </c>
      <c r="C451" t="s">
        <v>616</v>
      </c>
      <c r="D451" s="10">
        <f>(D303*inputs!$E$77)/(inputs!$E$31)^inputs!E123</f>
        <v>0</v>
      </c>
      <c r="E451" t="str">
        <f t="shared" ca="1" si="7"/>
        <v>=(D303*inputs!$E$77)/(inputs!$E$31)^inputs!E123</v>
      </c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</row>
    <row r="452" spans="1:110" s="16" customFormat="1" x14ac:dyDescent="0.3">
      <c r="A452" t="s">
        <v>32</v>
      </c>
      <c r="B452" t="s">
        <v>190</v>
      </c>
      <c r="C452" t="s">
        <v>617</v>
      </c>
      <c r="D452" s="10">
        <f>(D304*inputs!$E$77)/(inputs!$E$31)^inputs!E124</f>
        <v>0</v>
      </c>
      <c r="E452" t="str">
        <f t="shared" ca="1" si="7"/>
        <v>=(D304*inputs!$E$77)/(inputs!$E$31)^inputs!E124</v>
      </c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</row>
    <row r="453" spans="1:110" s="16" customFormat="1" x14ac:dyDescent="0.3">
      <c r="A453" t="s">
        <v>32</v>
      </c>
      <c r="B453" t="s">
        <v>190</v>
      </c>
      <c r="C453" t="s">
        <v>618</v>
      </c>
      <c r="D453" s="10">
        <f>(D305*inputs!$E$77)/(inputs!$E$31)^inputs!E125</f>
        <v>0</v>
      </c>
      <c r="E453" t="str">
        <f t="shared" ca="1" si="7"/>
        <v>=(D305*inputs!$E$77)/(inputs!$E$31)^inputs!E125</v>
      </c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</row>
    <row r="454" spans="1:110" s="16" customFormat="1" x14ac:dyDescent="0.3">
      <c r="A454" t="s">
        <v>32</v>
      </c>
      <c r="B454" t="s">
        <v>190</v>
      </c>
      <c r="C454" t="s">
        <v>619</v>
      </c>
      <c r="D454" s="10">
        <f>(D306*inputs!$E$77)/(inputs!$E$31)^inputs!E126</f>
        <v>0</v>
      </c>
      <c r="E454" t="str">
        <f t="shared" ca="1" si="7"/>
        <v>=(D306*inputs!$E$77)/(inputs!$E$31)^inputs!E126</v>
      </c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</row>
    <row r="455" spans="1:110" s="16" customFormat="1" x14ac:dyDescent="0.3">
      <c r="A455" t="s">
        <v>32</v>
      </c>
      <c r="B455" t="s">
        <v>190</v>
      </c>
      <c r="C455" t="s">
        <v>620</v>
      </c>
      <c r="D455" s="10">
        <f>(D307*inputs!$E$77)/(inputs!$E$31)^inputs!E127</f>
        <v>0</v>
      </c>
      <c r="E455" t="str">
        <f t="shared" ca="1" si="7"/>
        <v>=(D307*inputs!$E$77)/(inputs!$E$31)^inputs!E127</v>
      </c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</row>
    <row r="456" spans="1:110" s="16" customFormat="1" x14ac:dyDescent="0.3">
      <c r="A456" t="s">
        <v>32</v>
      </c>
      <c r="B456" t="s">
        <v>190</v>
      </c>
      <c r="C456" t="s">
        <v>621</v>
      </c>
      <c r="D456" s="10">
        <f>(D308*inputs!$E$77)/(inputs!$E$31)^inputs!E128</f>
        <v>0</v>
      </c>
      <c r="E456" t="str">
        <f t="shared" ca="1" si="7"/>
        <v>=(D308*inputs!$E$77)/(inputs!$E$31)^inputs!E128</v>
      </c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</row>
    <row r="457" spans="1:110" s="16" customFormat="1" x14ac:dyDescent="0.3">
      <c r="A457" t="s">
        <v>32</v>
      </c>
      <c r="B457" t="s">
        <v>190</v>
      </c>
      <c r="C457" t="s">
        <v>622</v>
      </c>
      <c r="D457" s="10">
        <f>(D309*inputs!$E$77)/(inputs!$E$31)^inputs!E129</f>
        <v>0</v>
      </c>
      <c r="E457" t="str">
        <f t="shared" ca="1" si="7"/>
        <v>=(D309*inputs!$E$77)/(inputs!$E$31)^inputs!E129</v>
      </c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</row>
    <row r="458" spans="1:110" s="16" customFormat="1" x14ac:dyDescent="0.3">
      <c r="A458" t="s">
        <v>32</v>
      </c>
      <c r="B458" t="s">
        <v>190</v>
      </c>
      <c r="C458" t="s">
        <v>623</v>
      </c>
      <c r="D458" s="10">
        <f>(D310*inputs!$E$77)/(inputs!$E$31)^inputs!E130</f>
        <v>0</v>
      </c>
      <c r="E458" t="str">
        <f t="shared" ca="1" si="7"/>
        <v>=(D310*inputs!$E$77)/(inputs!$E$31)^inputs!E130</v>
      </c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</row>
    <row r="459" spans="1:110" s="16" customFormat="1" x14ac:dyDescent="0.3">
      <c r="A459" t="s">
        <v>32</v>
      </c>
      <c r="B459" t="s">
        <v>190</v>
      </c>
      <c r="C459" t="s">
        <v>624</v>
      </c>
      <c r="D459" s="10">
        <f>(D311*inputs!$E$77)/(inputs!$E$31)^inputs!E131</f>
        <v>0</v>
      </c>
      <c r="E459" t="str">
        <f t="shared" ca="1" si="7"/>
        <v>=(D311*inputs!$E$77)/(inputs!$E$31)^inputs!E131</v>
      </c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</row>
    <row r="460" spans="1:110" s="16" customFormat="1" x14ac:dyDescent="0.3">
      <c r="A460" t="s">
        <v>32</v>
      </c>
      <c r="B460" t="s">
        <v>190</v>
      </c>
      <c r="C460" t="s">
        <v>625</v>
      </c>
      <c r="D460" s="10">
        <f>(D312*inputs!$E$77)/(inputs!$E$31)^inputs!E132</f>
        <v>0</v>
      </c>
      <c r="E460" t="str">
        <f t="shared" ca="1" si="7"/>
        <v>=(D312*inputs!$E$77)/(inputs!$E$31)^inputs!E132</v>
      </c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</row>
    <row r="461" spans="1:110" s="16" customFormat="1" x14ac:dyDescent="0.3">
      <c r="A461" t="s">
        <v>32</v>
      </c>
      <c r="B461" t="s">
        <v>190</v>
      </c>
      <c r="C461" t="s">
        <v>626</v>
      </c>
      <c r="D461" s="10">
        <f>(D313*inputs!$E$77)/(inputs!$E$31)^inputs!E133</f>
        <v>0</v>
      </c>
      <c r="E461" t="str">
        <f t="shared" ca="1" si="7"/>
        <v>=(D313*inputs!$E$77)/(inputs!$E$31)^inputs!E133</v>
      </c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</row>
    <row r="462" spans="1:110" s="16" customFormat="1" x14ac:dyDescent="0.3">
      <c r="A462" t="s">
        <v>32</v>
      </c>
      <c r="B462" t="s">
        <v>190</v>
      </c>
      <c r="C462" t="s">
        <v>627</v>
      </c>
      <c r="D462" s="10">
        <f>(D314*inputs!$E$77)/(inputs!$E$31)^inputs!E134</f>
        <v>0</v>
      </c>
      <c r="E462" t="str">
        <f t="shared" ca="1" si="7"/>
        <v>=(D314*inputs!$E$77)/(inputs!$E$31)^inputs!E134</v>
      </c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</row>
    <row r="463" spans="1:110" s="16" customFormat="1" x14ac:dyDescent="0.3">
      <c r="A463" t="s">
        <v>32</v>
      </c>
      <c r="B463" t="s">
        <v>190</v>
      </c>
      <c r="C463" t="s">
        <v>628</v>
      </c>
      <c r="D463" s="10">
        <f>(D315*inputs!$E$77)/(inputs!$E$31)^inputs!E135</f>
        <v>0</v>
      </c>
      <c r="E463" t="str">
        <f t="shared" ca="1" si="7"/>
        <v>=(D315*inputs!$E$77)/(inputs!$E$31)^inputs!E135</v>
      </c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</row>
    <row r="464" spans="1:110" s="16" customFormat="1" x14ac:dyDescent="0.3">
      <c r="A464" t="s">
        <v>32</v>
      </c>
      <c r="B464" t="s">
        <v>190</v>
      </c>
      <c r="C464" t="s">
        <v>630</v>
      </c>
      <c r="D464" s="10">
        <f>(D319*inputs!$E$78)/(inputs!$E$31)^inputs!E100</f>
        <v>0</v>
      </c>
      <c r="E464" t="str">
        <f t="shared" ca="1" si="7"/>
        <v>=(D319*inputs!$E$78)/(inputs!$E$31)^inputs!E100</v>
      </c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</row>
    <row r="465" spans="1:110" s="16" customFormat="1" x14ac:dyDescent="0.3">
      <c r="A465" t="s">
        <v>32</v>
      </c>
      <c r="B465" t="s">
        <v>190</v>
      </c>
      <c r="C465" t="s">
        <v>631</v>
      </c>
      <c r="D465" s="10">
        <f>(D320*inputs!$E$78)/(inputs!$E$31)^inputs!E101</f>
        <v>0</v>
      </c>
      <c r="E465" t="str">
        <f t="shared" ca="1" si="7"/>
        <v>=(D320*inputs!$E$78)/(inputs!$E$31)^inputs!E101</v>
      </c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</row>
    <row r="466" spans="1:110" s="16" customFormat="1" x14ac:dyDescent="0.3">
      <c r="A466" t="s">
        <v>32</v>
      </c>
      <c r="B466" t="s">
        <v>190</v>
      </c>
      <c r="C466" t="s">
        <v>632</v>
      </c>
      <c r="D466" s="10">
        <f>(D321*inputs!$E$78)/(inputs!$E$31)^inputs!E102</f>
        <v>0</v>
      </c>
      <c r="E466" t="str">
        <f t="shared" ca="1" si="7"/>
        <v>=(D321*inputs!$E$78)/(inputs!$E$31)^inputs!E102</v>
      </c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</row>
    <row r="467" spans="1:110" s="16" customFormat="1" x14ac:dyDescent="0.3">
      <c r="A467" t="s">
        <v>32</v>
      </c>
      <c r="B467" t="s">
        <v>190</v>
      </c>
      <c r="C467" t="s">
        <v>633</v>
      </c>
      <c r="D467" s="10">
        <f>(D322*inputs!$E$78)/(inputs!$E$31)^inputs!E103</f>
        <v>0</v>
      </c>
      <c r="E467" t="str">
        <f t="shared" ca="1" si="7"/>
        <v>=(D322*inputs!$E$78)/(inputs!$E$31)^inputs!E103</v>
      </c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</row>
    <row r="468" spans="1:110" s="16" customFormat="1" x14ac:dyDescent="0.3">
      <c r="A468" t="s">
        <v>32</v>
      </c>
      <c r="B468" t="s">
        <v>190</v>
      </c>
      <c r="C468" t="s">
        <v>634</v>
      </c>
      <c r="D468" s="10">
        <f>(D323*inputs!$E$78)/(inputs!$E$31)^inputs!E104</f>
        <v>0</v>
      </c>
      <c r="E468" t="str">
        <f t="shared" ca="1" si="7"/>
        <v>=(D323*inputs!$E$78)/(inputs!$E$31)^inputs!E104</v>
      </c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</row>
    <row r="469" spans="1:110" s="16" customFormat="1" x14ac:dyDescent="0.3">
      <c r="A469" t="s">
        <v>32</v>
      </c>
      <c r="B469" t="s">
        <v>190</v>
      </c>
      <c r="C469" t="s">
        <v>635</v>
      </c>
      <c r="D469" s="10">
        <f>(D324*inputs!$E$78)/(inputs!$E$31)^inputs!E105</f>
        <v>0</v>
      </c>
      <c r="E469" t="str">
        <f t="shared" ca="1" si="7"/>
        <v>=(D324*inputs!$E$78)/(inputs!$E$31)^inputs!E105</v>
      </c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</row>
    <row r="470" spans="1:110" s="16" customFormat="1" x14ac:dyDescent="0.3">
      <c r="A470" t="s">
        <v>32</v>
      </c>
      <c r="B470" t="s">
        <v>190</v>
      </c>
      <c r="C470" t="s">
        <v>636</v>
      </c>
      <c r="D470" s="10">
        <f>(D325*inputs!$E$78)/(inputs!$E$31)^inputs!E106</f>
        <v>0</v>
      </c>
      <c r="E470" t="str">
        <f t="shared" ca="1" si="7"/>
        <v>=(D325*inputs!$E$78)/(inputs!$E$31)^inputs!E106</v>
      </c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</row>
    <row r="471" spans="1:110" s="16" customFormat="1" x14ac:dyDescent="0.3">
      <c r="A471" t="s">
        <v>32</v>
      </c>
      <c r="B471" t="s">
        <v>190</v>
      </c>
      <c r="C471" t="s">
        <v>637</v>
      </c>
      <c r="D471" s="10">
        <f>(D326*inputs!$E$78)/(inputs!$E$31)^inputs!E107</f>
        <v>0</v>
      </c>
      <c r="E471" t="str">
        <f t="shared" ca="1" si="7"/>
        <v>=(D326*inputs!$E$78)/(inputs!$E$31)^inputs!E107</v>
      </c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</row>
    <row r="472" spans="1:110" s="16" customFormat="1" x14ac:dyDescent="0.3">
      <c r="A472" t="s">
        <v>32</v>
      </c>
      <c r="B472" t="s">
        <v>190</v>
      </c>
      <c r="C472" t="s">
        <v>638</v>
      </c>
      <c r="D472" s="10">
        <f>(D327*inputs!$E$78)/(inputs!$E$31)^inputs!E108</f>
        <v>0</v>
      </c>
      <c r="E472" t="str">
        <f t="shared" ref="E472:E535" ca="1" si="8">_xlfn.FORMULATEXT(D472)</f>
        <v>=(D327*inputs!$E$78)/(inputs!$E$31)^inputs!E108</v>
      </c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</row>
    <row r="473" spans="1:110" s="16" customFormat="1" x14ac:dyDescent="0.3">
      <c r="A473" t="s">
        <v>32</v>
      </c>
      <c r="B473" t="s">
        <v>190</v>
      </c>
      <c r="C473" t="s">
        <v>639</v>
      </c>
      <c r="D473" s="10">
        <f>(D328*inputs!$E$78)/(inputs!$E$31)^inputs!E109</f>
        <v>0</v>
      </c>
      <c r="E473" t="str">
        <f t="shared" ca="1" si="8"/>
        <v>=(D328*inputs!$E$78)/(inputs!$E$31)^inputs!E109</v>
      </c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</row>
    <row r="474" spans="1:110" s="16" customFormat="1" x14ac:dyDescent="0.3">
      <c r="A474" t="s">
        <v>32</v>
      </c>
      <c r="B474" t="s">
        <v>190</v>
      </c>
      <c r="C474" t="s">
        <v>640</v>
      </c>
      <c r="D474" s="10">
        <f>(D329*inputs!$E$78)/(inputs!$E$31)^inputs!E110</f>
        <v>0</v>
      </c>
      <c r="E474" t="str">
        <f t="shared" ca="1" si="8"/>
        <v>=(D329*inputs!$E$78)/(inputs!$E$31)^inputs!E110</v>
      </c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</row>
    <row r="475" spans="1:110" s="16" customFormat="1" x14ac:dyDescent="0.3">
      <c r="A475" t="s">
        <v>32</v>
      </c>
      <c r="B475" t="s">
        <v>190</v>
      </c>
      <c r="C475" t="s">
        <v>641</v>
      </c>
      <c r="D475" s="10">
        <f>(D330*inputs!$E$78)/(inputs!$E$31)^inputs!E111</f>
        <v>0</v>
      </c>
      <c r="E475" t="str">
        <f t="shared" ca="1" si="8"/>
        <v>=(D330*inputs!$E$78)/(inputs!$E$31)^inputs!E111</v>
      </c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</row>
    <row r="476" spans="1:110" s="16" customFormat="1" x14ac:dyDescent="0.3">
      <c r="A476" t="s">
        <v>32</v>
      </c>
      <c r="B476" t="s">
        <v>190</v>
      </c>
      <c r="C476" t="s">
        <v>642</v>
      </c>
      <c r="D476" s="10">
        <f>(D331*inputs!$E$78)/(inputs!$E$31)^inputs!E112</f>
        <v>0</v>
      </c>
      <c r="E476" t="str">
        <f t="shared" ca="1" si="8"/>
        <v>=(D331*inputs!$E$78)/(inputs!$E$31)^inputs!E112</v>
      </c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</row>
    <row r="477" spans="1:110" s="16" customFormat="1" x14ac:dyDescent="0.3">
      <c r="A477" t="s">
        <v>32</v>
      </c>
      <c r="B477" t="s">
        <v>190</v>
      </c>
      <c r="C477" t="s">
        <v>643</v>
      </c>
      <c r="D477" s="10">
        <f>(D332*inputs!$E$78)/(inputs!$E$31)^inputs!E113</f>
        <v>0</v>
      </c>
      <c r="E477" t="str">
        <f t="shared" ca="1" si="8"/>
        <v>=(D332*inputs!$E$78)/(inputs!$E$31)^inputs!E113</v>
      </c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</row>
    <row r="478" spans="1:110" s="16" customFormat="1" x14ac:dyDescent="0.3">
      <c r="A478" t="s">
        <v>32</v>
      </c>
      <c r="B478" t="s">
        <v>190</v>
      </c>
      <c r="C478" t="s">
        <v>644</v>
      </c>
      <c r="D478" s="10">
        <f>(D333*inputs!$E$78)/(inputs!$E$31)^inputs!E114</f>
        <v>0</v>
      </c>
      <c r="E478" t="str">
        <f t="shared" ca="1" si="8"/>
        <v>=(D333*inputs!$E$78)/(inputs!$E$31)^inputs!E114</v>
      </c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</row>
    <row r="479" spans="1:110" s="16" customFormat="1" x14ac:dyDescent="0.3">
      <c r="A479" t="s">
        <v>32</v>
      </c>
      <c r="B479" t="s">
        <v>190</v>
      </c>
      <c r="C479" t="s">
        <v>645</v>
      </c>
      <c r="D479" s="10">
        <f>(D334*inputs!$E$78)/(inputs!$E$31)^inputs!E115</f>
        <v>0</v>
      </c>
      <c r="E479" t="str">
        <f t="shared" ca="1" si="8"/>
        <v>=(D334*inputs!$E$78)/(inputs!$E$31)^inputs!E115</v>
      </c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</row>
    <row r="480" spans="1:110" s="16" customFormat="1" x14ac:dyDescent="0.3">
      <c r="A480" t="s">
        <v>32</v>
      </c>
      <c r="B480" t="s">
        <v>190</v>
      </c>
      <c r="C480" t="s">
        <v>646</v>
      </c>
      <c r="D480" s="10">
        <f>(D335*inputs!$E$78)/(inputs!$E$31)^inputs!E116</f>
        <v>0</v>
      </c>
      <c r="E480" t="str">
        <f t="shared" ca="1" si="8"/>
        <v>=(D335*inputs!$E$78)/(inputs!$E$31)^inputs!E116</v>
      </c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</row>
    <row r="481" spans="1:110" s="16" customFormat="1" x14ac:dyDescent="0.3">
      <c r="A481" t="s">
        <v>32</v>
      </c>
      <c r="B481" t="s">
        <v>190</v>
      </c>
      <c r="C481" t="s">
        <v>647</v>
      </c>
      <c r="D481" s="10">
        <f>(D336*inputs!$E$78)/(inputs!$E$31)^inputs!E117</f>
        <v>0</v>
      </c>
      <c r="E481" t="str">
        <f t="shared" ca="1" si="8"/>
        <v>=(D336*inputs!$E$78)/(inputs!$E$31)^inputs!E117</v>
      </c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</row>
    <row r="482" spans="1:110" s="16" customFormat="1" x14ac:dyDescent="0.3">
      <c r="A482" t="s">
        <v>32</v>
      </c>
      <c r="B482" t="s">
        <v>190</v>
      </c>
      <c r="C482" t="s">
        <v>648</v>
      </c>
      <c r="D482" s="10">
        <f>(D337*inputs!$E$78)/(inputs!$E$31)^inputs!E118</f>
        <v>0</v>
      </c>
      <c r="E482" t="str">
        <f t="shared" ca="1" si="8"/>
        <v>=(D337*inputs!$E$78)/(inputs!$E$31)^inputs!E118</v>
      </c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</row>
    <row r="483" spans="1:110" s="16" customFormat="1" x14ac:dyDescent="0.3">
      <c r="A483" t="s">
        <v>32</v>
      </c>
      <c r="B483" t="s">
        <v>190</v>
      </c>
      <c r="C483" t="s">
        <v>649</v>
      </c>
      <c r="D483" s="10">
        <f>(D338*inputs!$E$78)/(inputs!$E$31)^inputs!E119</f>
        <v>0</v>
      </c>
      <c r="E483" t="str">
        <f t="shared" ca="1" si="8"/>
        <v>=(D338*inputs!$E$78)/(inputs!$E$31)^inputs!E119</v>
      </c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</row>
    <row r="484" spans="1:110" s="16" customFormat="1" x14ac:dyDescent="0.3">
      <c r="A484" t="s">
        <v>32</v>
      </c>
      <c r="B484" t="s">
        <v>190</v>
      </c>
      <c r="C484" t="s">
        <v>650</v>
      </c>
      <c r="D484" s="10">
        <f>(D339*inputs!$E$78)/(inputs!$E$31)^inputs!E120</f>
        <v>0</v>
      </c>
      <c r="E484" t="str">
        <f t="shared" ca="1" si="8"/>
        <v>=(D339*inputs!$E$78)/(inputs!$E$31)^inputs!E120</v>
      </c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</row>
    <row r="485" spans="1:110" s="16" customFormat="1" x14ac:dyDescent="0.3">
      <c r="A485" t="s">
        <v>32</v>
      </c>
      <c r="B485" t="s">
        <v>190</v>
      </c>
      <c r="C485" t="s">
        <v>651</v>
      </c>
      <c r="D485" s="10">
        <f>(D340*inputs!$E$78)/(inputs!$E$31)^inputs!E121</f>
        <v>0</v>
      </c>
      <c r="E485" t="str">
        <f t="shared" ca="1" si="8"/>
        <v>=(D340*inputs!$E$78)/(inputs!$E$31)^inputs!E121</v>
      </c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</row>
    <row r="486" spans="1:110" s="16" customFormat="1" x14ac:dyDescent="0.3">
      <c r="A486" t="s">
        <v>32</v>
      </c>
      <c r="B486" t="s">
        <v>190</v>
      </c>
      <c r="C486" t="s">
        <v>652</v>
      </c>
      <c r="D486" s="10">
        <f>(D341*inputs!$E$78)/(inputs!$E$31)^inputs!E122</f>
        <v>0</v>
      </c>
      <c r="E486" t="str">
        <f t="shared" ca="1" si="8"/>
        <v>=(D341*inputs!$E$78)/(inputs!$E$31)^inputs!E122</v>
      </c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</row>
    <row r="487" spans="1:110" s="16" customFormat="1" x14ac:dyDescent="0.3">
      <c r="A487" t="s">
        <v>32</v>
      </c>
      <c r="B487" t="s">
        <v>190</v>
      </c>
      <c r="C487" t="s">
        <v>653</v>
      </c>
      <c r="D487" s="10">
        <f>(D342*inputs!$E$78)/(inputs!$E$31)^inputs!E123</f>
        <v>0</v>
      </c>
      <c r="E487" t="str">
        <f t="shared" ca="1" si="8"/>
        <v>=(D342*inputs!$E$78)/(inputs!$E$31)^inputs!E123</v>
      </c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</row>
    <row r="488" spans="1:110" s="16" customFormat="1" x14ac:dyDescent="0.3">
      <c r="A488" t="s">
        <v>32</v>
      </c>
      <c r="B488" t="s">
        <v>190</v>
      </c>
      <c r="C488" t="s">
        <v>654</v>
      </c>
      <c r="D488" s="10">
        <f>(D343*inputs!$E$78)/(inputs!$E$31)^inputs!E124</f>
        <v>0</v>
      </c>
      <c r="E488" t="str">
        <f t="shared" ca="1" si="8"/>
        <v>=(D343*inputs!$E$78)/(inputs!$E$31)^inputs!E124</v>
      </c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</row>
    <row r="489" spans="1:110" s="16" customFormat="1" x14ac:dyDescent="0.3">
      <c r="A489" t="s">
        <v>32</v>
      </c>
      <c r="B489" t="s">
        <v>190</v>
      </c>
      <c r="C489" t="s">
        <v>655</v>
      </c>
      <c r="D489" s="10">
        <f>(D344*inputs!$E$78)/(inputs!$E$31)^inputs!E125</f>
        <v>0</v>
      </c>
      <c r="E489" t="str">
        <f t="shared" ca="1" si="8"/>
        <v>=(D344*inputs!$E$78)/(inputs!$E$31)^inputs!E125</v>
      </c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</row>
    <row r="490" spans="1:110" s="16" customFormat="1" x14ac:dyDescent="0.3">
      <c r="A490" t="s">
        <v>32</v>
      </c>
      <c r="B490" t="s">
        <v>190</v>
      </c>
      <c r="C490" t="s">
        <v>656</v>
      </c>
      <c r="D490" s="10">
        <f>(D345*inputs!$E$78)/(inputs!$E$31)^inputs!E126</f>
        <v>0</v>
      </c>
      <c r="E490" t="str">
        <f t="shared" ca="1" si="8"/>
        <v>=(D345*inputs!$E$78)/(inputs!$E$31)^inputs!E126</v>
      </c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</row>
    <row r="491" spans="1:110" s="16" customFormat="1" x14ac:dyDescent="0.3">
      <c r="A491" t="s">
        <v>32</v>
      </c>
      <c r="B491" t="s">
        <v>190</v>
      </c>
      <c r="C491" t="s">
        <v>657</v>
      </c>
      <c r="D491" s="10">
        <f>(D346*inputs!$E$78)/(inputs!$E$31)^inputs!E127</f>
        <v>0</v>
      </c>
      <c r="E491" t="str">
        <f t="shared" ca="1" si="8"/>
        <v>=(D346*inputs!$E$78)/(inputs!$E$31)^inputs!E127</v>
      </c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</row>
    <row r="492" spans="1:110" s="16" customFormat="1" x14ac:dyDescent="0.3">
      <c r="A492" t="s">
        <v>32</v>
      </c>
      <c r="B492" t="s">
        <v>190</v>
      </c>
      <c r="C492" t="s">
        <v>658</v>
      </c>
      <c r="D492" s="10">
        <f>(D347*inputs!$E$78)/(inputs!$E$31)^inputs!E128</f>
        <v>0</v>
      </c>
      <c r="E492" t="str">
        <f t="shared" ca="1" si="8"/>
        <v>=(D347*inputs!$E$78)/(inputs!$E$31)^inputs!E128</v>
      </c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</row>
    <row r="493" spans="1:110" s="16" customFormat="1" x14ac:dyDescent="0.3">
      <c r="A493" t="s">
        <v>32</v>
      </c>
      <c r="B493" t="s">
        <v>190</v>
      </c>
      <c r="C493" t="s">
        <v>659</v>
      </c>
      <c r="D493" s="10">
        <f>(D348*inputs!$E$78)/(inputs!$E$31)^inputs!E129</f>
        <v>0</v>
      </c>
      <c r="E493" t="str">
        <f t="shared" ca="1" si="8"/>
        <v>=(D348*inputs!$E$78)/(inputs!$E$31)^inputs!E129</v>
      </c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</row>
    <row r="494" spans="1:110" s="16" customFormat="1" x14ac:dyDescent="0.3">
      <c r="A494" t="s">
        <v>32</v>
      </c>
      <c r="B494" t="s">
        <v>190</v>
      </c>
      <c r="C494" t="s">
        <v>660</v>
      </c>
      <c r="D494" s="10">
        <f>(D349*inputs!$E$78)/(inputs!$E$31)^inputs!E130</f>
        <v>0</v>
      </c>
      <c r="E494" t="str">
        <f t="shared" ca="1" si="8"/>
        <v>=(D349*inputs!$E$78)/(inputs!$E$31)^inputs!E130</v>
      </c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</row>
    <row r="495" spans="1:110" s="16" customFormat="1" x14ac:dyDescent="0.3">
      <c r="A495" t="s">
        <v>32</v>
      </c>
      <c r="B495" t="s">
        <v>190</v>
      </c>
      <c r="C495" t="s">
        <v>661</v>
      </c>
      <c r="D495" s="10">
        <f>(D350*inputs!$E$78)/(inputs!$E$31)^inputs!E131</f>
        <v>0</v>
      </c>
      <c r="E495" t="str">
        <f t="shared" ca="1" si="8"/>
        <v>=(D350*inputs!$E$78)/(inputs!$E$31)^inputs!E131</v>
      </c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</row>
    <row r="496" spans="1:110" s="16" customFormat="1" x14ac:dyDescent="0.3">
      <c r="A496" t="s">
        <v>32</v>
      </c>
      <c r="B496" t="s">
        <v>190</v>
      </c>
      <c r="C496" t="s">
        <v>662</v>
      </c>
      <c r="D496" s="10">
        <f>(D351*inputs!$E$78)/(inputs!$E$31)^inputs!E132</f>
        <v>0</v>
      </c>
      <c r="E496" t="str">
        <f t="shared" ca="1" si="8"/>
        <v>=(D351*inputs!$E$78)/(inputs!$E$31)^inputs!E132</v>
      </c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</row>
    <row r="497" spans="1:110" s="16" customFormat="1" x14ac:dyDescent="0.3">
      <c r="A497" t="s">
        <v>32</v>
      </c>
      <c r="B497" t="s">
        <v>190</v>
      </c>
      <c r="C497" t="s">
        <v>663</v>
      </c>
      <c r="D497" s="10">
        <f>(D352*inputs!$E$78)/(inputs!$E$31)^inputs!E133</f>
        <v>0</v>
      </c>
      <c r="E497" t="str">
        <f t="shared" ca="1" si="8"/>
        <v>=(D352*inputs!$E$78)/(inputs!$E$31)^inputs!E133</v>
      </c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</row>
    <row r="498" spans="1:110" s="16" customFormat="1" x14ac:dyDescent="0.3">
      <c r="A498" t="s">
        <v>32</v>
      </c>
      <c r="B498" t="s">
        <v>190</v>
      </c>
      <c r="C498" t="s">
        <v>664</v>
      </c>
      <c r="D498" s="10">
        <f>(D353*inputs!$E$78)/(inputs!$E$31)^inputs!E134</f>
        <v>0</v>
      </c>
      <c r="E498" t="str">
        <f t="shared" ca="1" si="8"/>
        <v>=(D353*inputs!$E$78)/(inputs!$E$31)^inputs!E134</v>
      </c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</row>
    <row r="499" spans="1:110" s="16" customFormat="1" x14ac:dyDescent="0.3">
      <c r="A499" t="s">
        <v>32</v>
      </c>
      <c r="B499" t="s">
        <v>190</v>
      </c>
      <c r="C499" t="s">
        <v>629</v>
      </c>
      <c r="D499" s="10">
        <f>(D354*inputs!$E$78)/(inputs!$E$31)^inputs!E135</f>
        <v>0</v>
      </c>
      <c r="E499" t="str">
        <f t="shared" ca="1" si="8"/>
        <v>=(D354*inputs!$E$78)/(inputs!$E$31)^inputs!E135</v>
      </c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</row>
    <row r="500" spans="1:110" s="14" customFormat="1" x14ac:dyDescent="0.3">
      <c r="A500" t="s">
        <v>32</v>
      </c>
      <c r="B500" t="s">
        <v>84</v>
      </c>
      <c r="C500" t="s">
        <v>769</v>
      </c>
      <c r="D500" s="10">
        <f>D355*(inputs!$E$26*inputs!E27)</f>
        <v>520771349.68815088</v>
      </c>
      <c r="E500" t="str">
        <f t="shared" ca="1" si="8"/>
        <v>=D355*(inputs!$E$26*inputs!E27)</v>
      </c>
      <c r="F500" t="s">
        <v>821</v>
      </c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</row>
    <row r="501" spans="1:110" x14ac:dyDescent="0.3">
      <c r="A501" t="s">
        <v>32</v>
      </c>
      <c r="B501" t="s">
        <v>84</v>
      </c>
      <c r="C501" t="s">
        <v>840</v>
      </c>
      <c r="D501" s="10">
        <f>D356*(inputs!$E$26*inputs!$E$27)</f>
        <v>6426822.6883737277</v>
      </c>
      <c r="E501" t="str">
        <f t="shared" ca="1" si="8"/>
        <v>=D356*(inputs!$E$26*inputs!$E$27)</v>
      </c>
    </row>
    <row r="502" spans="1:110" x14ac:dyDescent="0.3">
      <c r="A502" t="s">
        <v>32</v>
      </c>
      <c r="B502" t="s">
        <v>84</v>
      </c>
      <c r="C502" t="s">
        <v>841</v>
      </c>
      <c r="D502" s="10">
        <f>D357*(inputs!$E$26*inputs!$E$27)</f>
        <v>6237761.7879293365</v>
      </c>
      <c r="E502" t="str">
        <f t="shared" ca="1" si="8"/>
        <v>=D357*(inputs!$E$26*inputs!$E$27)</v>
      </c>
    </row>
    <row r="503" spans="1:110" x14ac:dyDescent="0.3">
      <c r="A503" t="s">
        <v>32</v>
      </c>
      <c r="B503" t="s">
        <v>84</v>
      </c>
      <c r="C503" t="s">
        <v>842</v>
      </c>
      <c r="D503" s="10">
        <f>D358*(inputs!$E$26*inputs!$E$27)</f>
        <v>6054262.5819349112</v>
      </c>
      <c r="E503" t="str">
        <f t="shared" ca="1" si="8"/>
        <v>=D358*(inputs!$E$26*inputs!$E$27)</v>
      </c>
    </row>
    <row r="504" spans="1:110" x14ac:dyDescent="0.3">
      <c r="A504" t="s">
        <v>32</v>
      </c>
      <c r="B504" t="s">
        <v>84</v>
      </c>
      <c r="C504" t="s">
        <v>843</v>
      </c>
      <c r="D504" s="10">
        <f>D359*(inputs!$E$26*inputs!$E$27)</f>
        <v>5876161.4593789615</v>
      </c>
      <c r="E504" t="str">
        <f t="shared" ca="1" si="8"/>
        <v>=D359*(inputs!$E$26*inputs!$E$27)</v>
      </c>
    </row>
    <row r="505" spans="1:110" x14ac:dyDescent="0.3">
      <c r="A505" t="s">
        <v>32</v>
      </c>
      <c r="B505" t="s">
        <v>84</v>
      </c>
      <c r="C505" t="s">
        <v>844</v>
      </c>
      <c r="D505" s="10">
        <f>D360*(inputs!$E$26*inputs!$E$27)</f>
        <v>5703299.6222729599</v>
      </c>
      <c r="E505" t="str">
        <f t="shared" ca="1" si="8"/>
        <v>=D360*(inputs!$E$26*inputs!$E$27)</v>
      </c>
    </row>
    <row r="506" spans="1:110" x14ac:dyDescent="0.3">
      <c r="A506" t="s">
        <v>32</v>
      </c>
      <c r="B506" t="s">
        <v>84</v>
      </c>
      <c r="C506" t="s">
        <v>845</v>
      </c>
      <c r="D506" s="10">
        <f>D361*(inputs!$E$26*inputs!$E$27)</f>
        <v>5535522.944064348</v>
      </c>
      <c r="E506" t="str">
        <f t="shared" ca="1" si="8"/>
        <v>=D361*(inputs!$E$26*inputs!$E$27)</v>
      </c>
    </row>
    <row r="507" spans="1:110" x14ac:dyDescent="0.3">
      <c r="A507" t="s">
        <v>32</v>
      </c>
      <c r="B507" t="s">
        <v>84</v>
      </c>
      <c r="C507" t="s">
        <v>846</v>
      </c>
      <c r="D507" s="10">
        <f>D362*(inputs!$E$26*inputs!$E$27)</f>
        <v>5372681.832214688</v>
      </c>
      <c r="E507" t="str">
        <f t="shared" ca="1" si="8"/>
        <v>=D362*(inputs!$E$26*inputs!$E$27)</v>
      </c>
    </row>
    <row r="508" spans="1:110" x14ac:dyDescent="0.3">
      <c r="A508" t="s">
        <v>32</v>
      </c>
      <c r="B508" t="s">
        <v>84</v>
      </c>
      <c r="C508" t="s">
        <v>847</v>
      </c>
      <c r="D508" s="10">
        <f>D363*(inputs!$E$26*inputs!$E$27)</f>
        <v>5214631.0948204119</v>
      </c>
      <c r="E508" t="str">
        <f t="shared" ca="1" si="8"/>
        <v>=D363*(inputs!$E$26*inputs!$E$27)</v>
      </c>
    </row>
    <row r="509" spans="1:110" x14ac:dyDescent="0.3">
      <c r="A509" t="s">
        <v>32</v>
      </c>
      <c r="B509" t="s">
        <v>84</v>
      </c>
      <c r="C509" t="s">
        <v>848</v>
      </c>
      <c r="D509" s="10">
        <f>D364*(inputs!$E$26*inputs!$E$27)</f>
        <v>5061229.8111572489</v>
      </c>
      <c r="E509" t="str">
        <f t="shared" ca="1" si="8"/>
        <v>=D364*(inputs!$E$26*inputs!$E$27)</v>
      </c>
    </row>
    <row r="510" spans="1:110" x14ac:dyDescent="0.3">
      <c r="A510" t="s">
        <v>32</v>
      </c>
      <c r="B510" t="s">
        <v>84</v>
      </c>
      <c r="C510" t="s">
        <v>849</v>
      </c>
      <c r="D510" s="10">
        <f>D365*(inputs!$E$26*inputs!$E$27)</f>
        <v>4912341.2060329132</v>
      </c>
      <c r="E510" t="str">
        <f t="shared" ca="1" si="8"/>
        <v>=D365*(inputs!$E$26*inputs!$E$27)</v>
      </c>
    </row>
    <row r="511" spans="1:110" x14ac:dyDescent="0.3">
      <c r="A511" t="s">
        <v>32</v>
      </c>
      <c r="B511" t="s">
        <v>84</v>
      </c>
      <c r="C511" t="s">
        <v>850</v>
      </c>
      <c r="D511" s="10">
        <f>D366*(inputs!$E$26*inputs!$E$27)</f>
        <v>4767832.5278360229</v>
      </c>
      <c r="E511" t="str">
        <f t="shared" ca="1" si="8"/>
        <v>=D366*(inputs!$E$26*inputs!$E$27)</v>
      </c>
    </row>
    <row r="512" spans="1:110" x14ac:dyDescent="0.3">
      <c r="A512" t="s">
        <v>32</v>
      </c>
      <c r="B512" t="s">
        <v>84</v>
      </c>
      <c r="C512" t="s">
        <v>851</v>
      </c>
      <c r="D512" s="10">
        <f>D367*(inputs!$E$26*inputs!$E$27)</f>
        <v>4627574.9301724993</v>
      </c>
      <c r="E512" t="str">
        <f t="shared" ca="1" si="8"/>
        <v>=D367*(inputs!$E$26*inputs!$E$27)</v>
      </c>
    </row>
    <row r="513" spans="1:5" x14ac:dyDescent="0.3">
      <c r="A513" t="s">
        <v>32</v>
      </c>
      <c r="B513" t="s">
        <v>84</v>
      </c>
      <c r="C513" t="s">
        <v>852</v>
      </c>
      <c r="D513" s="10">
        <f>D368*(inputs!$E$26*inputs!$E$27)</f>
        <v>4491443.3569839289</v>
      </c>
      <c r="E513" t="str">
        <f t="shared" ca="1" si="8"/>
        <v>=D368*(inputs!$E$26*inputs!$E$27)</v>
      </c>
    </row>
    <row r="514" spans="1:5" x14ac:dyDescent="0.3">
      <c r="A514" t="s">
        <v>32</v>
      </c>
      <c r="B514" t="s">
        <v>84</v>
      </c>
      <c r="C514" t="s">
        <v>853</v>
      </c>
      <c r="D514" s="10">
        <f>D369*(inputs!$E$26*inputs!$E$27)</f>
        <v>4359316.4310454689</v>
      </c>
      <c r="E514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3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3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3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3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3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3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3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3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3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3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3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3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3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3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3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3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3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3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3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3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3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3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3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3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3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3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3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3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3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3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3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3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3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3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3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3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3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3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3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3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3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3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3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3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3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3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3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3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3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3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3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3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3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3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3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3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3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3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3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3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3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3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3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3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3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3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3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3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3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3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3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3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3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3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3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3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3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3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3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3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3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3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3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3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3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3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3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3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3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3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3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3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3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3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3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3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3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3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3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3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3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3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3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3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3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3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3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3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11630386.618813667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11269054.219005864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10918947.680162964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10579718.237672465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10251027.962327302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9932549.4236918911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9623965.3639267031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9324968.3817464579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9035260.6261970531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8754553.4999462701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8482567.3717926014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8219031.2981058406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7963682.7529219706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7716267.3664234243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7476538.6715442492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7244257.8584477305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3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3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3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3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3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3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3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3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3">
      <c r="B13" t="s">
        <v>770</v>
      </c>
      <c r="C13" t="s">
        <v>759</v>
      </c>
      <c r="D13" t="s">
        <v>776</v>
      </c>
      <c r="E13" s="10"/>
    </row>
    <row r="14" spans="2:5" hidden="1" x14ac:dyDescent="0.3">
      <c r="B14" t="s">
        <v>770</v>
      </c>
      <c r="C14" t="s">
        <v>759</v>
      </c>
      <c r="D14" t="s">
        <v>777</v>
      </c>
      <c r="E14" s="10"/>
    </row>
    <row r="15" spans="2:5" hidden="1" x14ac:dyDescent="0.3">
      <c r="B15" t="s">
        <v>770</v>
      </c>
      <c r="C15" t="s">
        <v>759</v>
      </c>
      <c r="D15" t="s">
        <v>778</v>
      </c>
      <c r="E15" s="10"/>
    </row>
    <row r="16" spans="2:5" hidden="1" x14ac:dyDescent="0.3">
      <c r="B16" t="s">
        <v>770</v>
      </c>
      <c r="C16" t="s">
        <v>759</v>
      </c>
      <c r="D16" t="s">
        <v>779</v>
      </c>
      <c r="E16" s="10"/>
    </row>
    <row r="17" spans="2:7" hidden="1" x14ac:dyDescent="0.3">
      <c r="B17" t="s">
        <v>770</v>
      </c>
      <c r="C17" t="s">
        <v>759</v>
      </c>
      <c r="D17" t="s">
        <v>780</v>
      </c>
      <c r="E17" s="10"/>
    </row>
    <row r="18" spans="2:7" hidden="1" x14ac:dyDescent="0.3">
      <c r="B18" t="s">
        <v>770</v>
      </c>
      <c r="C18" t="s">
        <v>759</v>
      </c>
      <c r="D18" t="s">
        <v>781</v>
      </c>
      <c r="E18" s="10"/>
    </row>
    <row r="19" spans="2:7" hidden="1" x14ac:dyDescent="0.3">
      <c r="B19" t="s">
        <v>770</v>
      </c>
      <c r="C19" t="s">
        <v>759</v>
      </c>
      <c r="D19" t="s">
        <v>782</v>
      </c>
      <c r="E19" s="10"/>
    </row>
    <row r="20" spans="2:7" hidden="1" x14ac:dyDescent="0.3">
      <c r="B20" t="s">
        <v>770</v>
      </c>
      <c r="C20" t="s">
        <v>759</v>
      </c>
      <c r="D20" t="s">
        <v>783</v>
      </c>
      <c r="E20" s="10"/>
    </row>
    <row r="21" spans="2:7" hidden="1" x14ac:dyDescent="0.3">
      <c r="B21" t="s">
        <v>770</v>
      </c>
      <c r="C21" t="s">
        <v>759</v>
      </c>
      <c r="D21" t="s">
        <v>784</v>
      </c>
      <c r="E21" s="10"/>
    </row>
    <row r="22" spans="2:7" hidden="1" x14ac:dyDescent="0.3">
      <c r="B22" t="s">
        <v>770</v>
      </c>
      <c r="C22" t="s">
        <v>759</v>
      </c>
      <c r="D22" t="s">
        <v>785</v>
      </c>
      <c r="E22" s="10"/>
    </row>
    <row r="23" spans="2:7" hidden="1" x14ac:dyDescent="0.3">
      <c r="B23" t="s">
        <v>770</v>
      </c>
      <c r="C23" t="s">
        <v>759</v>
      </c>
      <c r="D23" t="s">
        <v>786</v>
      </c>
      <c r="E23" s="10"/>
    </row>
    <row r="24" spans="2:7" x14ac:dyDescent="0.3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3">
      <c r="B25" t="s">
        <v>771</v>
      </c>
      <c r="C25" t="s">
        <v>759</v>
      </c>
      <c r="D25" t="s">
        <v>788</v>
      </c>
      <c r="E25" s="10"/>
    </row>
    <row r="26" spans="2:7" hidden="1" x14ac:dyDescent="0.3">
      <c r="B26" t="s">
        <v>771</v>
      </c>
      <c r="C26" t="s">
        <v>759</v>
      </c>
      <c r="D26" t="s">
        <v>789</v>
      </c>
      <c r="E26" s="10"/>
    </row>
    <row r="27" spans="2:7" hidden="1" x14ac:dyDescent="0.3">
      <c r="B27" t="s">
        <v>771</v>
      </c>
      <c r="C27" t="s">
        <v>759</v>
      </c>
      <c r="D27" t="s">
        <v>790</v>
      </c>
      <c r="E27" s="10"/>
    </row>
    <row r="28" spans="2:7" hidden="1" x14ac:dyDescent="0.3">
      <c r="B28" t="s">
        <v>771</v>
      </c>
      <c r="C28" t="s">
        <v>759</v>
      </c>
      <c r="D28" t="s">
        <v>791</v>
      </c>
      <c r="E28" s="10"/>
    </row>
    <row r="29" spans="2:7" hidden="1" x14ac:dyDescent="0.3">
      <c r="B29" t="s">
        <v>771</v>
      </c>
      <c r="C29" t="s">
        <v>759</v>
      </c>
      <c r="D29" t="s">
        <v>792</v>
      </c>
      <c r="E29" s="10"/>
    </row>
    <row r="30" spans="2:7" hidden="1" x14ac:dyDescent="0.3">
      <c r="B30" t="s">
        <v>771</v>
      </c>
      <c r="C30" t="s">
        <v>759</v>
      </c>
      <c r="D30" t="s">
        <v>793</v>
      </c>
      <c r="E30" s="10"/>
    </row>
    <row r="31" spans="2:7" hidden="1" x14ac:dyDescent="0.3">
      <c r="B31" t="s">
        <v>771</v>
      </c>
      <c r="C31" t="s">
        <v>759</v>
      </c>
      <c r="D31" t="s">
        <v>794</v>
      </c>
      <c r="E31" s="10"/>
    </row>
    <row r="32" spans="2:7" hidden="1" x14ac:dyDescent="0.3">
      <c r="B32" t="s">
        <v>771</v>
      </c>
      <c r="C32" t="s">
        <v>759</v>
      </c>
      <c r="D32" t="s">
        <v>795</v>
      </c>
      <c r="E32" s="10"/>
    </row>
    <row r="33" spans="2:7" hidden="1" x14ac:dyDescent="0.3">
      <c r="B33" t="s">
        <v>771</v>
      </c>
      <c r="C33" t="s">
        <v>759</v>
      </c>
      <c r="D33" t="s">
        <v>796</v>
      </c>
      <c r="E33" s="10"/>
    </row>
    <row r="34" spans="2:7" hidden="1" x14ac:dyDescent="0.3">
      <c r="B34" t="s">
        <v>771</v>
      </c>
      <c r="C34" t="s">
        <v>759</v>
      </c>
      <c r="D34" t="s">
        <v>797</v>
      </c>
      <c r="E34" s="10"/>
    </row>
    <row r="35" spans="2:7" hidden="1" x14ac:dyDescent="0.3">
      <c r="B35" t="s">
        <v>771</v>
      </c>
      <c r="C35" t="s">
        <v>759</v>
      </c>
      <c r="D35" t="s">
        <v>798</v>
      </c>
      <c r="E35" s="10"/>
    </row>
    <row r="36" spans="2:7" x14ac:dyDescent="0.3">
      <c r="B36" t="s">
        <v>772</v>
      </c>
      <c r="C36" t="s">
        <v>759</v>
      </c>
      <c r="D36" t="s">
        <v>799</v>
      </c>
      <c r="E36" s="10">
        <f>SUM(computations!D645:D744)</f>
        <v>270652592.81171632</v>
      </c>
      <c r="G36" s="10">
        <f>E7+E5+E9</f>
        <v>226186346.58814651</v>
      </c>
    </row>
    <row r="37" spans="2:7" hidden="1" x14ac:dyDescent="0.3">
      <c r="B37" t="s">
        <v>772</v>
      </c>
      <c r="C37" t="s">
        <v>759</v>
      </c>
      <c r="D37" t="s">
        <v>801</v>
      </c>
      <c r="E37" s="10"/>
    </row>
    <row r="38" spans="2:7" hidden="1" x14ac:dyDescent="0.3">
      <c r="B38" t="s">
        <v>772</v>
      </c>
      <c r="C38" t="s">
        <v>759</v>
      </c>
      <c r="D38" t="s">
        <v>800</v>
      </c>
      <c r="E38" s="10"/>
    </row>
    <row r="39" spans="2:7" hidden="1" x14ac:dyDescent="0.3">
      <c r="B39" t="s">
        <v>772</v>
      </c>
      <c r="C39" t="s">
        <v>759</v>
      </c>
      <c r="D39" t="s">
        <v>802</v>
      </c>
      <c r="E39" s="10"/>
    </row>
    <row r="40" spans="2:7" hidden="1" x14ac:dyDescent="0.3">
      <c r="B40" t="s">
        <v>772</v>
      </c>
      <c r="C40" t="s">
        <v>759</v>
      </c>
      <c r="D40" t="s">
        <v>803</v>
      </c>
      <c r="E40" s="10"/>
    </row>
    <row r="41" spans="2:7" x14ac:dyDescent="0.3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3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3">
      <c r="B43" t="s">
        <v>773</v>
      </c>
      <c r="C43" t="s">
        <v>773</v>
      </c>
      <c r="D43" t="s">
        <v>773</v>
      </c>
      <c r="E43" s="10">
        <f>E24+E36+E41</f>
        <v>993049782.28402209</v>
      </c>
    </row>
    <row r="44" spans="2:7" x14ac:dyDescent="0.3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3">
      <c r="B45" t="s">
        <v>773</v>
      </c>
      <c r="C45" t="s">
        <v>773</v>
      </c>
      <c r="D45" t="s">
        <v>805</v>
      </c>
      <c r="E45">
        <f>E43/1000000000</f>
        <v>0.99304978228402208</v>
      </c>
    </row>
    <row r="56" spans="2:6" x14ac:dyDescent="0.3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2026-02-28T18:02:35Z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