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0DB08488-2374-4110-9622-BBB44A104AA9}" xr6:coauthVersionLast="47" xr6:coauthVersionMax="47" xr10:uidLastSave="{00000000-0000-0000-0000-000000000000}"/>
  <bookViews>
    <workbookView xWindow="-120" yWindow="-120" windowWidth="29040" windowHeight="15720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128" i="2"/>
  <c r="D149" i="2" l="1"/>
  <c r="D745" i="2" s="1"/>
  <c r="D150" i="2"/>
  <c r="D355" i="2" s="1"/>
  <c r="D500" i="2" s="1"/>
  <c r="D746" i="2" l="1"/>
  <c r="E22" i="1" l="1"/>
  <c r="E23" i="1" s="1"/>
  <c r="E21" i="1"/>
  <c r="E30" i="1"/>
  <c r="E80" i="1"/>
  <c r="E81" i="1"/>
  <c r="E84" i="1"/>
  <c r="E85" i="1"/>
  <c r="E83" i="1"/>
  <c r="E82" i="1"/>
  <c r="E705" i="2"/>
  <c r="E715" i="2"/>
  <c r="E691" i="2"/>
  <c r="E730" i="2"/>
  <c r="E707" i="2"/>
  <c r="E355" i="2"/>
  <c r="E704" i="2"/>
  <c r="E2" i="2"/>
  <c r="E703" i="2"/>
  <c r="E671" i="2"/>
  <c r="E685" i="2"/>
  <c r="E726" i="2"/>
  <c r="E719" i="2"/>
  <c r="E672" i="2"/>
  <c r="E673" i="2"/>
  <c r="E714" i="2"/>
  <c r="E688" i="2"/>
  <c r="E738" i="2"/>
  <c r="E693" i="2"/>
  <c r="E718" i="2"/>
  <c r="E698" i="2"/>
  <c r="E160" i="2"/>
  <c r="E670" i="2"/>
  <c r="E711" i="2"/>
  <c r="E687" i="2"/>
  <c r="E709" i="2"/>
  <c r="E737" i="2"/>
  <c r="E741" i="2"/>
  <c r="E708" i="2"/>
  <c r="E701" i="2"/>
  <c r="E699" i="2"/>
  <c r="E722" i="2"/>
  <c r="E680" i="2"/>
  <c r="E684" i="2"/>
  <c r="E729" i="2"/>
  <c r="E677" i="2"/>
  <c r="E739" i="2"/>
  <c r="E736" i="2"/>
  <c r="E694" i="2"/>
  <c r="E716" i="2"/>
  <c r="E734" i="2"/>
  <c r="E697" i="2"/>
  <c r="E727" i="2"/>
  <c r="E676" i="2"/>
  <c r="E428" i="2"/>
  <c r="E681" i="2"/>
  <c r="E721" i="2"/>
  <c r="E744" i="2"/>
  <c r="E733" i="2"/>
  <c r="E700" i="2"/>
  <c r="E675" i="2"/>
  <c r="E683" i="2"/>
  <c r="E690" i="2"/>
  <c r="E731" i="2"/>
  <c r="E717" i="2"/>
  <c r="E732" i="2"/>
  <c r="E682" i="2"/>
  <c r="E679" i="2"/>
  <c r="E151" i="2"/>
  <c r="E728" i="2"/>
  <c r="E706" i="2"/>
  <c r="E725" i="2"/>
  <c r="E743" i="2"/>
  <c r="E720" i="2"/>
  <c r="E689" i="2"/>
  <c r="E702" i="2"/>
  <c r="E735" i="2"/>
  <c r="E696" i="2"/>
  <c r="E686" i="2"/>
  <c r="E695" i="2"/>
  <c r="E742" i="2"/>
  <c r="E674" i="2"/>
  <c r="E692" i="2"/>
  <c r="E724" i="2"/>
  <c r="E723" i="2"/>
  <c r="E710" i="2"/>
  <c r="E713" i="2"/>
  <c r="E678" i="2"/>
  <c r="E712" i="2"/>
  <c r="E740" i="2"/>
  <c r="D3" i="2" l="1"/>
  <c r="D50" i="2" l="1"/>
  <c r="D158" i="2"/>
  <c r="D277" i="2" s="1"/>
  <c r="D278" i="2" s="1"/>
  <c r="D279" i="2" s="1"/>
  <c r="D280" i="2" s="1"/>
  <c r="D151" i="2"/>
  <c r="D159" i="2"/>
  <c r="D316" i="2" s="1"/>
  <c r="D317" i="2" s="1"/>
  <c r="D318" i="2" s="1"/>
  <c r="D319" i="2" s="1"/>
  <c r="D152" i="2"/>
  <c r="D747" i="2" s="1"/>
  <c r="D153" i="2"/>
  <c r="D748" i="2" s="1"/>
  <c r="D154" i="2"/>
  <c r="D749" i="2" s="1"/>
  <c r="D155" i="2"/>
  <c r="D156" i="2"/>
  <c r="D157" i="2"/>
  <c r="D238" i="2" s="1"/>
  <c r="D239" i="2" s="1"/>
  <c r="D240" i="2" s="1"/>
  <c r="D241" i="2" s="1"/>
  <c r="D4" i="2"/>
  <c r="D16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38" i="2" s="1"/>
  <c r="D126" i="2" l="1"/>
  <c r="D160" i="2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750" i="2"/>
  <c r="D320" i="2"/>
  <c r="D464" i="2"/>
  <c r="D609" i="2" s="1"/>
  <c r="D53" i="2"/>
  <c r="D90" i="2" s="1"/>
  <c r="D392" i="2"/>
  <c r="D537" i="2" s="1"/>
  <c r="D242" i="2"/>
  <c r="D281" i="2"/>
  <c r="D428" i="2"/>
  <c r="D573" i="2" s="1"/>
  <c r="D199" i="2"/>
  <c r="D200" i="2" s="1"/>
  <c r="D201" i="2" s="1"/>
  <c r="D202" i="2" s="1"/>
  <c r="D751" i="2"/>
  <c r="D125" i="2"/>
  <c r="D51" i="2"/>
  <c r="D88" i="2" s="1"/>
  <c r="E9" i="3"/>
  <c r="E8" i="3"/>
  <c r="D5" i="2"/>
  <c r="D41" i="2" s="1"/>
  <c r="D28" i="2"/>
  <c r="D65" i="2" s="1"/>
  <c r="D102" i="2" s="1"/>
  <c r="D40" i="2"/>
  <c r="D139" i="2" s="1"/>
  <c r="D76" i="2"/>
  <c r="D113" i="2" s="1"/>
  <c r="D75" i="2"/>
  <c r="D112" i="2" s="1"/>
  <c r="D52" i="2"/>
  <c r="D89" i="2" s="1"/>
  <c r="D64" i="2"/>
  <c r="D101" i="2" s="1"/>
  <c r="D203" i="2" l="1"/>
  <c r="D356" i="2"/>
  <c r="D501" i="2" s="1"/>
  <c r="D321" i="2"/>
  <c r="D465" i="2"/>
  <c r="D610" i="2" s="1"/>
  <c r="D645" i="2"/>
  <c r="D175" i="2"/>
  <c r="D393" i="2"/>
  <c r="D538" i="2" s="1"/>
  <c r="D243" i="2"/>
  <c r="D78" i="2"/>
  <c r="D115" i="2" s="1"/>
  <c r="D140" i="2"/>
  <c r="D282" i="2"/>
  <c r="D429" i="2"/>
  <c r="D574" i="2" s="1"/>
  <c r="D127" i="2"/>
  <c r="E41" i="3"/>
  <c r="D17" i="2"/>
  <c r="D29" i="2"/>
  <c r="D66" i="2" s="1"/>
  <c r="D103" i="2" s="1"/>
  <c r="D77" i="2"/>
  <c r="D114" i="2" s="1"/>
  <c r="D6" i="2"/>
  <c r="D30" i="2" s="1"/>
  <c r="D67" i="2" s="1"/>
  <c r="D104" i="2" s="1"/>
  <c r="D394" i="2" l="1"/>
  <c r="D539" i="2" s="1"/>
  <c r="D244" i="2"/>
  <c r="D646" i="2"/>
  <c r="D176" i="2"/>
  <c r="D54" i="2"/>
  <c r="D91" i="2" s="1"/>
  <c r="D128" i="2"/>
  <c r="D283" i="2"/>
  <c r="D430" i="2"/>
  <c r="D575" i="2" s="1"/>
  <c r="D322" i="2"/>
  <c r="D466" i="2"/>
  <c r="D611" i="2" s="1"/>
  <c r="D204" i="2"/>
  <c r="D357" i="2"/>
  <c r="D502" i="2" s="1"/>
  <c r="D18" i="2"/>
  <c r="D7" i="2"/>
  <c r="D31" i="2" s="1"/>
  <c r="D68" i="2" s="1"/>
  <c r="D105" i="2" s="1"/>
  <c r="D42" i="2"/>
  <c r="D79" i="2" l="1"/>
  <c r="D116" i="2" s="1"/>
  <c r="D141" i="2"/>
  <c r="D177" i="2"/>
  <c r="D647" i="2"/>
  <c r="D284" i="2"/>
  <c r="D431" i="2"/>
  <c r="D576" i="2" s="1"/>
  <c r="D55" i="2"/>
  <c r="D92" i="2" s="1"/>
  <c r="D129" i="2"/>
  <c r="D205" i="2"/>
  <c r="D358" i="2"/>
  <c r="D503" i="2" s="1"/>
  <c r="D395" i="2"/>
  <c r="D540" i="2" s="1"/>
  <c r="D245" i="2"/>
  <c r="D323" i="2"/>
  <c r="D467" i="2"/>
  <c r="D612" i="2" s="1"/>
  <c r="D8" i="2"/>
  <c r="D32" i="2" s="1"/>
  <c r="D69" i="2" s="1"/>
  <c r="D106" i="2" s="1"/>
  <c r="D19" i="2"/>
  <c r="D43" i="2"/>
  <c r="D324" i="2" l="1"/>
  <c r="D468" i="2"/>
  <c r="D613" i="2" s="1"/>
  <c r="D246" i="2"/>
  <c r="D396" i="2"/>
  <c r="D541" i="2" s="1"/>
  <c r="D648" i="2"/>
  <c r="D178" i="2"/>
  <c r="D56" i="2"/>
  <c r="D93" i="2" s="1"/>
  <c r="D130" i="2"/>
  <c r="D432" i="2"/>
  <c r="D577" i="2" s="1"/>
  <c r="D285" i="2"/>
  <c r="D80" i="2"/>
  <c r="D117" i="2" s="1"/>
  <c r="D142" i="2"/>
  <c r="D359" i="2"/>
  <c r="D504" i="2" s="1"/>
  <c r="D206" i="2"/>
  <c r="D9" i="2"/>
  <c r="D10" i="2" s="1"/>
  <c r="D34" i="2" s="1"/>
  <c r="D71" i="2" s="1"/>
  <c r="D108" i="2" s="1"/>
  <c r="D20" i="2"/>
  <c r="D44" i="2"/>
  <c r="D433" i="2" l="1"/>
  <c r="D578" i="2" s="1"/>
  <c r="D286" i="2"/>
  <c r="D81" i="2"/>
  <c r="D118" i="2" s="1"/>
  <c r="D143" i="2"/>
  <c r="D325" i="2"/>
  <c r="D469" i="2"/>
  <c r="D614" i="2" s="1"/>
  <c r="D57" i="2"/>
  <c r="D94" i="2" s="1"/>
  <c r="D131" i="2"/>
  <c r="D360" i="2"/>
  <c r="D505" i="2" s="1"/>
  <c r="D207" i="2"/>
  <c r="D649" i="2"/>
  <c r="D179" i="2"/>
  <c r="D397" i="2"/>
  <c r="D542" i="2" s="1"/>
  <c r="D247" i="2"/>
  <c r="D45" i="2"/>
  <c r="D22" i="2"/>
  <c r="D11" i="2"/>
  <c r="D35" i="2" s="1"/>
  <c r="D72" i="2" s="1"/>
  <c r="D109" i="2" s="1"/>
  <c r="D21" i="2"/>
  <c r="D33" i="2"/>
  <c r="D70" i="2" s="1"/>
  <c r="D107" i="2" s="1"/>
  <c r="D46" i="2"/>
  <c r="D208" i="2" l="1"/>
  <c r="D361" i="2"/>
  <c r="D506" i="2" s="1"/>
  <c r="D434" i="2"/>
  <c r="D579" i="2" s="1"/>
  <c r="D287" i="2"/>
  <c r="D59" i="2"/>
  <c r="D96" i="2" s="1"/>
  <c r="D133" i="2"/>
  <c r="D82" i="2"/>
  <c r="D119" i="2" s="1"/>
  <c r="D144" i="2"/>
  <c r="D248" i="2"/>
  <c r="D398" i="2"/>
  <c r="D543" i="2" s="1"/>
  <c r="D470" i="2"/>
  <c r="D615" i="2" s="1"/>
  <c r="D326" i="2"/>
  <c r="D83" i="2"/>
  <c r="D120" i="2" s="1"/>
  <c r="D145" i="2"/>
  <c r="D650" i="2"/>
  <c r="D180" i="2"/>
  <c r="D58" i="2"/>
  <c r="D95" i="2" s="1"/>
  <c r="D132" i="2"/>
  <c r="D47" i="2"/>
  <c r="D12" i="2"/>
  <c r="D36" i="2" s="1"/>
  <c r="D73" i="2" s="1"/>
  <c r="D110" i="2" s="1"/>
  <c r="D23" i="2"/>
  <c r="D249" i="2" l="1"/>
  <c r="D399" i="2"/>
  <c r="D544" i="2" s="1"/>
  <c r="D209" i="2"/>
  <c r="D362" i="2"/>
  <c r="D507" i="2" s="1"/>
  <c r="D651" i="2"/>
  <c r="D181" i="2"/>
  <c r="D60" i="2"/>
  <c r="D97" i="2" s="1"/>
  <c r="D134" i="2"/>
  <c r="D327" i="2"/>
  <c r="D471" i="2"/>
  <c r="D616" i="2" s="1"/>
  <c r="D288" i="2"/>
  <c r="D435" i="2"/>
  <c r="D580" i="2" s="1"/>
  <c r="D84" i="2"/>
  <c r="D121" i="2" s="1"/>
  <c r="D146" i="2"/>
  <c r="D13" i="2"/>
  <c r="D49" i="2" s="1"/>
  <c r="D24" i="2"/>
  <c r="D48" i="2"/>
  <c r="D61" i="2" l="1"/>
  <c r="D98" i="2" s="1"/>
  <c r="D135" i="2"/>
  <c r="D86" i="2"/>
  <c r="D123" i="2" s="1"/>
  <c r="D148" i="2"/>
  <c r="D652" i="2"/>
  <c r="D182" i="2"/>
  <c r="D289" i="2"/>
  <c r="D436" i="2"/>
  <c r="D581" i="2" s="1"/>
  <c r="D210" i="2"/>
  <c r="D363" i="2"/>
  <c r="D508" i="2" s="1"/>
  <c r="D85" i="2"/>
  <c r="D122" i="2" s="1"/>
  <c r="E7" i="3" s="1"/>
  <c r="D147" i="2"/>
  <c r="D472" i="2"/>
  <c r="D617" i="2" s="1"/>
  <c r="D328" i="2"/>
  <c r="D400" i="2"/>
  <c r="D545" i="2" s="1"/>
  <c r="D250" i="2"/>
  <c r="D37" i="2"/>
  <c r="D74" i="2" s="1"/>
  <c r="D111" i="2" s="1"/>
  <c r="D25" i="2"/>
  <c r="E6" i="3" l="1"/>
  <c r="D401" i="2"/>
  <c r="D546" i="2" s="1"/>
  <c r="D251" i="2"/>
  <c r="D290" i="2"/>
  <c r="D437" i="2"/>
  <c r="D582" i="2" s="1"/>
  <c r="D329" i="2"/>
  <c r="D473" i="2"/>
  <c r="D618" i="2" s="1"/>
  <c r="D183" i="2"/>
  <c r="D653" i="2"/>
  <c r="D62" i="2"/>
  <c r="D99" i="2" s="1"/>
  <c r="D136" i="2"/>
  <c r="E10" i="3" s="1"/>
  <c r="D211" i="2"/>
  <c r="D364" i="2"/>
  <c r="D509" i="2" s="1"/>
  <c r="E5" i="3"/>
  <c r="E4" i="3"/>
  <c r="E11" i="3"/>
  <c r="G42" i="3" s="1"/>
  <c r="E409" i="2"/>
  <c r="E119" i="2"/>
  <c r="E407" i="2"/>
  <c r="E307" i="2"/>
  <c r="E349" i="2"/>
  <c r="E403" i="2"/>
  <c r="E197" i="2"/>
  <c r="E35" i="2"/>
  <c r="E313" i="2"/>
  <c r="E181" i="2"/>
  <c r="E308" i="2"/>
  <c r="E636" i="2"/>
  <c r="E169" i="2"/>
  <c r="E27" i="2"/>
  <c r="E535" i="2"/>
  <c r="E435" i="2"/>
  <c r="E571" i="2"/>
  <c r="E488" i="2"/>
  <c r="E464" i="2"/>
  <c r="E523" i="2"/>
  <c r="E112" i="2"/>
  <c r="E531" i="2"/>
  <c r="E587" i="2"/>
  <c r="E460" i="2"/>
  <c r="E148" i="2"/>
  <c r="E537" i="2"/>
  <c r="E279" i="2"/>
  <c r="E226" i="2"/>
  <c r="E751" i="2"/>
  <c r="E611" i="2"/>
  <c r="E205" i="2"/>
  <c r="E389" i="2"/>
  <c r="E242" i="2"/>
  <c r="E66" i="2"/>
  <c r="E192" i="2"/>
  <c r="E576" i="2"/>
  <c r="E233" i="2"/>
  <c r="E36" i="2"/>
  <c r="E390" i="2"/>
  <c r="E295" i="2"/>
  <c r="E299" i="2"/>
  <c r="E317" i="2"/>
  <c r="E235" i="2"/>
  <c r="E333" i="2"/>
  <c r="E171" i="2"/>
  <c r="E4" i="2"/>
  <c r="E481" i="2"/>
  <c r="E208" i="2"/>
  <c r="E504" i="2"/>
  <c r="E361" i="2"/>
  <c r="E394" i="2"/>
  <c r="E468" i="2"/>
  <c r="E405" i="2"/>
  <c r="E603" i="2"/>
  <c r="E746" i="2"/>
  <c r="E507" i="2"/>
  <c r="E422" i="2"/>
  <c r="E213" i="2"/>
  <c r="E249" i="2"/>
  <c r="E565" i="2"/>
  <c r="E561" i="2"/>
  <c r="E49" i="2"/>
  <c r="E519" i="2"/>
  <c r="E324" i="2"/>
  <c r="E533" i="2"/>
  <c r="E668" i="2"/>
  <c r="E573" i="2"/>
  <c r="E356" i="2"/>
  <c r="E331" i="2"/>
  <c r="E370" i="2"/>
  <c r="E512" i="2"/>
  <c r="E328" i="2"/>
  <c r="E500" i="2"/>
  <c r="E514" i="2"/>
  <c r="E446" i="2"/>
  <c r="E465" i="2"/>
  <c r="E478" i="2"/>
  <c r="E32" i="2"/>
  <c r="E222" i="2"/>
  <c r="E172" i="2"/>
  <c r="E96" i="2"/>
  <c r="E54" i="2"/>
  <c r="E456" i="2"/>
  <c r="E9" i="2"/>
  <c r="E103" i="2"/>
  <c r="E100" i="2"/>
  <c r="E448" i="2"/>
  <c r="E55" i="2"/>
  <c r="E475" i="2"/>
  <c r="E161" i="2"/>
  <c r="E645" i="2"/>
  <c r="E341" i="2"/>
  <c r="E117" i="2"/>
  <c r="E527" i="2"/>
  <c r="E190" i="2"/>
  <c r="E187" i="2"/>
  <c r="E102" i="2"/>
  <c r="E383" i="2"/>
  <c r="E91" i="2"/>
  <c r="E281" i="2"/>
  <c r="E89" i="2"/>
  <c r="E79" i="2"/>
  <c r="E648" i="2"/>
  <c r="E459" i="2"/>
  <c r="E254" i="2"/>
  <c r="E491" i="2"/>
  <c r="E108" i="2"/>
  <c r="E551" i="2"/>
  <c r="E424" i="2"/>
  <c r="E126" i="2"/>
  <c r="E517" i="2"/>
  <c r="E400" i="2"/>
  <c r="E265" i="2"/>
  <c r="E124" i="2"/>
  <c r="E616" i="2"/>
  <c r="E430" i="2"/>
  <c r="E545" i="2"/>
  <c r="E163" i="2"/>
  <c r="E385" i="2"/>
  <c r="E207" i="2"/>
  <c r="E144" i="2"/>
  <c r="E521" i="2"/>
  <c r="E431" i="2"/>
  <c r="E56" i="2"/>
  <c r="E471" i="2"/>
  <c r="E526" i="2"/>
  <c r="E250" i="2"/>
  <c r="E501" i="2"/>
  <c r="E201" i="2"/>
  <c r="E240" i="2"/>
  <c r="E63" i="2"/>
  <c r="E549" i="2"/>
  <c r="E498" i="2"/>
  <c r="E81" i="2"/>
  <c r="E202" i="2"/>
  <c r="E610" i="2"/>
  <c r="E534" i="2"/>
  <c r="E623" i="2"/>
  <c r="E127" i="2"/>
  <c r="E271" i="2"/>
  <c r="E316" i="2"/>
  <c r="E185" i="2"/>
  <c r="E155" i="2"/>
  <c r="E381" i="2"/>
  <c r="E314" i="2"/>
  <c r="E120" i="2"/>
  <c r="E363" i="2"/>
  <c r="E404" i="2"/>
  <c r="E217" i="2"/>
  <c r="E24" i="2"/>
  <c r="E255" i="2"/>
  <c r="E86" i="2"/>
  <c r="E11" i="2"/>
  <c r="E605" i="2"/>
  <c r="E193" i="2"/>
  <c r="E382" i="2"/>
  <c r="E28" i="2"/>
  <c r="E348" i="2"/>
  <c r="E574" i="2"/>
  <c r="E589" i="2"/>
  <c r="E499" i="2"/>
  <c r="E211" i="2"/>
  <c r="E298" i="2"/>
  <c r="E220" i="2"/>
  <c r="E466" i="2"/>
  <c r="E41" i="2"/>
  <c r="E114" i="2"/>
  <c r="E263" i="2"/>
  <c r="E312" i="2"/>
  <c r="E453" i="2"/>
  <c r="E335" i="2"/>
  <c r="E360" i="2"/>
  <c r="E38" i="2"/>
  <c r="E644" i="2"/>
  <c r="E118" i="2"/>
  <c r="E25" i="2"/>
  <c r="E426" i="2"/>
  <c r="E90" i="2"/>
  <c r="E223" i="2"/>
  <c r="E332" i="2"/>
  <c r="E749" i="2"/>
  <c r="E246" i="2"/>
  <c r="E199" i="2"/>
  <c r="E473" i="2"/>
  <c r="E485" i="2"/>
  <c r="E30" i="2"/>
  <c r="E564" i="2"/>
  <c r="E490" i="2"/>
  <c r="E580" i="2"/>
  <c r="E75" i="2"/>
  <c r="E525" i="2"/>
  <c r="E479" i="2"/>
  <c r="E166" i="2"/>
  <c r="E393" i="2"/>
  <c r="E173" i="2"/>
  <c r="E111" i="2"/>
  <c r="E200" i="2"/>
  <c r="E423" i="2"/>
  <c r="E50" i="2"/>
  <c r="E60" i="2"/>
  <c r="E444" i="2"/>
  <c r="E369" i="2"/>
  <c r="E358" i="2"/>
  <c r="E340" i="2"/>
  <c r="E33" i="2"/>
  <c r="E94" i="2"/>
  <c r="E29" i="2"/>
  <c r="E104" i="2"/>
  <c r="E402" i="2"/>
  <c r="E303" i="2"/>
  <c r="E477" i="2"/>
  <c r="E269" i="2"/>
  <c r="E174" i="2"/>
  <c r="E123" i="2"/>
  <c r="E158" i="2"/>
  <c r="E415" i="2"/>
  <c r="E666" i="2"/>
  <c r="E71" i="2"/>
  <c r="E451" i="2"/>
  <c r="E132" i="2"/>
  <c r="E215" i="2"/>
  <c r="E747" i="2"/>
  <c r="E139" i="2"/>
  <c r="E311" i="2"/>
  <c r="E121" i="2"/>
  <c r="E236" i="2"/>
  <c r="E325" i="2"/>
  <c r="E237" i="2"/>
  <c r="E230" i="2"/>
  <c r="E283" i="2"/>
  <c r="E632" i="2"/>
  <c r="E447" i="2"/>
  <c r="E584" i="2"/>
  <c r="E98" i="2"/>
  <c r="E336" i="2"/>
  <c r="E224" i="2"/>
  <c r="E570" i="2"/>
  <c r="E638" i="2"/>
  <c r="E455" i="2"/>
  <c r="E99" i="2"/>
  <c r="E590" i="2"/>
  <c r="E178" i="2"/>
  <c r="E302" i="2"/>
  <c r="E292" i="2"/>
  <c r="E150" i="2"/>
  <c r="E97" i="2"/>
  <c r="E578" i="2"/>
  <c r="E291" i="2"/>
  <c r="E354" i="2"/>
  <c r="E630" i="2"/>
  <c r="E374" i="2"/>
  <c r="E427" i="2"/>
  <c r="E594" i="2"/>
  <c r="E5" i="2"/>
  <c r="E434" i="2"/>
  <c r="E406" i="2"/>
  <c r="E615" i="2"/>
  <c r="E101" i="2"/>
  <c r="E153" i="2"/>
  <c r="E264" i="2"/>
  <c r="E661" i="2"/>
  <c r="E23" i="2"/>
  <c r="E581" i="2"/>
  <c r="E395" i="2"/>
  <c r="E88" i="2"/>
  <c r="E538" i="2"/>
  <c r="E445" i="2"/>
  <c r="E309" i="2"/>
  <c r="E321" i="2"/>
  <c r="E508" i="2"/>
  <c r="E609" i="2"/>
  <c r="E286" i="2"/>
  <c r="E750" i="2"/>
  <c r="E524" i="2"/>
  <c r="E577" i="2"/>
  <c r="E555" i="2"/>
  <c r="E450" i="2"/>
  <c r="E386" i="2"/>
  <c r="E505" i="2"/>
  <c r="E297" i="2"/>
  <c r="E145" i="2"/>
  <c r="E206" i="2"/>
  <c r="E210" i="2"/>
  <c r="E532" i="2"/>
  <c r="E12" i="2"/>
  <c r="E745" i="2"/>
  <c r="E300" i="2"/>
  <c r="E247" i="2"/>
  <c r="E608" i="2"/>
  <c r="E633" i="2"/>
  <c r="E353" i="2"/>
  <c r="E626" i="2"/>
  <c r="E194" i="2"/>
  <c r="E544" i="2"/>
  <c r="E113" i="2"/>
  <c r="E65" i="2"/>
  <c r="E52" i="2"/>
  <c r="E37" i="2"/>
  <c r="E599" i="2"/>
  <c r="E191" i="2"/>
  <c r="E84" i="2"/>
  <c r="E329" i="2"/>
  <c r="E77" i="2"/>
  <c r="E618" i="2"/>
  <c r="E352" i="2"/>
  <c r="E320" i="2"/>
  <c r="E180" i="2"/>
  <c r="E442" i="2"/>
  <c r="E647" i="2"/>
  <c r="E285" i="2"/>
  <c r="E34" i="2"/>
  <c r="E85" i="2"/>
  <c r="E515" i="2"/>
  <c r="E612" i="2"/>
  <c r="E642" i="2"/>
  <c r="E273" i="2"/>
  <c r="E296" i="2"/>
  <c r="E654" i="2"/>
  <c r="E567" i="2"/>
  <c r="E44" i="2"/>
  <c r="E384" i="2"/>
  <c r="E116" i="2"/>
  <c r="E425" i="2"/>
  <c r="E582" i="2"/>
  <c r="E288" i="2"/>
  <c r="E26" i="2"/>
  <c r="E238" i="2"/>
  <c r="E184" i="2"/>
  <c r="E629" i="2"/>
  <c r="E371" i="2"/>
  <c r="E373" i="2"/>
  <c r="E566" i="2"/>
  <c r="E613" i="2"/>
  <c r="E122" i="2"/>
  <c r="E563" i="2"/>
  <c r="E45" i="2"/>
  <c r="E15" i="2"/>
  <c r="E377" i="2"/>
  <c r="E105" i="2"/>
  <c r="E310" i="2"/>
  <c r="E175" i="2"/>
  <c r="E640" i="2"/>
  <c r="E232" i="2"/>
  <c r="E257" i="2"/>
  <c r="E59" i="2"/>
  <c r="E372" i="2"/>
  <c r="E443" i="2"/>
  <c r="E47" i="2"/>
  <c r="E183" i="2"/>
  <c r="E368" i="2"/>
  <c r="E617" i="2"/>
  <c r="E334" i="2"/>
  <c r="E188" i="2"/>
  <c r="E376" i="2"/>
  <c r="E339" i="2"/>
  <c r="E439" i="2"/>
  <c r="E241" i="2"/>
  <c r="E396" i="2"/>
  <c r="E607" i="2"/>
  <c r="E637" i="2"/>
  <c r="E186" i="2"/>
  <c r="E18" i="2"/>
  <c r="E624" i="2"/>
  <c r="E401" i="2"/>
  <c r="E67" i="2"/>
  <c r="E598" i="2"/>
  <c r="E429" i="2"/>
  <c r="E554" i="2"/>
  <c r="E8" i="2"/>
  <c r="E398" i="2"/>
  <c r="E58" i="2"/>
  <c r="E57" i="2"/>
  <c r="E639" i="2"/>
  <c r="E438" i="2"/>
  <c r="E592" i="2"/>
  <c r="E83" i="2"/>
  <c r="E280" i="2"/>
  <c r="E198" i="2"/>
  <c r="E540" i="2"/>
  <c r="E440" i="2"/>
  <c r="E138" i="2"/>
  <c r="E641" i="2"/>
  <c r="E656" i="2"/>
  <c r="E125" i="2"/>
  <c r="E652" i="2"/>
  <c r="E267" i="2"/>
  <c r="E416" i="2"/>
  <c r="E387" i="2"/>
  <c r="E484" i="2"/>
  <c r="E343" i="2"/>
  <c r="E593" i="2"/>
  <c r="E542" i="2"/>
  <c r="E375" i="2"/>
  <c r="E502" i="2"/>
  <c r="E528" i="2"/>
  <c r="E600" i="2"/>
  <c r="E248" i="2"/>
  <c r="E141" i="2"/>
  <c r="E87" i="2"/>
  <c r="E306" i="2"/>
  <c r="E154" i="2"/>
  <c r="E586" i="2"/>
  <c r="E46" i="2"/>
  <c r="E421" i="2"/>
  <c r="E110" i="2"/>
  <c r="E575" i="2"/>
  <c r="E130" i="2"/>
  <c r="E270" i="2"/>
  <c r="E412" i="2"/>
  <c r="E95" i="2"/>
  <c r="E546" i="2"/>
  <c r="E136" i="2"/>
  <c r="E157" i="2"/>
  <c r="E556" i="2"/>
  <c r="E338" i="2"/>
  <c r="E216" i="2"/>
  <c r="E483" i="2"/>
  <c r="E493" i="2"/>
  <c r="E414" i="2"/>
  <c r="E14" i="2"/>
  <c r="E449" i="2"/>
  <c r="E209" i="2"/>
  <c r="E433" i="2"/>
  <c r="E152" i="2"/>
  <c r="E530" i="2"/>
  <c r="E365" i="2"/>
  <c r="E228" i="2"/>
  <c r="E109" i="2"/>
  <c r="E560" i="2"/>
  <c r="E17" i="2"/>
  <c r="E61" i="2"/>
  <c r="E48" i="2"/>
  <c r="E147" i="2"/>
  <c r="E301" i="2"/>
  <c r="E31" i="2"/>
  <c r="E93" i="2"/>
  <c r="E657" i="2"/>
  <c r="E156" i="2"/>
  <c r="E420" i="2"/>
  <c r="E284" i="2"/>
  <c r="E562" i="2"/>
  <c r="E487" i="2"/>
  <c r="E649" i="2"/>
  <c r="E76" i="2"/>
  <c r="E115" i="2"/>
  <c r="E39" i="2"/>
  <c r="E274" i="2"/>
  <c r="E129" i="2"/>
  <c r="E106" i="2"/>
  <c r="E651" i="2"/>
  <c r="E643" i="2"/>
  <c r="E596" i="2"/>
  <c r="E620" i="2"/>
  <c r="E558" i="2"/>
  <c r="E337" i="2"/>
  <c r="E441" i="2"/>
  <c r="E601" i="2"/>
  <c r="E142" i="2"/>
  <c r="E614" i="2"/>
  <c r="E342" i="2"/>
  <c r="E662" i="2"/>
  <c r="E602" i="2"/>
  <c r="E6" i="2"/>
  <c r="E72" i="2"/>
  <c r="E244" i="2"/>
  <c r="E366" i="2"/>
  <c r="E319" i="2"/>
  <c r="E513" i="2"/>
  <c r="E268" i="2"/>
  <c r="E253" i="2"/>
  <c r="E591" i="2"/>
  <c r="E509" i="2"/>
  <c r="E470" i="2"/>
  <c r="E660" i="2"/>
  <c r="E653" i="2"/>
  <c r="E419" i="2"/>
  <c r="E10" i="2"/>
  <c r="E506" i="2"/>
  <c r="E437" i="2"/>
  <c r="E275" i="2"/>
  <c r="E214" i="2"/>
  <c r="E218" i="2"/>
  <c r="E492" i="2"/>
  <c r="E663" i="2"/>
  <c r="E277" i="2"/>
  <c r="E621" i="2"/>
  <c r="E472" i="2"/>
  <c r="E495" i="2"/>
  <c r="E276" i="2"/>
  <c r="E350" i="2"/>
  <c r="E261" i="2"/>
  <c r="E22" i="2"/>
  <c r="E399" i="2"/>
  <c r="E529" i="2"/>
  <c r="E245" i="2"/>
  <c r="E70" i="2"/>
  <c r="E80" i="2"/>
  <c r="E330" i="2"/>
  <c r="E290" i="2"/>
  <c r="E43" i="2"/>
  <c r="E606" i="2"/>
  <c r="E346" i="2"/>
  <c r="E397" i="2"/>
  <c r="E520" i="2"/>
  <c r="E494" i="2"/>
  <c r="E131" i="2"/>
  <c r="E40" i="2"/>
  <c r="E585" i="2"/>
  <c r="E64" i="2"/>
  <c r="E454" i="2"/>
  <c r="E646" i="2"/>
  <c r="E391" i="2"/>
  <c r="E665" i="2"/>
  <c r="E168" i="2"/>
  <c r="E225" i="2"/>
  <c r="E176" i="2"/>
  <c r="E553" i="2"/>
  <c r="E69" i="2"/>
  <c r="E221" i="2"/>
  <c r="E278" i="2"/>
  <c r="E62" i="2"/>
  <c r="E74" i="2"/>
  <c r="E19" i="2"/>
  <c r="E595" i="2"/>
  <c r="E315" i="2"/>
  <c r="E323" i="2"/>
  <c r="E418" i="2"/>
  <c r="E547" i="2"/>
  <c r="E503" i="2"/>
  <c r="E3" i="2"/>
  <c r="E411" i="2"/>
  <c r="E256" i="2"/>
  <c r="E497" i="2"/>
  <c r="E467" i="2"/>
  <c r="E597" i="2"/>
  <c r="E634" i="2"/>
  <c r="E143" i="2"/>
  <c r="E203" i="2"/>
  <c r="E53" i="2"/>
  <c r="E293" i="2"/>
  <c r="E170" i="2"/>
  <c r="E13" i="2"/>
  <c r="E189" i="2"/>
  <c r="E628" i="2"/>
  <c r="E655" i="2"/>
  <c r="E318" i="2"/>
  <c r="E266" i="2"/>
  <c r="E258" i="2"/>
  <c r="E379" i="2"/>
  <c r="E482" i="2"/>
  <c r="E392" i="2"/>
  <c r="E452" i="2"/>
  <c r="E16" i="2"/>
  <c r="E518" i="2"/>
  <c r="E289" i="2"/>
  <c r="E417" i="2"/>
  <c r="E305" i="2"/>
  <c r="E489" i="2"/>
  <c r="E583" i="2"/>
  <c r="E51" i="2"/>
  <c r="E474" i="2"/>
  <c r="E631" i="2"/>
  <c r="E539" i="2"/>
  <c r="E234" i="2"/>
  <c r="E380" i="2"/>
  <c r="E326" i="2"/>
  <c r="E287" i="2"/>
  <c r="E164" i="2"/>
  <c r="E344" i="2"/>
  <c r="E219" i="2"/>
  <c r="E167" i="2"/>
  <c r="E659" i="2"/>
  <c r="E364" i="2"/>
  <c r="E511" i="2"/>
  <c r="E357" i="2"/>
  <c r="E21" i="2"/>
  <c r="E619" i="2"/>
  <c r="E179" i="2"/>
  <c r="E496" i="2"/>
  <c r="E550" i="2"/>
  <c r="E569" i="2"/>
  <c r="E262" i="2"/>
  <c r="E536" i="2"/>
  <c r="E239" i="2"/>
  <c r="E604" i="2"/>
  <c r="E568" i="2"/>
  <c r="E432" i="2"/>
  <c r="E272" i="2"/>
  <c r="E212" i="2"/>
  <c r="E182" i="2"/>
  <c r="E516" i="2"/>
  <c r="E82" i="2"/>
  <c r="E260" i="2"/>
  <c r="E625" i="2"/>
  <c r="E159" i="2"/>
  <c r="E204" i="2"/>
  <c r="E748" i="2"/>
  <c r="E541" i="2"/>
  <c r="E42" i="2"/>
  <c r="E327" i="2"/>
  <c r="E195" i="2"/>
  <c r="E251" i="2"/>
  <c r="E480" i="2"/>
  <c r="E543" i="2"/>
  <c r="E177" i="2"/>
  <c r="E196" i="2"/>
  <c r="E388" i="2"/>
  <c r="E359" i="2"/>
  <c r="E304" i="2"/>
  <c r="E294" i="2"/>
  <c r="E635" i="2"/>
  <c r="E259" i="2"/>
  <c r="E462" i="2"/>
  <c r="E252" i="2"/>
  <c r="E408" i="2"/>
  <c r="E476" i="2"/>
  <c r="E552" i="2"/>
  <c r="E664" i="2"/>
  <c r="E322" i="2"/>
  <c r="E140" i="2"/>
  <c r="E486" i="2"/>
  <c r="E669" i="2"/>
  <c r="E146" i="2"/>
  <c r="E658" i="2"/>
  <c r="E559" i="2"/>
  <c r="E347" i="2"/>
  <c r="E7" i="2"/>
  <c r="E133" i="2"/>
  <c r="E667" i="2"/>
  <c r="E137" i="2"/>
  <c r="E588" i="2"/>
  <c r="E378" i="2"/>
  <c r="E463" i="2"/>
  <c r="E436" i="2"/>
  <c r="E557" i="2"/>
  <c r="E650" i="2"/>
  <c r="E362" i="2"/>
  <c r="E135" i="2"/>
  <c r="E92" i="2"/>
  <c r="E78" i="2"/>
  <c r="E351" i="2"/>
  <c r="E458" i="2"/>
  <c r="E461" i="2"/>
  <c r="E73" i="2"/>
  <c r="E627" i="2"/>
  <c r="E68" i="2"/>
  <c r="E231" i="2"/>
  <c r="E510" i="2"/>
  <c r="E227" i="2"/>
  <c r="E410" i="2"/>
  <c r="E107" i="2"/>
  <c r="E165" i="2"/>
  <c r="E457" i="2"/>
  <c r="E149" i="2"/>
  <c r="E622" i="2"/>
  <c r="E243" i="2"/>
  <c r="E469" i="2"/>
  <c r="E282" i="2"/>
  <c r="E413" i="2"/>
  <c r="E522" i="2"/>
  <c r="E345" i="2"/>
  <c r="E572" i="2"/>
  <c r="E162" i="2"/>
  <c r="E579" i="2"/>
  <c r="E229" i="2"/>
  <c r="E548" i="2"/>
  <c r="E367" i="2"/>
  <c r="E20" i="2"/>
  <c r="E134" i="2"/>
  <c r="D330" i="2" l="1"/>
  <c r="D474" i="2"/>
  <c r="D619" i="2" s="1"/>
  <c r="D212" i="2"/>
  <c r="D365" i="2"/>
  <c r="D510" i="2" s="1"/>
  <c r="D291" i="2"/>
  <c r="D438" i="2"/>
  <c r="D583" i="2" s="1"/>
  <c r="D184" i="2"/>
  <c r="D654" i="2"/>
  <c r="D402" i="2"/>
  <c r="D547" i="2" s="1"/>
  <c r="D252" i="2"/>
  <c r="E56" i="3"/>
  <c r="E42" i="3"/>
  <c r="E44" i="3" s="1"/>
  <c r="G36" i="3"/>
  <c r="D185" i="2" l="1"/>
  <c r="D655" i="2"/>
  <c r="D439" i="2"/>
  <c r="D584" i="2" s="1"/>
  <c r="D292" i="2"/>
  <c r="D695" i="2"/>
  <c r="D213" i="2"/>
  <c r="D366" i="2"/>
  <c r="D511" i="2" s="1"/>
  <c r="D403" i="2"/>
  <c r="D548" i="2" s="1"/>
  <c r="D253" i="2"/>
  <c r="D670" i="2"/>
  <c r="D720" i="2"/>
  <c r="D331" i="2"/>
  <c r="D475" i="2"/>
  <c r="D620" i="2" s="1"/>
  <c r="D214" i="2" l="1"/>
  <c r="D367" i="2"/>
  <c r="D440" i="2"/>
  <c r="D585" i="2" s="1"/>
  <c r="D696" i="2"/>
  <c r="D293" i="2"/>
  <c r="D721" i="2"/>
  <c r="D332" i="2"/>
  <c r="D476" i="2"/>
  <c r="D621" i="2" s="1"/>
  <c r="D671" i="2"/>
  <c r="D254" i="2"/>
  <c r="D404" i="2"/>
  <c r="D549" i="2" s="1"/>
  <c r="D656" i="2"/>
  <c r="D186" i="2"/>
  <c r="D333" i="2" l="1"/>
  <c r="D477" i="2"/>
  <c r="D622" i="2" s="1"/>
  <c r="D722" i="2"/>
  <c r="D657" i="2"/>
  <c r="D187" i="2"/>
  <c r="D697" i="2"/>
  <c r="D441" i="2"/>
  <c r="D586" i="2" s="1"/>
  <c r="D294" i="2"/>
  <c r="D405" i="2"/>
  <c r="D550" i="2" s="1"/>
  <c r="D255" i="2"/>
  <c r="D672" i="2"/>
  <c r="D512" i="2"/>
  <c r="D368" i="2"/>
  <c r="D513" i="2" s="1"/>
  <c r="D215" i="2"/>
  <c r="D442" i="2" l="1"/>
  <c r="D587" i="2" s="1"/>
  <c r="D295" i="2"/>
  <c r="D698" i="2"/>
  <c r="D188" i="2"/>
  <c r="D658" i="2"/>
  <c r="D216" i="2"/>
  <c r="D369" i="2"/>
  <c r="D514" i="2" s="1"/>
  <c r="D256" i="2"/>
  <c r="D673" i="2"/>
  <c r="D406" i="2"/>
  <c r="D551" i="2" s="1"/>
  <c r="D723" i="2"/>
  <c r="D334" i="2"/>
  <c r="D478" i="2"/>
  <c r="D623" i="2" s="1"/>
  <c r="D217" i="2" l="1"/>
  <c r="D370" i="2"/>
  <c r="D515" i="2" s="1"/>
  <c r="D724" i="2"/>
  <c r="D335" i="2"/>
  <c r="D479" i="2"/>
  <c r="D624" i="2" s="1"/>
  <c r="D659" i="2"/>
  <c r="D189" i="2"/>
  <c r="D257" i="2"/>
  <c r="D407" i="2"/>
  <c r="D552" i="2" s="1"/>
  <c r="D674" i="2"/>
  <c r="D296" i="2"/>
  <c r="D443" i="2"/>
  <c r="D588" i="2" s="1"/>
  <c r="D699" i="2"/>
  <c r="D297" i="2" l="1"/>
  <c r="D444" i="2"/>
  <c r="D589" i="2" s="1"/>
  <c r="D700" i="2"/>
  <c r="D408" i="2"/>
  <c r="D553" i="2" s="1"/>
  <c r="D258" i="2"/>
  <c r="D675" i="2"/>
  <c r="D371" i="2"/>
  <c r="D516" i="2" s="1"/>
  <c r="D218" i="2"/>
  <c r="D336" i="2"/>
  <c r="D480" i="2"/>
  <c r="D625" i="2" s="1"/>
  <c r="D725" i="2"/>
  <c r="D660" i="2"/>
  <c r="D190" i="2"/>
  <c r="D661" i="2" l="1"/>
  <c r="D191" i="2"/>
  <c r="D409" i="2"/>
  <c r="D554" i="2" s="1"/>
  <c r="D259" i="2"/>
  <c r="D676" i="2"/>
  <c r="D481" i="2"/>
  <c r="D626" i="2" s="1"/>
  <c r="D726" i="2"/>
  <c r="D337" i="2"/>
  <c r="D298" i="2"/>
  <c r="D445" i="2"/>
  <c r="D590" i="2" s="1"/>
  <c r="D701" i="2"/>
  <c r="D219" i="2"/>
  <c r="D372" i="2"/>
  <c r="D338" i="2" l="1"/>
  <c r="D482" i="2"/>
  <c r="D627" i="2" s="1"/>
  <c r="D727" i="2"/>
  <c r="D517" i="2"/>
  <c r="D220" i="2"/>
  <c r="D373" i="2"/>
  <c r="D518" i="2" s="1"/>
  <c r="D410" i="2"/>
  <c r="D555" i="2" s="1"/>
  <c r="D260" i="2"/>
  <c r="D677" i="2"/>
  <c r="D192" i="2"/>
  <c r="D662" i="2"/>
  <c r="D299" i="2"/>
  <c r="D446" i="2"/>
  <c r="D591" i="2" s="1"/>
  <c r="D702" i="2"/>
  <c r="D703" i="2" l="1"/>
  <c r="D300" i="2"/>
  <c r="D447" i="2"/>
  <c r="D592" i="2" s="1"/>
  <c r="D221" i="2"/>
  <c r="D374" i="2"/>
  <c r="D519" i="2" s="1"/>
  <c r="D193" i="2"/>
  <c r="D663" i="2"/>
  <c r="D411" i="2"/>
  <c r="D556" i="2" s="1"/>
  <c r="D261" i="2"/>
  <c r="D678" i="2"/>
  <c r="D728" i="2"/>
  <c r="D339" i="2"/>
  <c r="D483" i="2"/>
  <c r="D628" i="2" s="1"/>
  <c r="D375" i="2" l="1"/>
  <c r="D520" i="2" s="1"/>
  <c r="D222" i="2"/>
  <c r="D664" i="2"/>
  <c r="D194" i="2"/>
  <c r="D729" i="2"/>
  <c r="D340" i="2"/>
  <c r="D484" i="2"/>
  <c r="D629" i="2" s="1"/>
  <c r="D448" i="2"/>
  <c r="D593" i="2" s="1"/>
  <c r="D704" i="2"/>
  <c r="D301" i="2"/>
  <c r="D412" i="2"/>
  <c r="D557" i="2" s="1"/>
  <c r="D262" i="2"/>
  <c r="D679" i="2"/>
  <c r="D341" i="2" l="1"/>
  <c r="D485" i="2"/>
  <c r="D630" i="2" s="1"/>
  <c r="D730" i="2"/>
  <c r="D680" i="2"/>
  <c r="D413" i="2"/>
  <c r="D558" i="2" s="1"/>
  <c r="D263" i="2"/>
  <c r="D665" i="2"/>
  <c r="D195" i="2"/>
  <c r="D449" i="2"/>
  <c r="D594" i="2" s="1"/>
  <c r="D705" i="2"/>
  <c r="D302" i="2"/>
  <c r="D376" i="2"/>
  <c r="D521" i="2" s="1"/>
  <c r="D223" i="2"/>
  <c r="D196" i="2" l="1"/>
  <c r="D666" i="2"/>
  <c r="D264" i="2"/>
  <c r="D681" i="2"/>
  <c r="D414" i="2"/>
  <c r="D559" i="2" s="1"/>
  <c r="D224" i="2"/>
  <c r="D377" i="2"/>
  <c r="D522" i="2" s="1"/>
  <c r="D450" i="2"/>
  <c r="D595" i="2" s="1"/>
  <c r="D303" i="2"/>
  <c r="D706" i="2"/>
  <c r="D731" i="2"/>
  <c r="D342" i="2"/>
  <c r="D486" i="2"/>
  <c r="D631" i="2" s="1"/>
  <c r="D732" i="2" l="1"/>
  <c r="D343" i="2"/>
  <c r="D487" i="2"/>
  <c r="D632" i="2" s="1"/>
  <c r="D225" i="2"/>
  <c r="D378" i="2"/>
  <c r="D523" i="2" s="1"/>
  <c r="D265" i="2"/>
  <c r="D415" i="2"/>
  <c r="D560" i="2" s="1"/>
  <c r="D682" i="2"/>
  <c r="D304" i="2"/>
  <c r="D451" i="2"/>
  <c r="D596" i="2" s="1"/>
  <c r="D707" i="2"/>
  <c r="D667" i="2"/>
  <c r="D197" i="2"/>
  <c r="D668" i="2" l="1"/>
  <c r="D198" i="2"/>
  <c r="D669" i="2" s="1"/>
  <c r="D416" i="2"/>
  <c r="D561" i="2" s="1"/>
  <c r="D266" i="2"/>
  <c r="D683" i="2"/>
  <c r="D226" i="2"/>
  <c r="D379" i="2"/>
  <c r="D524" i="2" s="1"/>
  <c r="D344" i="2"/>
  <c r="D488" i="2"/>
  <c r="D633" i="2" s="1"/>
  <c r="D733" i="2"/>
  <c r="D452" i="2"/>
  <c r="D597" i="2" s="1"/>
  <c r="D708" i="2"/>
  <c r="D305" i="2"/>
  <c r="D417" i="2" l="1"/>
  <c r="D562" i="2" s="1"/>
  <c r="D267" i="2"/>
  <c r="D684" i="2"/>
  <c r="D345" i="2"/>
  <c r="D489" i="2"/>
  <c r="D634" i="2" s="1"/>
  <c r="D734" i="2"/>
  <c r="D306" i="2"/>
  <c r="D453" i="2"/>
  <c r="D598" i="2" s="1"/>
  <c r="D709" i="2"/>
  <c r="D227" i="2"/>
  <c r="D380" i="2"/>
  <c r="D525" i="2" s="1"/>
  <c r="D307" i="2" l="1"/>
  <c r="D710" i="2"/>
  <c r="D454" i="2"/>
  <c r="D599" i="2" s="1"/>
  <c r="D346" i="2"/>
  <c r="D490" i="2"/>
  <c r="D635" i="2" s="1"/>
  <c r="D735" i="2"/>
  <c r="D228" i="2"/>
  <c r="D381" i="2"/>
  <c r="D526" i="2" s="1"/>
  <c r="D418" i="2"/>
  <c r="D563" i="2" s="1"/>
  <c r="D268" i="2"/>
  <c r="D685" i="2"/>
  <c r="D229" i="2" l="1"/>
  <c r="D382" i="2"/>
  <c r="D527" i="2" s="1"/>
  <c r="D491" i="2"/>
  <c r="D636" i="2" s="1"/>
  <c r="D736" i="2"/>
  <c r="D347" i="2"/>
  <c r="D419" i="2"/>
  <c r="D564" i="2" s="1"/>
  <c r="D269" i="2"/>
  <c r="D686" i="2"/>
  <c r="D308" i="2"/>
  <c r="D455" i="2"/>
  <c r="D600" i="2" s="1"/>
  <c r="D711" i="2"/>
  <c r="D420" i="2" l="1"/>
  <c r="D565" i="2" s="1"/>
  <c r="D270" i="2"/>
  <c r="D687" i="2"/>
  <c r="D737" i="2"/>
  <c r="D348" i="2"/>
  <c r="D492" i="2"/>
  <c r="D637" i="2" s="1"/>
  <c r="D456" i="2"/>
  <c r="D601" i="2" s="1"/>
  <c r="D712" i="2"/>
  <c r="D309" i="2"/>
  <c r="D383" i="2"/>
  <c r="D528" i="2" s="1"/>
  <c r="D230" i="2"/>
  <c r="D457" i="2" l="1"/>
  <c r="D602" i="2" s="1"/>
  <c r="D713" i="2"/>
  <c r="D310" i="2"/>
  <c r="D349" i="2"/>
  <c r="D493" i="2"/>
  <c r="D638" i="2" s="1"/>
  <c r="D738" i="2"/>
  <c r="D384" i="2"/>
  <c r="D529" i="2" s="1"/>
  <c r="D231" i="2"/>
  <c r="D421" i="2"/>
  <c r="D566" i="2" s="1"/>
  <c r="D271" i="2"/>
  <c r="D688" i="2"/>
  <c r="D458" i="2" l="1"/>
  <c r="D603" i="2" s="1"/>
  <c r="D311" i="2"/>
  <c r="D714" i="2"/>
  <c r="D232" i="2"/>
  <c r="D385" i="2"/>
  <c r="D530" i="2" s="1"/>
  <c r="D494" i="2"/>
  <c r="D639" i="2" s="1"/>
  <c r="D739" i="2"/>
  <c r="D350" i="2"/>
  <c r="D272" i="2"/>
  <c r="D689" i="2"/>
  <c r="D422" i="2"/>
  <c r="D567" i="2" s="1"/>
  <c r="D233" i="2" l="1"/>
  <c r="D386" i="2"/>
  <c r="D531" i="2" s="1"/>
  <c r="D740" i="2"/>
  <c r="D351" i="2"/>
  <c r="D495" i="2"/>
  <c r="D640" i="2" s="1"/>
  <c r="D312" i="2"/>
  <c r="D459" i="2"/>
  <c r="D604" i="2" s="1"/>
  <c r="D715" i="2"/>
  <c r="D273" i="2"/>
  <c r="D423" i="2"/>
  <c r="D568" i="2" s="1"/>
  <c r="D690" i="2"/>
  <c r="D313" i="2" l="1"/>
  <c r="D460" i="2"/>
  <c r="D605" i="2" s="1"/>
  <c r="D716" i="2"/>
  <c r="D352" i="2"/>
  <c r="D496" i="2"/>
  <c r="D641" i="2" s="1"/>
  <c r="D741" i="2"/>
  <c r="D424" i="2"/>
  <c r="D569" i="2" s="1"/>
  <c r="D274" i="2"/>
  <c r="D691" i="2"/>
  <c r="D234" i="2"/>
  <c r="D387" i="2"/>
  <c r="D532" i="2" s="1"/>
  <c r="D692" i="2" l="1"/>
  <c r="D425" i="2"/>
  <c r="D570" i="2" s="1"/>
  <c r="D275" i="2"/>
  <c r="D353" i="2"/>
  <c r="D497" i="2"/>
  <c r="D642" i="2" s="1"/>
  <c r="D742" i="2"/>
  <c r="D235" i="2"/>
  <c r="D388" i="2"/>
  <c r="D533" i="2" s="1"/>
  <c r="D314" i="2"/>
  <c r="D461" i="2"/>
  <c r="D606" i="2" s="1"/>
  <c r="D717" i="2"/>
  <c r="D236" i="2" l="1"/>
  <c r="D389" i="2"/>
  <c r="D534" i="2" s="1"/>
  <c r="D354" i="2"/>
  <c r="D743" i="2"/>
  <c r="D498" i="2"/>
  <c r="D643" i="2" s="1"/>
  <c r="D426" i="2"/>
  <c r="D571" i="2" s="1"/>
  <c r="D693" i="2"/>
  <c r="D276" i="2"/>
  <c r="D462" i="2"/>
  <c r="D607" i="2" s="1"/>
  <c r="D315" i="2"/>
  <c r="D718" i="2"/>
  <c r="D463" i="2" l="1"/>
  <c r="D608" i="2" s="1"/>
  <c r="D719" i="2"/>
  <c r="D427" i="2"/>
  <c r="D572" i="2" s="1"/>
  <c r="D694" i="2"/>
  <c r="D744" i="2"/>
  <c r="E36" i="3" s="1"/>
  <c r="D499" i="2"/>
  <c r="D237" i="2"/>
  <c r="D391" i="2" s="1"/>
  <c r="D536" i="2" s="1"/>
  <c r="D390" i="2"/>
  <c r="D535" i="2" s="1"/>
  <c r="D644" i="2" l="1"/>
  <c r="E24" i="3" s="1"/>
  <c r="E43" i="3" s="1"/>
  <c r="E45" i="3" s="1"/>
  <c r="E12" i="3"/>
</calcChain>
</file>

<file path=xl/sharedStrings.xml><?xml version="1.0" encoding="utf-8"?>
<sst xmlns="http://schemas.openxmlformats.org/spreadsheetml/2006/main" count="3498" uniqueCount="1057">
  <si>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</si>
  <si>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</si>
  <si>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</si>
  <si>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</si>
  <si>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</si>
  <si>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</si>
  <si>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</si>
  <si>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</si>
  <si>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</si>
  <si>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</si>
  <si>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</si>
  <si>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</si>
  <si>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</si>
  <si>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</si>
  <si>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</si>
  <si>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</si>
  <si>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</si>
  <si>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</si>
  <si>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</si>
  <si>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</si>
  <si>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</si>
  <si>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</si>
  <si>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</si>
  <si>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</si>
  <si>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</si>
  <si>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</si>
  <si>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</si>
  <si>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</si>
  <si>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</si>
  <si>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</si>
  <si>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</si>
  <si>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</si>
  <si>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</si>
  <si>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</si>
  <si>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</si>
  <si>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</si>
  <si>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</si>
  <si>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</si>
  <si>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</si>
  <si>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</si>
  <si>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</si>
  <si>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</si>
  <si>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</si>
  <si>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</si>
  <si>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</si>
  <si>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</si>
  <si>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</si>
  <si>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</si>
  <si>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</si>
  <si>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</si>
  <si>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</si>
  <si>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</si>
  <si>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</si>
  <si>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</si>
  <si>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</si>
  <si>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</si>
  <si>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</si>
  <si>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</si>
  <si>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</si>
  <si>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</si>
  <si>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</si>
  <si>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</si>
  <si>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</si>
  <si>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</si>
  <si>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</si>
  <si>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</si>
  <si>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</si>
  <si>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</si>
  <si>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</si>
  <si>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</si>
  <si>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</si>
  <si>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</si>
  <si>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</si>
  <si>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</si>
  <si>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</si>
  <si>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</si>
  <si>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</si>
  <si>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</si>
  <si>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</si>
  <si>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</si>
  <si>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</si>
  <si>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</si>
  <si>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</si>
  <si>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</si>
  <si>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</si>
  <si>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</si>
  <si>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</si>
  <si>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</si>
  <si>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</si>
  <si>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</si>
  <si>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</si>
  <si>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</si>
  <si>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</si>
  <si>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</si>
  <si>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</si>
  <si>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</si>
  <si>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</si>
  <si>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</si>
  <si>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</si>
  <si>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</si>
  <si>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</si>
  <si>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</si>
  <si>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</si>
  <si>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</si>
  <si>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</si>
  <si>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</si>
  <si>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</si>
  <si>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</si>
  <si>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</si>
  <si>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</si>
  <si>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</si>
  <si>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</si>
  <si>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</si>
  <si>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</si>
  <si>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</si>
  <si>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</si>
  <si>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</si>
  <si>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</si>
  <si>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</si>
  <si>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</si>
  <si>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</si>
  <si>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</si>
  <si>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</si>
  <si>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</si>
  <si>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</si>
  <si>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</si>
  <si>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</si>
  <si>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</si>
  <si>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</si>
  <si>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</si>
  <si>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</si>
  <si>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</si>
  <si>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</si>
  <si>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</si>
  <si>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</si>
  <si>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</si>
  <si>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</si>
  <si>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</si>
  <si>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</si>
  <si>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</si>
  <si>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</si>
  <si>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</si>
  <si>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</si>
  <si>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</si>
  <si>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</si>
  <si>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</si>
  <si>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</si>
  <si>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</si>
  <si>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</si>
  <si>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</si>
  <si>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</si>
  <si>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</si>
  <si>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</si>
  <si>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</si>
  <si>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</si>
  <si>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</si>
  <si>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</si>
  <si>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</si>
  <si>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</si>
  <si>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</si>
  <si>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</si>
  <si>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</si>
  <si>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</si>
  <si>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</si>
  <si>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</si>
  <si>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</si>
  <si>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</si>
  <si>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</si>
  <si>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</si>
  <si>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</si>
  <si>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</si>
  <si>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</si>
  <si>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</si>
  <si>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</si>
  <si>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</si>
  <si>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</si>
  <si>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</si>
  <si>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</si>
  <si>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</si>
  <si>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</si>
  <si>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</si>
  <si>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</si>
  <si>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</si>
  <si>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</si>
  <si>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</si>
  <si>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</si>
  <si>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</si>
  <si>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</si>
  <si>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</si>
  <si>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</si>
  <si>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</si>
  <si>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</si>
  <si>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</si>
  <si>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</si>
  <si>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</si>
  <si>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</si>
  <si>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</si>
  <si>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</si>
  <si>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</si>
  <si>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</si>
  <si>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</si>
  <si>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</si>
  <si>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</si>
  <si>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</si>
  <si>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</si>
  <si>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</si>
  <si>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</si>
  <si>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</si>
  <si>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</si>
  <si>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</si>
  <si>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</si>
  <si>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</si>
  <si>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</si>
  <si>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</si>
  <si>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</si>
  <si>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</si>
  <si>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</si>
  <si>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</si>
  <si>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</si>
  <si>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</si>
  <si>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</si>
  <si>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</si>
  <si>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</si>
  <si>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</si>
  <si>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</si>
  <si>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</si>
  <si>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</si>
  <si>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</si>
  <si>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</si>
  <si>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</si>
  <si>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</si>
  <si>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</si>
  <si>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</si>
  <si>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</si>
  <si>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</si>
  <si>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</si>
  <si>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</si>
  <si>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</si>
  <si>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</si>
  <si>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</si>
  <si>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</si>
  <si>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</si>
  <si>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</si>
  <si>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</si>
  <si>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</si>
  <si>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</si>
  <si>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</si>
  <si>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</si>
  <si>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</si>
  <si>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</si>
  <si>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</si>
  <si>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</si>
  <si>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</si>
  <si>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</si>
  <si>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</si>
  <si>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</si>
  <si>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</si>
  <si>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</si>
  <si>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</si>
  <si>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</si>
  <si>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</si>
  <si>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</si>
  <si>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</si>
  <si>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</si>
  <si>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</si>
  <si>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</si>
  <si>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</si>
  <si>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</si>
  <si>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</si>
  <si>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</si>
  <si>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</si>
  <si>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</si>
  <si>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</si>
  <si>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</si>
  <si>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</si>
  <si>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</si>
  <si>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</si>
  <si>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</si>
  <si>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</si>
  <si>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</si>
  <si>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</si>
  <si>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</si>
  <si>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</si>
  <si>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</si>
  <si>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</si>
  <si>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</si>
  <si>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</si>
  <si>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</si>
  <si>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</si>
  <si>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</si>
  <si>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</si>
  <si>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</si>
  <si>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</si>
  <si>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</si>
  <si>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</si>
  <si>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</si>
  <si>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</si>
  <si>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</si>
  <si>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</si>
  <si>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</si>
  <si>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</si>
  <si>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</si>
  <si>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</si>
  <si>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</si>
  <si>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</si>
  <si>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</si>
  <si>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</si>
  <si>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</si>
  <si>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</si>
  <si>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</si>
  <si>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</si>
  <si>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</si>
  <si>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</si>
  <si>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</si>
  <si>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</si>
  <si>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</si>
  <si>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</si>
  <si>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</si>
  <si>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</si>
  <si>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</si>
  <si>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</si>
  <si>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</si>
  <si>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</si>
  <si>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</si>
  <si>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</si>
  <si>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</si>
  <si>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</si>
  <si>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</si>
  <si>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</si>
  <si>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</si>
  <si>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</si>
  <si>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</si>
  <si>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</si>
  <si>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</si>
  <si>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</si>
  <si>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</si>
  <si>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</si>
  <si>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</si>
  <si>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</si>
  <si>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</si>
  <si>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</si>
  <si>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</si>
  <si>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</si>
  <si>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</si>
  <si>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</si>
  <si>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</si>
  <si>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</si>
  <si>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</si>
  <si>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</si>
  <si>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</si>
  <si>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</si>
  <si>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</si>
  <si>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</si>
  <si>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</si>
  <si>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</si>
  <si>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</si>
  <si>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</si>
  <si>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</si>
  <si>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</si>
  <si>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</si>
  <si>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</si>
  <si>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</si>
  <si>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</si>
  <si>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</si>
  <si>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</si>
  <si>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</si>
  <si>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</si>
  <si>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</si>
  <si>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</si>
  <si>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</si>
  <si>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</si>
  <si>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</si>
  <si>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</si>
  <si>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</si>
  <si>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</si>
  <si>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</si>
  <si>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</si>
  <si>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</si>
  <si>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</si>
  <si>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</si>
  <si>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</si>
  <si>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</si>
  <si>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</si>
  <si>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</si>
  <si>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</si>
  <si>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</si>
  <si>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</si>
  <si>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</si>
  <si>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</si>
  <si>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</si>
  <si>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</si>
  <si>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</si>
  <si>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</si>
  <si>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</si>
  <si>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</si>
  <si>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</si>
  <si>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</si>
  <si>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</si>
  <si>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</si>
  <si>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</si>
  <si>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</si>
  <si>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</si>
  <si>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</si>
  <si>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</si>
  <si>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</si>
  <si>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</si>
  <si>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</si>
  <si>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</si>
  <si>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</si>
  <si>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</si>
  <si>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</si>
  <si>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</si>
  <si>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</si>
  <si>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</si>
  <si>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</si>
  <si>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</si>
  <si>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</si>
  <si>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</si>
  <si>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</si>
  <si>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</si>
  <si>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</si>
  <si>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</si>
  <si>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</si>
  <si>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</si>
  <si>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</si>
  <si>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</si>
  <si>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</si>
  <si>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</si>
  <si>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</si>
  <si>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</si>
  <si>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</si>
  <si>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</si>
  <si>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</si>
  <si>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</si>
  <si>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</si>
  <si>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</si>
  <si>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</si>
  <si>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</si>
  <si>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</si>
  <si>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</si>
  <si>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</si>
  <si>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</si>
  <si>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</si>
  <si>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</si>
  <si>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</si>
  <si>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</si>
  <si>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</si>
  <si>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</si>
  <si>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</si>
  <si>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</si>
  <si>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</si>
  <si>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</si>
  <si>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</si>
  <si>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</si>
  <si>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</si>
  <si>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</si>
  <si>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</si>
  <si>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</si>
  <si>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</si>
  <si>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</si>
  <si>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</si>
  <si>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</si>
  <si>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</si>
  <si>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</si>
  <si>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</si>
  <si>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</si>
  <si>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</si>
  <si>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</si>
  <si>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</si>
  <si>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</si>
  <si>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</si>
  <si>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</si>
  <si>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</si>
  <si>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</si>
  <si>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</si>
  <si>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</si>
  <si>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</si>
  <si>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</si>
  <si>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</si>
  <si>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</si>
  <si>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</si>
  <si>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</si>
  <si>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</si>
  <si>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</si>
  <si>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</si>
  <si>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</si>
  <si>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</si>
  <si>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</si>
  <si>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</si>
  <si>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</si>
  <si>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</si>
  <si>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</si>
  <si>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</si>
  <si>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</si>
  <si>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</si>
  <si>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</si>
  <si>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</si>
  <si>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</si>
  <si>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</si>
  <si>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</si>
  <si>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</si>
  <si>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</si>
  <si>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</si>
  <si>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</si>
  <si>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</si>
  <si>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</si>
  <si>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</si>
  <si>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</si>
  <si>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</si>
  <si>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</si>
  <si>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</si>
  <si>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</si>
  <si>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</si>
  <si>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</si>
  <si>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</si>
  <si>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</si>
  <si>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</si>
  <si>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</si>
  <si>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</si>
  <si>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</si>
  <si>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</si>
  <si>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</si>
  <si>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</si>
  <si>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</si>
  <si>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</si>
  <si>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</si>
  <si>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</si>
  <si>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</si>
  <si>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</si>
  <si>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</si>
  <si>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</si>
  <si>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</si>
  <si>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</si>
  <si>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</si>
  <si>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</si>
  <si>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</si>
  <si>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</si>
  <si>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</si>
  <si>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</si>
  <si>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</si>
  <si>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</si>
  <si>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</si>
  <si>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</si>
  <si>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</si>
  <si>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</si>
  <si>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</si>
  <si>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</si>
  <si>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</si>
  <si>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</si>
  <si>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</si>
  <si>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</si>
  <si>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</si>
  <si>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</si>
  <si>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</si>
  <si>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</si>
  <si>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</si>
  <si>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</si>
  <si>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</si>
  <si>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</si>
  <si>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</si>
  <si>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</si>
  <si>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</si>
  <si>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</si>
  <si>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</si>
  <si>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</si>
  <si>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</si>
  <si>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</si>
  <si>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</si>
  <si>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</si>
  <si>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</si>
  <si>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</si>
  <si>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</si>
  <si>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</si>
  <si>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</si>
  <si>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</si>
  <si>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</si>
  <si>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</si>
  <si>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</si>
  <si>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</si>
  <si>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</si>
  <si>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</si>
  <si>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</si>
  <si>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</si>
  <si>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</si>
  <si>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</si>
  <si>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</si>
  <si>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</si>
  <si>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</si>
  <si>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</si>
  <si>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</si>
  <si>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</si>
  <si>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</si>
  <si>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</si>
  <si>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</si>
  <si>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</si>
  <si>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</si>
  <si>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</si>
  <si>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</si>
  <si>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</si>
  <si>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</si>
  <si>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</si>
  <si>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</si>
  <si>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</si>
  <si>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</si>
  <si>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</si>
  <si>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</si>
  <si>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</si>
  <si>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</si>
  <si>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</si>
  <si>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</si>
  <si>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</si>
  <si>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</si>
  <si>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</si>
  <si>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</si>
  <si>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</si>
  <si>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</si>
  <si>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</si>
  <si>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</si>
  <si>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</si>
  <si>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</si>
  <si>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</si>
  <si>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</si>
  <si>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</si>
  <si>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</si>
  <si>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</si>
  <si>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</si>
  <si>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</si>
  <si>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</si>
  <si>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</si>
  <si>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</si>
  <si>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</si>
  <si>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</si>
  <si>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</si>
  <si>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</si>
  <si>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</si>
  <si>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</si>
  <si>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</si>
  <si>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</si>
  <si>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</si>
  <si>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</si>
  <si>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</si>
  <si>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</si>
  <si>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</si>
  <si>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</si>
  <si>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</si>
  <si>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</si>
  <si>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</si>
  <si>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</si>
  <si>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</si>
  <si>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</si>
  <si>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</si>
  <si>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</si>
  <si>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</si>
  <si>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</si>
  <si>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</si>
  <si>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</si>
  <si>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</si>
  <si>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</si>
  <si>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</si>
  <si>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</si>
  <si>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</si>
  <si>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</si>
  <si>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</si>
  <si>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</si>
  <si>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</si>
  <si>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</si>
  <si>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</si>
  <si>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</si>
  <si>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</si>
  <si>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</si>
  <si>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</si>
  <si>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</si>
  <si>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</si>
  <si>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</si>
  <si>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</si>
  <si>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</si>
  <si>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</si>
  <si>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</si>
  <si>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</si>
  <si>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</si>
  <si>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</si>
  <si>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</si>
  <si>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</si>
  <si>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</si>
  <si>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</si>
  <si>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</si>
  <si>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</si>
  <si>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</si>
  <si>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</si>
  <si>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</si>
  <si>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</si>
  <si>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</si>
  <si>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</si>
  <si>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</si>
  <si>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</si>
  <si>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</si>
  <si>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</si>
  <si>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</si>
  <si>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</si>
  <si>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</si>
  <si>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</si>
  <si>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</si>
  <si>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</si>
  <si>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</si>
  <si>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</si>
  <si>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</si>
  <si>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</si>
  <si>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</si>
  <si>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</si>
  <si>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</si>
  <si>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</si>
  <si>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</si>
  <si>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</si>
  <si>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</si>
  <si>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</si>
  <si>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</si>
  <si>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</si>
  <si>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</si>
  <si>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</si>
  <si>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</si>
  <si>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</si>
  <si>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</si>
  <si>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</si>
  <si>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</si>
  <si>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</si>
  <si>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</si>
  <si>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</si>
  <si>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</si>
  <si>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</si>
  <si>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</si>
  <si>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</si>
  <si>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</si>
  <si>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</si>
  <si>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</si>
  <si>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</si>
  <si>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</si>
  <si>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</si>
  <si>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</si>
  <si>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</si>
  <si>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</si>
  <si>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</si>
  <si>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</si>
  <si>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</si>
  <si>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</si>
  <si>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</si>
  <si>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</si>
  <si>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</si>
  <si>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</si>
  <si>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</si>
  <si>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</si>
  <si>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</si>
  <si>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</si>
  <si>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</si>
  <si>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</si>
  <si>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</si>
  <si>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</si>
  <si>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</si>
  <si>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</si>
  <si>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</si>
  <si>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</si>
  <si>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</si>
  <si>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</si>
  <si>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</si>
  <si>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</si>
  <si>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</si>
  <si>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</si>
  <si>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</si>
  <si>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</si>
  <si>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</si>
  <si>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</si>
  <si>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</si>
  <si>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</si>
  <si>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</si>
  <si>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</si>
  <si>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</si>
  <si>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</si>
  <si>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</si>
  <si>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</si>
  <si>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</si>
  <si>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</si>
  <si>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</si>
  <si>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</si>
  <si>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</si>
  <si>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</si>
  <si>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</si>
  <si>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</si>
  <si>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</si>
  <si>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</si>
  <si>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</si>
  <si>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</si>
  <si>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</si>
  <si>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</si>
  <si>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</si>
  <si>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</si>
  <si>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</si>
  <si>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</si>
  <si>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</si>
  <si>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</si>
  <si>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</si>
  <si>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</si>
  <si>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</si>
  <si>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</si>
  <si>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</si>
  <si>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</si>
  <si>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</si>
  <si>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</si>
  <si>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</si>
  <si>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</si>
  <si>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</si>
  <si>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</si>
  <si>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</si>
  <si>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</si>
  <si>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</si>
  <si>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</si>
  <si>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</si>
  <si>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</si>
  <si>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</si>
  <si>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</si>
  <si>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</si>
  <si>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</si>
  <si>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</si>
  <si>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</si>
  <si>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</si>
  <si>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</si>
  <si>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</si>
  <si>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</si>
  <si>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</si>
  <si>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</si>
  <si>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</si>
  <si>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</si>
  <si>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</si>
  <si>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</si>
  <si>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</si>
  <si>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</si>
  <si>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</si>
  <si>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</si>
  <si>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</si>
  <si>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</si>
  <si>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</si>
  <si>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</si>
  <si>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</si>
  <si>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</si>
  <si>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</si>
  <si>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</si>
  <si>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</si>
  <si>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</si>
  <si>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</si>
  <si>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</si>
  <si>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</si>
  <si>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</si>
  <si>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</si>
  <si>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</si>
  <si>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</si>
  <si>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</si>
  <si>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</si>
  <si>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</si>
  <si>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</si>
  <si>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</si>
  <si>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</si>
  <si>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</si>
  <si>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</si>
  <si>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</si>
  <si>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</si>
  <si>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</si>
  <si>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</si>
  <si>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</si>
  <si>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</si>
  <si>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</si>
  <si>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</si>
  <si>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</si>
  <si>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</si>
  <si>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</si>
  <si>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</si>
  <si>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</si>
  <si>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</si>
  <si>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</si>
  <si>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</si>
  <si>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</si>
  <si>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</si>
  <si>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</si>
  <si>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</si>
  <si>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</si>
  <si>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</si>
  <si>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</si>
  <si>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</si>
  <si>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</si>
  <si>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</si>
  <si>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</si>
  <si>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</si>
  <si>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</si>
  <si>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</si>
  <si>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</si>
  <si>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</si>
  <si>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</si>
  <si>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</si>
  <si>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</si>
  <si>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</si>
  <si>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</si>
  <si>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</si>
  <si>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</si>
  <si>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</si>
  <si>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</si>
  <si>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</si>
  <si>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</si>
  <si>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</si>
  <si>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</si>
  <si>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</si>
  <si>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</si>
  <si>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</si>
  <si>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</si>
  <si>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</si>
  <si>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</si>
  <si>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</si>
  <si>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</si>
  <si>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</si>
  <si>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</si>
  <si>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</si>
  <si>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</si>
  <si>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</si>
  <si>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</si>
  <si>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</si>
  <si>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</si>
  <si>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</si>
  <si>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</si>
  <si>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</si>
  <si>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</si>
  <si>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</si>
  <si>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</si>
  <si>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</si>
  <si>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</si>
  <si>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</si>
  <si>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</si>
  <si>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</si>
  <si>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</si>
  <si>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</si>
  <si>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</si>
  <si>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</si>
  <si>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</si>
  <si>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</si>
  <si>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</si>
  <si>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</si>
  <si>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</si>
  <si>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</si>
  <si>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</si>
  <si>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</si>
  <si>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</si>
  <si>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</si>
  <si>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</si>
  <si>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</si>
  <si>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</si>
  <si>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</si>
  <si>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</si>
  <si>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</si>
  <si>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</si>
  <si>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</si>
  <si>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</si>
  <si>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</si>
  <si>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</si>
  <si>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</si>
  <si>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</si>
  <si>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</si>
  <si>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</si>
  <si>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</si>
  <si>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</si>
  <si>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</si>
  <si>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</si>
  <si>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</si>
  <si>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</si>
  <si>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</si>
  <si>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</si>
  <si>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</si>
  <si>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</si>
  <si>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</si>
  <si>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</si>
  <si>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</si>
  <si>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</si>
  <si>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</si>
  <si>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</si>
  <si>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</si>
  <si>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</si>
  <si>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</si>
  <si>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</si>
  <si>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</si>
  <si>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</si>
  <si>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</si>
  <si>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</si>
  <si>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</si>
  <si>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</si>
  <si>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</si>
  <si>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</si>
  <si>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</si>
  <si>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</si>
  <si>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</si>
  <si>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</si>
  <si>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</si>
  <si>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</si>
  <si>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</si>
  <si>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</si>
  <si>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</si>
  <si>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</si>
  <si>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</si>
  <si>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</si>
  <si>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</si>
  <si>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</si>
  <si>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</si>
  <si>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</si>
  <si>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</si>
  <si>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</si>
  <si>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</si>
  <si>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</si>
  <si>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</si>
  <si>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</si>
  <si>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</si>
  <si>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</si>
  <si>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</si>
  <si>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</si>
  <si>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</si>
  <si>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</si>
  <si>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</si>
  <si>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</si>
  <si>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</si>
  <si>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</si>
  <si>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</si>
  <si>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</si>
  <si>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</si>
  <si>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</si>
  <si>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</si>
  <si>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</si>
  <si>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</si>
  <si>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</si>
  <si>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</si>
  <si>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</si>
  <si>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</si>
  <si>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</si>
  <si>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</si>
  <si>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</si>
  <si>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</si>
  <si>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</si>
  <si>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</si>
  <si>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</si>
  <si>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</si>
  <si>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</si>
  <si>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</si>
  <si>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</si>
  <si>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</si>
  <si>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</si>
  <si>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</si>
  <si>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</si>
  <si>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</si>
  <si>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</si>
  <si>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</si>
  <si>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</si>
  <si>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</si>
  <si>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</si>
  <si>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</si>
  <si>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</si>
  <si>
    <t>Step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</si>
</sst>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9" fontId="2" fillId="0" borderId="0" xfId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  <xf numFmtId="0" fontId="0" fillId="8" borderId="0" xfId="0" applyFill="1"/>
    <xf numFmtId="0" fontId="2" fillId="8" borderId="0" xfId="0" applyFont="1" applyFill="1"/>
    <xf numFmtId="1" fontId="2" fillId="8" borderId="0" xfId="1" applyNumberFormat="1" applyFont="1" applyFill="1" applyBorder="1"/>
    <xf numFmtId="164" fontId="2" fillId="8" borderId="0" xfId="1" applyNumberFormat="1" applyFont="1" applyFill="1" applyBorder="1"/>
    <xf numFmtId="10" fontId="2" fillId="8" borderId="0" xfId="1" applyNumberFormat="1" applyFont="1" applyFill="1" applyBorder="1"/>
    <xf numFmtId="9" fontId="2" fillId="8" borderId="0" xfId="1" applyFont="1" applyFill="1" applyBorder="1"/>
    <xf numFmtId="0" fontId="2" fillId="8" borderId="0" xfId="1" applyNumberFormat="1" applyFont="1" applyFill="1" applyBorder="1"/>
    <xf numFmtId="9" fontId="3" fillId="8" borderId="0" xfId="1" applyFont="1" applyFill="1" applyBorder="1"/>
    <xf numFmtId="164" fontId="0" fillId="8" borderId="0" xfId="1" applyNumberFormat="1" applyFont="1" applyFill="1"/>
    <xf numFmtId="1" fontId="0" fillId="8" borderId="0" xfId="1" applyNumberFormat="1" applyFont="1" applyFill="1"/>
    <xf numFmtId="10" fontId="0" fillId="8" borderId="0" xfId="1" applyNumberFormat="1" applyFont="1" applyFill="1"/>
    <xf numFmtId="166" fontId="0" fillId="8" borderId="0" xfId="1" applyNumberFormat="1" applyFont="1" applyFill="1"/>
    <xf numFmtId="0" fontId="0" fillId="8" borderId="0" xfId="1" applyNumberFormat="1" applyFont="1" applyFill="1"/>
    <xf numFmtId="0" fontId="2" fillId="8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Z140"/>
  <sheetViews>
    <sheetView tabSelected="1" zoomScale="85" zoomScaleNormal="85" workbookViewId="0">
      <selection activeCell="I6" sqref="I6"/>
    </sheetView>
  </sheetViews>
  <sheetFormatPr defaultColWidth="11.25" defaultRowHeight="15.75" x14ac:dyDescent="0.25"/>
  <cols>
    <col min="2" max="2" width="25.75" customWidth="1"/>
    <col min="3" max="3" width="51.25" customWidth="1"/>
    <col min="4" max="4" width="88.875" customWidth="1"/>
    <col min="5" max="5" width="13.25" style="5" bestFit="1" customWidth="1"/>
    <col min="6" max="6" width="16.75" bestFit="1" customWidth="1"/>
    <col min="7" max="7" width="16.75" customWidth="1"/>
    <col min="8" max="9" width="12.25" bestFit="1" customWidth="1"/>
    <col min="12" max="12" width="60.125" customWidth="1"/>
    <col min="13" max="13" width="16.625" customWidth="1"/>
    <col min="14" max="14" width="47.75" bestFit="1" customWidth="1"/>
  </cols>
  <sheetData>
    <row r="1" spans="1:156" x14ac:dyDescent="0.25">
      <c r="A1" s="2"/>
      <c r="B1" s="2"/>
      <c r="C1" s="2" t="s">
        <v>14</v>
      </c>
      <c r="D1" s="2" t="s">
        <v>12</v>
      </c>
      <c r="E1" s="3"/>
      <c r="F1" s="2"/>
      <c r="G1" s="2"/>
      <c r="H1" s="2" t="s">
        <v>15</v>
      </c>
      <c r="I1" s="2" t="s">
        <v>15</v>
      </c>
      <c r="J1" s="2" t="s">
        <v>14</v>
      </c>
      <c r="K1" s="2"/>
      <c r="L1" s="2"/>
      <c r="M1" s="2"/>
      <c r="N1" s="2"/>
    </row>
    <row r="2" spans="1:156" x14ac:dyDescent="0.25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1056</v>
      </c>
      <c r="H2" s="1" t="s">
        <v>4</v>
      </c>
      <c r="I2" s="1" t="s">
        <v>5</v>
      </c>
      <c r="J2" s="1" t="s">
        <v>6</v>
      </c>
      <c r="K2" s="1" t="s">
        <v>1017</v>
      </c>
      <c r="L2" s="1" t="s">
        <v>1018</v>
      </c>
      <c r="M2" s="1" t="s">
        <v>986</v>
      </c>
      <c r="N2" s="1" t="s">
        <v>8</v>
      </c>
    </row>
    <row r="3" spans="1:156" s="31" customFormat="1" x14ac:dyDescent="0.25">
      <c r="B3" s="32" t="s">
        <v>988</v>
      </c>
      <c r="C3" s="31" t="s">
        <v>17</v>
      </c>
      <c r="D3" s="32" t="s">
        <v>989</v>
      </c>
      <c r="E3" s="33">
        <v>645273</v>
      </c>
      <c r="F3" s="32" t="s">
        <v>10</v>
      </c>
      <c r="G3" s="32">
        <v>1</v>
      </c>
      <c r="H3" s="32">
        <v>0</v>
      </c>
      <c r="I3" s="32">
        <v>60000000</v>
      </c>
      <c r="J3" s="32" t="s">
        <v>26</v>
      </c>
      <c r="K3" s="32" t="s">
        <v>10</v>
      </c>
      <c r="L3" s="32" t="s">
        <v>989</v>
      </c>
      <c r="M3" s="32" t="s">
        <v>987</v>
      </c>
      <c r="N3" s="32" t="s">
        <v>245</v>
      </c>
    </row>
    <row r="4" spans="1:156" s="31" customFormat="1" x14ac:dyDescent="0.25">
      <c r="B4" s="32" t="s">
        <v>988</v>
      </c>
      <c r="C4" s="31" t="s">
        <v>17</v>
      </c>
      <c r="D4" s="32" t="s">
        <v>246</v>
      </c>
      <c r="E4" s="34">
        <v>3.9</v>
      </c>
      <c r="F4" s="32" t="s">
        <v>10</v>
      </c>
      <c r="G4" s="32">
        <v>0.1</v>
      </c>
      <c r="H4" s="32">
        <v>0</v>
      </c>
      <c r="I4" s="32">
        <v>20</v>
      </c>
      <c r="J4" s="32" t="s">
        <v>29</v>
      </c>
      <c r="K4" s="32" t="s">
        <v>9</v>
      </c>
      <c r="L4" s="32" t="s">
        <v>246</v>
      </c>
      <c r="M4" s="32" t="s">
        <v>987</v>
      </c>
      <c r="N4" s="32"/>
    </row>
    <row r="5" spans="1:156" s="31" customFormat="1" x14ac:dyDescent="0.25">
      <c r="B5" s="32" t="s">
        <v>988</v>
      </c>
      <c r="C5" s="31" t="s">
        <v>17</v>
      </c>
      <c r="D5" s="32" t="s">
        <v>34</v>
      </c>
      <c r="E5" s="35">
        <v>2.9999999999999997E-4</v>
      </c>
      <c r="F5" s="32" t="s">
        <v>10</v>
      </c>
      <c r="G5" s="32">
        <v>1.0000000000000001E-5</v>
      </c>
      <c r="H5" s="32">
        <v>0</v>
      </c>
      <c r="I5" s="32">
        <v>1</v>
      </c>
      <c r="J5" s="32" t="s">
        <v>105</v>
      </c>
      <c r="K5" s="32" t="s">
        <v>10</v>
      </c>
      <c r="L5" s="32" t="s">
        <v>34</v>
      </c>
      <c r="M5" s="32" t="s">
        <v>987</v>
      </c>
      <c r="N5" s="32"/>
    </row>
    <row r="6" spans="1:156" s="31" customFormat="1" x14ac:dyDescent="0.25">
      <c r="B6" s="32" t="s">
        <v>988</v>
      </c>
      <c r="C6" s="31" t="s">
        <v>17</v>
      </c>
      <c r="D6" s="32" t="s">
        <v>33</v>
      </c>
      <c r="E6" s="35">
        <v>6.9999999999999999E-4</v>
      </c>
      <c r="F6" s="32" t="s">
        <v>10</v>
      </c>
      <c r="G6" s="32">
        <v>1.0000000000000001E-5</v>
      </c>
      <c r="H6" s="32">
        <v>0</v>
      </c>
      <c r="I6" s="32">
        <v>1</v>
      </c>
      <c r="J6" s="32" t="s">
        <v>105</v>
      </c>
      <c r="K6" s="32" t="s">
        <v>10</v>
      </c>
      <c r="L6" s="32" t="s">
        <v>33</v>
      </c>
      <c r="M6" s="32" t="s">
        <v>987</v>
      </c>
      <c r="N6" s="32"/>
    </row>
    <row r="7" spans="1:156" s="31" customFormat="1" x14ac:dyDescent="0.25">
      <c r="B7" s="32" t="s">
        <v>988</v>
      </c>
      <c r="C7" s="32" t="s">
        <v>1051</v>
      </c>
      <c r="D7" s="32" t="s">
        <v>809</v>
      </c>
      <c r="E7" s="36">
        <v>0.2</v>
      </c>
      <c r="F7" s="32" t="s">
        <v>10</v>
      </c>
      <c r="G7" s="32">
        <v>0.1</v>
      </c>
      <c r="H7" s="37">
        <v>0</v>
      </c>
      <c r="I7" s="37">
        <v>100</v>
      </c>
      <c r="J7" s="32" t="s">
        <v>27</v>
      </c>
      <c r="K7" s="32" t="s">
        <v>9</v>
      </c>
      <c r="L7" s="32" t="s">
        <v>1038</v>
      </c>
      <c r="M7" s="32" t="s">
        <v>987</v>
      </c>
      <c r="N7" s="32"/>
    </row>
    <row r="8" spans="1:156" s="11" customFormat="1" x14ac:dyDescent="0.25">
      <c r="A8"/>
      <c r="B8" s="19" t="s">
        <v>988</v>
      </c>
      <c r="C8" s="19" t="s">
        <v>1051</v>
      </c>
      <c r="D8" s="19" t="s">
        <v>144</v>
      </c>
      <c r="E8" s="20">
        <v>0.8</v>
      </c>
      <c r="F8" s="19" t="s">
        <v>9</v>
      </c>
      <c r="G8" s="19"/>
      <c r="H8" s="19"/>
      <c r="I8" s="19"/>
      <c r="J8" s="19" t="s">
        <v>27</v>
      </c>
      <c r="K8" s="19" t="s">
        <v>9</v>
      </c>
      <c r="L8" s="19" t="s">
        <v>144</v>
      </c>
      <c r="M8" s="19" t="s">
        <v>987</v>
      </c>
      <c r="N8" s="19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</row>
    <row r="9" spans="1:156" s="11" customFormat="1" x14ac:dyDescent="0.25">
      <c r="A9"/>
      <c r="B9" s="19" t="s">
        <v>988</v>
      </c>
      <c r="C9" s="19" t="s">
        <v>1051</v>
      </c>
      <c r="D9" s="19" t="s">
        <v>145</v>
      </c>
      <c r="E9" s="20">
        <v>0.2</v>
      </c>
      <c r="F9" s="19" t="s">
        <v>9</v>
      </c>
      <c r="G9" s="19"/>
      <c r="H9" s="19"/>
      <c r="I9" s="19"/>
      <c r="J9" s="19" t="s">
        <v>27</v>
      </c>
      <c r="K9" s="19" t="s">
        <v>9</v>
      </c>
      <c r="L9" s="19" t="s">
        <v>145</v>
      </c>
      <c r="M9" s="19" t="s">
        <v>987</v>
      </c>
      <c r="N9" s="1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</row>
    <row r="10" spans="1:156" s="31" customFormat="1" x14ac:dyDescent="0.25">
      <c r="B10" s="32" t="s">
        <v>988</v>
      </c>
      <c r="C10" s="32" t="s">
        <v>1051</v>
      </c>
      <c r="D10" s="32" t="s">
        <v>811</v>
      </c>
      <c r="E10" s="35">
        <v>3.5000000000000003E-2</v>
      </c>
      <c r="F10" s="32" t="s">
        <v>10</v>
      </c>
      <c r="G10" s="32">
        <v>0.1</v>
      </c>
      <c r="H10" s="32">
        <v>0</v>
      </c>
      <c r="I10" s="32">
        <v>100</v>
      </c>
      <c r="J10" s="32" t="s">
        <v>27</v>
      </c>
      <c r="K10" s="32" t="s">
        <v>9</v>
      </c>
      <c r="L10" s="32" t="s">
        <v>1039</v>
      </c>
      <c r="M10" s="32" t="s">
        <v>987</v>
      </c>
      <c r="N10" s="32"/>
    </row>
    <row r="11" spans="1:156" s="31" customFormat="1" x14ac:dyDescent="0.25">
      <c r="B11" s="32" t="s">
        <v>988</v>
      </c>
      <c r="C11" s="32" t="s">
        <v>1052</v>
      </c>
      <c r="D11" s="32" t="s">
        <v>60</v>
      </c>
      <c r="E11" s="36">
        <v>0.2</v>
      </c>
      <c r="F11" s="32" t="s">
        <v>10</v>
      </c>
      <c r="G11" s="32">
        <v>0.1</v>
      </c>
      <c r="H11" s="37">
        <v>0</v>
      </c>
      <c r="I11" s="37">
        <v>100</v>
      </c>
      <c r="J11" s="32" t="s">
        <v>27</v>
      </c>
      <c r="K11" s="32" t="s">
        <v>9</v>
      </c>
      <c r="L11" s="32" t="s">
        <v>60</v>
      </c>
      <c r="M11" s="32" t="s">
        <v>987</v>
      </c>
      <c r="N11" s="32"/>
    </row>
    <row r="12" spans="1:156" s="11" customFormat="1" x14ac:dyDescent="0.25">
      <c r="A12"/>
      <c r="B12" s="19" t="s">
        <v>988</v>
      </c>
      <c r="C12" s="19" t="s">
        <v>1052</v>
      </c>
      <c r="D12" s="19" t="s">
        <v>146</v>
      </c>
      <c r="E12" s="20">
        <v>0.8</v>
      </c>
      <c r="F12" s="19" t="s">
        <v>9</v>
      </c>
      <c r="G12" s="19"/>
      <c r="H12" s="19"/>
      <c r="I12" s="19"/>
      <c r="J12" s="19" t="s">
        <v>27</v>
      </c>
      <c r="K12" s="19" t="s">
        <v>9</v>
      </c>
      <c r="L12" s="19" t="s">
        <v>146</v>
      </c>
      <c r="M12" s="19" t="s">
        <v>987</v>
      </c>
      <c r="N12" s="19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</row>
    <row r="13" spans="1:156" s="11" customFormat="1" x14ac:dyDescent="0.25">
      <c r="A13"/>
      <c r="B13" s="19" t="s">
        <v>988</v>
      </c>
      <c r="C13" s="19" t="s">
        <v>1052</v>
      </c>
      <c r="D13" s="19" t="s">
        <v>147</v>
      </c>
      <c r="E13" s="21">
        <v>0.2</v>
      </c>
      <c r="F13" s="19" t="s">
        <v>9</v>
      </c>
      <c r="G13" s="19"/>
      <c r="H13"/>
      <c r="I13" s="19"/>
      <c r="J13" s="19" t="s">
        <v>27</v>
      </c>
      <c r="K13" s="19" t="s">
        <v>9</v>
      </c>
      <c r="L13" s="19" t="s">
        <v>147</v>
      </c>
      <c r="M13" s="19" t="s">
        <v>987</v>
      </c>
      <c r="N13" s="19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</row>
    <row r="14" spans="1:156" s="31" customFormat="1" x14ac:dyDescent="0.25">
      <c r="B14" s="32" t="s">
        <v>988</v>
      </c>
      <c r="C14" s="32" t="s">
        <v>1052</v>
      </c>
      <c r="D14" s="32" t="s">
        <v>812</v>
      </c>
      <c r="E14" s="38">
        <v>0.1</v>
      </c>
      <c r="F14" s="32" t="s">
        <v>10</v>
      </c>
      <c r="G14" s="32">
        <v>0.1</v>
      </c>
      <c r="H14" s="32">
        <v>0</v>
      </c>
      <c r="I14" s="32">
        <v>100</v>
      </c>
      <c r="J14" s="32" t="s">
        <v>27</v>
      </c>
      <c r="K14" s="32" t="s">
        <v>9</v>
      </c>
      <c r="L14" s="32" t="s">
        <v>1040</v>
      </c>
      <c r="M14" s="32" t="s">
        <v>987</v>
      </c>
      <c r="N14" s="32"/>
    </row>
    <row r="15" spans="1:156" s="11" customFormat="1" x14ac:dyDescent="0.25">
      <c r="A15"/>
      <c r="B15" s="19" t="s">
        <v>988</v>
      </c>
      <c r="C15" s="19" t="s">
        <v>18</v>
      </c>
      <c r="D15" s="19" t="s">
        <v>148</v>
      </c>
      <c r="E15" s="20">
        <v>0.05</v>
      </c>
      <c r="F15" s="19" t="s">
        <v>9</v>
      </c>
      <c r="G15" s="19"/>
      <c r="H15" s="19"/>
      <c r="I15" s="19"/>
      <c r="J15" s="19" t="s">
        <v>27</v>
      </c>
      <c r="K15" s="19" t="s">
        <v>9</v>
      </c>
      <c r="L15" s="19" t="s">
        <v>1041</v>
      </c>
      <c r="M15" s="19" t="s">
        <v>987</v>
      </c>
      <c r="N15" s="19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</row>
    <row r="16" spans="1:156" s="11" customFormat="1" x14ac:dyDescent="0.25">
      <c r="A16"/>
      <c r="B16" s="19" t="s">
        <v>988</v>
      </c>
      <c r="C16" s="19" t="s">
        <v>18</v>
      </c>
      <c r="D16" s="19" t="s">
        <v>810</v>
      </c>
      <c r="E16" s="22">
        <v>0.05</v>
      </c>
      <c r="F16" s="19" t="s">
        <v>9</v>
      </c>
      <c r="G16" s="19"/>
      <c r="H16"/>
      <c r="I16"/>
      <c r="J16" s="19" t="s">
        <v>27</v>
      </c>
      <c r="K16" s="19" t="s">
        <v>9</v>
      </c>
      <c r="L16" s="19" t="s">
        <v>1042</v>
      </c>
      <c r="M16" s="19" t="s">
        <v>987</v>
      </c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</row>
    <row r="17" spans="1:156" s="11" customFormat="1" x14ac:dyDescent="0.25">
      <c r="A17"/>
      <c r="B17" s="19" t="s">
        <v>988</v>
      </c>
      <c r="C17" s="19" t="s">
        <v>18</v>
      </c>
      <c r="D17" s="19" t="s">
        <v>20</v>
      </c>
      <c r="E17" s="23">
        <v>0.25</v>
      </c>
      <c r="F17" t="s">
        <v>9</v>
      </c>
      <c r="G17"/>
      <c r="H17"/>
      <c r="I17"/>
      <c r="J17" t="s">
        <v>21</v>
      </c>
      <c r="K17" s="19" t="s">
        <v>9</v>
      </c>
      <c r="L17" s="19" t="s">
        <v>20</v>
      </c>
      <c r="M17" s="19" t="s">
        <v>987</v>
      </c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</row>
    <row r="18" spans="1:156" s="11" customFormat="1" x14ac:dyDescent="0.25">
      <c r="A18"/>
      <c r="B18" s="19" t="s">
        <v>988</v>
      </c>
      <c r="C18" s="19" t="s">
        <v>31</v>
      </c>
      <c r="D18" s="19" t="s">
        <v>22</v>
      </c>
      <c r="E18" s="23">
        <v>0.39600000000000002</v>
      </c>
      <c r="F18" t="s">
        <v>9</v>
      </c>
      <c r="G18"/>
      <c r="H18"/>
      <c r="I18"/>
      <c r="J18" t="s">
        <v>28</v>
      </c>
      <c r="K18" s="19" t="s">
        <v>9</v>
      </c>
      <c r="L18" s="19" t="s">
        <v>22</v>
      </c>
      <c r="M18" s="19" t="s">
        <v>987</v>
      </c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</row>
    <row r="19" spans="1:156" s="11" customFormat="1" x14ac:dyDescent="0.25">
      <c r="A19"/>
      <c r="B19" s="19" t="s">
        <v>988</v>
      </c>
      <c r="C19" s="19" t="s">
        <v>19</v>
      </c>
      <c r="D19" s="19" t="s">
        <v>23</v>
      </c>
      <c r="E19" s="23">
        <v>0.65800000000000003</v>
      </c>
      <c r="F19" t="s">
        <v>9</v>
      </c>
      <c r="G19"/>
      <c r="H19"/>
      <c r="I19"/>
      <c r="J19" t="s">
        <v>28</v>
      </c>
      <c r="K19" s="19" t="s">
        <v>9</v>
      </c>
      <c r="L19" s="19" t="s">
        <v>23</v>
      </c>
      <c r="M19" s="19" t="s">
        <v>987</v>
      </c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</row>
    <row r="20" spans="1:156" s="11" customFormat="1" x14ac:dyDescent="0.25">
      <c r="A20"/>
      <c r="B20" s="19" t="s">
        <v>988</v>
      </c>
      <c r="C20" s="19" t="s">
        <v>19</v>
      </c>
      <c r="D20" s="19" t="s">
        <v>24</v>
      </c>
      <c r="E20" s="23">
        <v>0.13300000000000001</v>
      </c>
      <c r="F20" t="s">
        <v>9</v>
      </c>
      <c r="G20"/>
      <c r="H20"/>
      <c r="I20"/>
      <c r="J20" t="s">
        <v>28</v>
      </c>
      <c r="K20" s="19" t="s">
        <v>9</v>
      </c>
      <c r="L20" s="19" t="s">
        <v>24</v>
      </c>
      <c r="M20" s="19" t="s">
        <v>987</v>
      </c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</row>
    <row r="21" spans="1:156" s="11" customFormat="1" x14ac:dyDescent="0.25">
      <c r="A21"/>
      <c r="B21" s="19" t="s">
        <v>988</v>
      </c>
      <c r="C21" s="19" t="s">
        <v>235</v>
      </c>
      <c r="D21" s="19" t="s">
        <v>241</v>
      </c>
      <c r="E21" s="23">
        <f>1-E18</f>
        <v>0.60399999999999998</v>
      </c>
      <c r="F21" t="s">
        <v>9</v>
      </c>
      <c r="G21"/>
      <c r="H21"/>
      <c r="I21"/>
      <c r="J21" t="s">
        <v>28</v>
      </c>
      <c r="K21" s="19" t="s">
        <v>9</v>
      </c>
      <c r="L21" s="19" t="s">
        <v>241</v>
      </c>
      <c r="M21" s="19" t="s">
        <v>987</v>
      </c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</row>
    <row r="22" spans="1:156" s="11" customFormat="1" x14ac:dyDescent="0.25">
      <c r="A22"/>
      <c r="B22" s="19" t="s">
        <v>988</v>
      </c>
      <c r="C22" s="19" t="s">
        <v>235</v>
      </c>
      <c r="D22" s="19" t="s">
        <v>242</v>
      </c>
      <c r="E22" s="23">
        <f>1-E19</f>
        <v>0.34199999999999997</v>
      </c>
      <c r="F22" t="s">
        <v>9</v>
      </c>
      <c r="G22"/>
      <c r="H22"/>
      <c r="I22"/>
      <c r="J22" t="s">
        <v>28</v>
      </c>
      <c r="K22" s="19" t="s">
        <v>9</v>
      </c>
      <c r="L22" s="19" t="s">
        <v>242</v>
      </c>
      <c r="M22" s="19" t="s">
        <v>987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</row>
    <row r="23" spans="1:156" s="11" customFormat="1" x14ac:dyDescent="0.25">
      <c r="A23"/>
      <c r="B23" s="19" t="s">
        <v>988</v>
      </c>
      <c r="C23" s="19" t="s">
        <v>235</v>
      </c>
      <c r="D23" s="19" t="s">
        <v>247</v>
      </c>
      <c r="E23" s="23">
        <f>1-E22</f>
        <v>0.65800000000000003</v>
      </c>
      <c r="F23" t="s">
        <v>9</v>
      </c>
      <c r="G23"/>
      <c r="H23"/>
      <c r="I23"/>
      <c r="J23" t="s">
        <v>28</v>
      </c>
      <c r="K23" s="19" t="s">
        <v>9</v>
      </c>
      <c r="L23" s="19" t="s">
        <v>247</v>
      </c>
      <c r="M23" s="19" t="s">
        <v>987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</row>
    <row r="24" spans="1:156" s="31" customFormat="1" x14ac:dyDescent="0.25">
      <c r="B24" s="32" t="s">
        <v>988</v>
      </c>
      <c r="C24" s="32" t="s">
        <v>25</v>
      </c>
      <c r="D24" s="31" t="s">
        <v>109</v>
      </c>
      <c r="E24" s="39">
        <v>5.5</v>
      </c>
      <c r="F24" s="31" t="s">
        <v>10</v>
      </c>
      <c r="G24" s="31">
        <v>0.1</v>
      </c>
      <c r="H24" s="31">
        <v>0</v>
      </c>
      <c r="I24" s="31">
        <v>20</v>
      </c>
      <c r="J24" s="31" t="s">
        <v>29</v>
      </c>
      <c r="K24" s="32" t="s">
        <v>9</v>
      </c>
      <c r="L24" s="31" t="s">
        <v>109</v>
      </c>
      <c r="M24" s="32" t="s">
        <v>987</v>
      </c>
    </row>
    <row r="25" spans="1:156" s="11" customFormat="1" x14ac:dyDescent="0.25">
      <c r="A25"/>
      <c r="B25" s="19" t="s">
        <v>988</v>
      </c>
      <c r="C25" s="19" t="s">
        <v>25</v>
      </c>
      <c r="D25" t="s">
        <v>108</v>
      </c>
      <c r="E25" s="24">
        <v>60</v>
      </c>
      <c r="F25" t="s">
        <v>9</v>
      </c>
      <c r="G25"/>
      <c r="H25"/>
      <c r="I25"/>
      <c r="J25" t="s">
        <v>21</v>
      </c>
      <c r="K25" s="19" t="s">
        <v>9</v>
      </c>
      <c r="L25" t="s">
        <v>108</v>
      </c>
      <c r="M25" s="19" t="s">
        <v>987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</row>
    <row r="26" spans="1:156" s="31" customFormat="1" x14ac:dyDescent="0.25">
      <c r="B26" s="32" t="s">
        <v>988</v>
      </c>
      <c r="C26" s="32" t="s">
        <v>249</v>
      </c>
      <c r="D26" s="32" t="s">
        <v>251</v>
      </c>
      <c r="E26" s="40">
        <v>7172</v>
      </c>
      <c r="F26" s="31" t="s">
        <v>10</v>
      </c>
      <c r="G26" s="31">
        <v>1</v>
      </c>
      <c r="H26" s="31">
        <v>0</v>
      </c>
      <c r="I26" s="31">
        <v>100000</v>
      </c>
      <c r="J26" s="31" t="s">
        <v>1043</v>
      </c>
      <c r="K26" s="31" t="s">
        <v>10</v>
      </c>
      <c r="L26" s="32" t="s">
        <v>251</v>
      </c>
      <c r="M26" s="32" t="s">
        <v>987</v>
      </c>
    </row>
    <row r="27" spans="1:156" s="11" customFormat="1" x14ac:dyDescent="0.25">
      <c r="A27"/>
      <c r="B27" s="19" t="s">
        <v>240</v>
      </c>
      <c r="C27" s="19" t="s">
        <v>249</v>
      </c>
      <c r="D27" s="19" t="s">
        <v>30</v>
      </c>
      <c r="E27" s="24">
        <v>0.5</v>
      </c>
      <c r="F27" s="19" t="s">
        <v>9</v>
      </c>
      <c r="G27" s="19"/>
      <c r="H27"/>
      <c r="I27"/>
      <c r="J27" t="s">
        <v>28</v>
      </c>
      <c r="K27" t="s">
        <v>9</v>
      </c>
      <c r="L27" s="19" t="s">
        <v>30</v>
      </c>
      <c r="M27" s="19" t="s">
        <v>987</v>
      </c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</row>
    <row r="28" spans="1:156" s="31" customFormat="1" x14ac:dyDescent="0.25">
      <c r="B28" s="32" t="s">
        <v>988</v>
      </c>
      <c r="C28" s="32" t="s">
        <v>250</v>
      </c>
      <c r="D28" s="32" t="s">
        <v>237</v>
      </c>
      <c r="E28" s="40">
        <v>2217</v>
      </c>
      <c r="F28" s="32" t="s">
        <v>10</v>
      </c>
      <c r="G28" s="32">
        <v>1</v>
      </c>
      <c r="H28" s="31">
        <v>0</v>
      </c>
      <c r="I28" s="31">
        <v>6000</v>
      </c>
      <c r="J28" s="31" t="s">
        <v>1043</v>
      </c>
      <c r="K28" s="31" t="s">
        <v>10</v>
      </c>
      <c r="L28" s="32" t="s">
        <v>1047</v>
      </c>
      <c r="M28" s="32" t="s">
        <v>987</v>
      </c>
    </row>
    <row r="29" spans="1:156" s="31" customFormat="1" x14ac:dyDescent="0.25">
      <c r="B29" s="32" t="s">
        <v>988</v>
      </c>
      <c r="C29" s="32" t="s">
        <v>250</v>
      </c>
      <c r="D29" s="32" t="s">
        <v>238</v>
      </c>
      <c r="E29" s="40">
        <v>2217</v>
      </c>
      <c r="F29" s="32" t="s">
        <v>10</v>
      </c>
      <c r="G29" s="32">
        <v>1</v>
      </c>
      <c r="H29" s="31">
        <v>0</v>
      </c>
      <c r="I29" s="31">
        <v>6000</v>
      </c>
      <c r="J29" s="31" t="s">
        <v>1043</v>
      </c>
      <c r="K29" s="31" t="s">
        <v>10</v>
      </c>
      <c r="L29" s="32" t="s">
        <v>1046</v>
      </c>
      <c r="M29" s="32" t="s">
        <v>987</v>
      </c>
    </row>
    <row r="30" spans="1:156" s="11" customFormat="1" x14ac:dyDescent="0.25">
      <c r="A30"/>
      <c r="B30" s="19" t="s">
        <v>240</v>
      </c>
      <c r="C30" s="19" t="s">
        <v>244</v>
      </c>
      <c r="D30" s="19" t="s">
        <v>243</v>
      </c>
      <c r="E30" s="26">
        <f>0.03</f>
        <v>0.03</v>
      </c>
      <c r="F30" s="19" t="s">
        <v>985</v>
      </c>
      <c r="G30" s="19"/>
      <c r="H30"/>
      <c r="I30"/>
      <c r="J30" t="s">
        <v>29</v>
      </c>
      <c r="K30" t="s">
        <v>9</v>
      </c>
      <c r="L30" s="19" t="s">
        <v>243</v>
      </c>
      <c r="M30" s="19" t="s">
        <v>987</v>
      </c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</row>
    <row r="31" spans="1:156" s="11" customFormat="1" x14ac:dyDescent="0.25">
      <c r="A31"/>
      <c r="B31" s="19" t="s">
        <v>240</v>
      </c>
      <c r="C31" s="19" t="s">
        <v>102</v>
      </c>
      <c r="D31" s="19" t="s">
        <v>68</v>
      </c>
      <c r="E31" s="26">
        <v>1.03</v>
      </c>
      <c r="F31" s="19" t="s">
        <v>9</v>
      </c>
      <c r="G31" s="19"/>
      <c r="H31"/>
      <c r="I31"/>
      <c r="J31" t="s">
        <v>26</v>
      </c>
      <c r="K31" t="s">
        <v>9</v>
      </c>
      <c r="L31" s="19" t="s">
        <v>68</v>
      </c>
      <c r="M31" s="19" t="s">
        <v>987</v>
      </c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</row>
    <row r="32" spans="1:156" s="31" customFormat="1" x14ac:dyDescent="0.25">
      <c r="B32" s="32" t="s">
        <v>990</v>
      </c>
      <c r="C32" s="32" t="s">
        <v>104</v>
      </c>
      <c r="D32" s="32" t="s">
        <v>991</v>
      </c>
      <c r="E32" s="41">
        <v>7.0000000000000001E-3</v>
      </c>
      <c r="F32" s="32" t="s">
        <v>10</v>
      </c>
      <c r="G32" s="32">
        <v>1.0000000000000001E-5</v>
      </c>
      <c r="H32" s="31">
        <v>0</v>
      </c>
      <c r="I32" s="31">
        <v>0.03</v>
      </c>
      <c r="J32" s="31" t="s">
        <v>105</v>
      </c>
      <c r="K32" s="31" t="s">
        <v>10</v>
      </c>
      <c r="L32" s="32" t="s">
        <v>1031</v>
      </c>
      <c r="M32" s="32" t="s">
        <v>987</v>
      </c>
    </row>
    <row r="33" spans="1:156" s="31" customFormat="1" x14ac:dyDescent="0.25">
      <c r="B33" s="32" t="s">
        <v>990</v>
      </c>
      <c r="C33" s="32" t="s">
        <v>103</v>
      </c>
      <c r="D33" s="32" t="s">
        <v>992</v>
      </c>
      <c r="E33" s="41">
        <v>2.9999999999999997E-4</v>
      </c>
      <c r="F33" s="32" t="s">
        <v>10</v>
      </c>
      <c r="G33" s="32">
        <v>1.0000000000000001E-5</v>
      </c>
      <c r="H33" s="31">
        <v>0</v>
      </c>
      <c r="I33" s="31">
        <v>0.03</v>
      </c>
      <c r="J33" s="31" t="s">
        <v>105</v>
      </c>
      <c r="K33" s="31" t="s">
        <v>10</v>
      </c>
      <c r="L33" s="32" t="s">
        <v>1032</v>
      </c>
      <c r="M33" s="32" t="s">
        <v>987</v>
      </c>
    </row>
    <row r="34" spans="1:156" s="31" customFormat="1" x14ac:dyDescent="0.25">
      <c r="B34" s="32" t="s">
        <v>990</v>
      </c>
      <c r="C34" s="32" t="s">
        <v>103</v>
      </c>
      <c r="D34" s="32" t="s">
        <v>993</v>
      </c>
      <c r="E34" s="41">
        <v>2.9999999999999997E-4</v>
      </c>
      <c r="F34" s="32" t="s">
        <v>10</v>
      </c>
      <c r="G34" s="32">
        <v>1.0000000000000001E-5</v>
      </c>
      <c r="H34" s="31">
        <v>0</v>
      </c>
      <c r="I34" s="31">
        <v>0.03</v>
      </c>
      <c r="J34" s="31" t="s">
        <v>105</v>
      </c>
      <c r="K34" s="31" t="s">
        <v>10</v>
      </c>
      <c r="L34" s="32" t="s">
        <v>1033</v>
      </c>
      <c r="M34" s="32" t="s">
        <v>987</v>
      </c>
    </row>
    <row r="35" spans="1:156" s="31" customFormat="1" x14ac:dyDescent="0.25">
      <c r="B35" s="32" t="s">
        <v>990</v>
      </c>
      <c r="C35" s="32" t="s">
        <v>103</v>
      </c>
      <c r="D35" s="32" t="s">
        <v>994</v>
      </c>
      <c r="E35" s="41">
        <v>2.9999999999999997E-4</v>
      </c>
      <c r="F35" s="32" t="s">
        <v>10</v>
      </c>
      <c r="G35" s="32">
        <v>1.0000000000000001E-5</v>
      </c>
      <c r="H35" s="31">
        <v>0</v>
      </c>
      <c r="I35" s="31">
        <v>0.03</v>
      </c>
      <c r="J35" s="31" t="s">
        <v>105</v>
      </c>
      <c r="K35" s="31" t="s">
        <v>10</v>
      </c>
      <c r="L35" s="32" t="s">
        <v>1034</v>
      </c>
      <c r="M35" s="32" t="s">
        <v>987</v>
      </c>
    </row>
    <row r="36" spans="1:156" s="31" customFormat="1" x14ac:dyDescent="0.25">
      <c r="B36" s="32" t="s">
        <v>990</v>
      </c>
      <c r="C36" s="32" t="s">
        <v>103</v>
      </c>
      <c r="D36" s="32" t="s">
        <v>995</v>
      </c>
      <c r="E36" s="41">
        <v>1E-3</v>
      </c>
      <c r="F36" s="32" t="s">
        <v>10</v>
      </c>
      <c r="G36" s="32">
        <v>1.0000000000000001E-5</v>
      </c>
      <c r="H36" s="31">
        <v>0</v>
      </c>
      <c r="I36" s="31">
        <v>0.03</v>
      </c>
      <c r="J36" s="31" t="s">
        <v>105</v>
      </c>
      <c r="K36" s="31" t="s">
        <v>10</v>
      </c>
      <c r="L36" s="32" t="s">
        <v>1035</v>
      </c>
      <c r="M36" s="32" t="s">
        <v>987</v>
      </c>
    </row>
    <row r="37" spans="1:156" s="31" customFormat="1" x14ac:dyDescent="0.25">
      <c r="B37" s="32" t="s">
        <v>990</v>
      </c>
      <c r="C37" s="32" t="s">
        <v>103</v>
      </c>
      <c r="D37" s="32" t="s">
        <v>996</v>
      </c>
      <c r="E37" s="41">
        <v>2E-3</v>
      </c>
      <c r="F37" s="32" t="s">
        <v>10</v>
      </c>
      <c r="G37" s="32">
        <v>1.0000000000000001E-5</v>
      </c>
      <c r="H37" s="31">
        <v>0</v>
      </c>
      <c r="I37" s="31">
        <v>0.03</v>
      </c>
      <c r="J37" s="31" t="s">
        <v>105</v>
      </c>
      <c r="K37" s="31" t="s">
        <v>10</v>
      </c>
      <c r="L37" s="32" t="s">
        <v>1036</v>
      </c>
      <c r="M37" s="32" t="s">
        <v>987</v>
      </c>
    </row>
    <row r="38" spans="1:156" s="31" customFormat="1" x14ac:dyDescent="0.25">
      <c r="B38" s="32" t="s">
        <v>990</v>
      </c>
      <c r="C38" s="32" t="s">
        <v>103</v>
      </c>
      <c r="D38" s="32" t="s">
        <v>997</v>
      </c>
      <c r="E38" s="41">
        <v>2E-3</v>
      </c>
      <c r="F38" s="32" t="s">
        <v>10</v>
      </c>
      <c r="G38" s="32">
        <v>1.0000000000000001E-5</v>
      </c>
      <c r="H38" s="31">
        <v>0</v>
      </c>
      <c r="I38" s="31">
        <v>0.03</v>
      </c>
      <c r="J38" s="31" t="s">
        <v>105</v>
      </c>
      <c r="K38" s="31" t="s">
        <v>10</v>
      </c>
      <c r="L38" s="32" t="s">
        <v>1037</v>
      </c>
      <c r="M38" s="32" t="s">
        <v>987</v>
      </c>
    </row>
    <row r="39" spans="1:156" s="11" customFormat="1" x14ac:dyDescent="0.25">
      <c r="A39"/>
      <c r="B39" s="19" t="s">
        <v>990</v>
      </c>
      <c r="C39" s="19" t="s">
        <v>248</v>
      </c>
      <c r="D39" s="19" t="s">
        <v>253</v>
      </c>
      <c r="E39" s="22">
        <v>0.2</v>
      </c>
      <c r="F39" s="19" t="s">
        <v>9</v>
      </c>
      <c r="G39" s="19"/>
      <c r="H39"/>
      <c r="I39"/>
      <c r="J39" t="s">
        <v>105</v>
      </c>
      <c r="K39" t="s">
        <v>9</v>
      </c>
      <c r="L39" s="19" t="s">
        <v>253</v>
      </c>
      <c r="M39" s="19" t="s">
        <v>987</v>
      </c>
      <c r="N39" s="19" t="s">
        <v>263</v>
      </c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</row>
    <row r="40" spans="1:156" s="11" customFormat="1" x14ac:dyDescent="0.25">
      <c r="A40"/>
      <c r="B40" s="19" t="s">
        <v>990</v>
      </c>
      <c r="C40" s="19" t="s">
        <v>248</v>
      </c>
      <c r="D40" s="19" t="s">
        <v>274</v>
      </c>
      <c r="E40" s="22">
        <v>0.2</v>
      </c>
      <c r="F40" s="19" t="s">
        <v>9</v>
      </c>
      <c r="G40" s="19"/>
      <c r="H40"/>
      <c r="I40"/>
      <c r="J40" t="s">
        <v>105</v>
      </c>
      <c r="K40" t="s">
        <v>9</v>
      </c>
      <c r="L40" s="19" t="s">
        <v>274</v>
      </c>
      <c r="M40" s="19" t="s">
        <v>987</v>
      </c>
      <c r="N40" s="19" t="s">
        <v>264</v>
      </c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</row>
    <row r="41" spans="1:156" s="11" customFormat="1" x14ac:dyDescent="0.25">
      <c r="A41"/>
      <c r="B41" s="19" t="s">
        <v>990</v>
      </c>
      <c r="C41" s="19" t="s">
        <v>248</v>
      </c>
      <c r="D41" s="19" t="s">
        <v>254</v>
      </c>
      <c r="E41" s="22">
        <v>0.2</v>
      </c>
      <c r="F41" s="19" t="s">
        <v>9</v>
      </c>
      <c r="G41" s="19"/>
      <c r="H41"/>
      <c r="I41"/>
      <c r="J41" t="s">
        <v>105</v>
      </c>
      <c r="K41" t="s">
        <v>9</v>
      </c>
      <c r="L41" s="19" t="s">
        <v>254</v>
      </c>
      <c r="M41" s="19" t="s">
        <v>987</v>
      </c>
      <c r="N41" s="19" t="s">
        <v>265</v>
      </c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</row>
    <row r="42" spans="1:156" s="11" customFormat="1" x14ac:dyDescent="0.25">
      <c r="A42"/>
      <c r="B42" s="19" t="s">
        <v>990</v>
      </c>
      <c r="C42" s="19" t="s">
        <v>248</v>
      </c>
      <c r="D42" s="19" t="s">
        <v>256</v>
      </c>
      <c r="E42" s="22">
        <v>0.2</v>
      </c>
      <c r="F42" s="19" t="s">
        <v>9</v>
      </c>
      <c r="G42" s="19"/>
      <c r="H42"/>
      <c r="I42"/>
      <c r="J42" t="s">
        <v>105</v>
      </c>
      <c r="K42" t="s">
        <v>9</v>
      </c>
      <c r="L42" s="19" t="s">
        <v>256</v>
      </c>
      <c r="M42" s="19" t="s">
        <v>987</v>
      </c>
      <c r="N42" s="19" t="s">
        <v>266</v>
      </c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</row>
    <row r="43" spans="1:156" s="11" customFormat="1" x14ac:dyDescent="0.25">
      <c r="A43"/>
      <c r="B43" s="19" t="s">
        <v>990</v>
      </c>
      <c r="C43" s="19" t="s">
        <v>248</v>
      </c>
      <c r="D43" s="19" t="s">
        <v>255</v>
      </c>
      <c r="E43" s="22">
        <v>0.2</v>
      </c>
      <c r="F43" s="19" t="s">
        <v>9</v>
      </c>
      <c r="G43" s="19"/>
      <c r="H43"/>
      <c r="I43"/>
      <c r="J43" t="s">
        <v>105</v>
      </c>
      <c r="K43" t="s">
        <v>9</v>
      </c>
      <c r="L43" s="19" t="s">
        <v>255</v>
      </c>
      <c r="M43" s="19" t="s">
        <v>987</v>
      </c>
      <c r="N43" s="19" t="s">
        <v>267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</row>
    <row r="44" spans="1:156" s="11" customFormat="1" x14ac:dyDescent="0.25">
      <c r="A44"/>
      <c r="B44" s="19" t="s">
        <v>990</v>
      </c>
      <c r="C44" s="19" t="s">
        <v>248</v>
      </c>
      <c r="D44" s="19" t="s">
        <v>257</v>
      </c>
      <c r="E44" s="22">
        <v>0.2</v>
      </c>
      <c r="F44" s="19" t="s">
        <v>9</v>
      </c>
      <c r="G44" s="19"/>
      <c r="H44"/>
      <c r="I44"/>
      <c r="J44" t="s">
        <v>105</v>
      </c>
      <c r="K44" t="s">
        <v>9</v>
      </c>
      <c r="L44" s="19" t="s">
        <v>257</v>
      </c>
      <c r="M44" s="19" t="s">
        <v>987</v>
      </c>
      <c r="N44" s="19" t="s">
        <v>268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</row>
    <row r="45" spans="1:156" s="11" customFormat="1" x14ac:dyDescent="0.25">
      <c r="A45"/>
      <c r="B45" s="19" t="s">
        <v>990</v>
      </c>
      <c r="C45" s="19" t="s">
        <v>248</v>
      </c>
      <c r="D45" s="19" t="s">
        <v>258</v>
      </c>
      <c r="E45" s="22">
        <v>0.2</v>
      </c>
      <c r="F45" s="19" t="s">
        <v>9</v>
      </c>
      <c r="G45" s="19"/>
      <c r="H45"/>
      <c r="I45"/>
      <c r="J45" t="s">
        <v>105</v>
      </c>
      <c r="K45" t="s">
        <v>9</v>
      </c>
      <c r="L45" s="19" t="s">
        <v>258</v>
      </c>
      <c r="M45" s="19" t="s">
        <v>987</v>
      </c>
      <c r="N45" s="19" t="s">
        <v>269</v>
      </c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</row>
    <row r="46" spans="1:156" s="11" customFormat="1" x14ac:dyDescent="0.25">
      <c r="A46"/>
      <c r="B46" s="19" t="s">
        <v>990</v>
      </c>
      <c r="C46" s="19" t="s">
        <v>248</v>
      </c>
      <c r="D46" s="19" t="s">
        <v>259</v>
      </c>
      <c r="E46" s="22">
        <v>0.2</v>
      </c>
      <c r="F46" s="19" t="s">
        <v>9</v>
      </c>
      <c r="G46" s="19"/>
      <c r="H46"/>
      <c r="I46"/>
      <c r="J46" t="s">
        <v>105</v>
      </c>
      <c r="K46" t="s">
        <v>9</v>
      </c>
      <c r="L46" s="19" t="s">
        <v>259</v>
      </c>
      <c r="M46" s="19" t="s">
        <v>987</v>
      </c>
      <c r="N46" s="19" t="s">
        <v>270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</row>
    <row r="47" spans="1:156" s="11" customFormat="1" x14ac:dyDescent="0.25">
      <c r="A47"/>
      <c r="B47" s="19" t="s">
        <v>990</v>
      </c>
      <c r="C47" s="19" t="s">
        <v>248</v>
      </c>
      <c r="D47" s="19" t="s">
        <v>260</v>
      </c>
      <c r="E47" s="22">
        <v>0.2</v>
      </c>
      <c r="F47" s="19" t="s">
        <v>9</v>
      </c>
      <c r="G47" s="19"/>
      <c r="H47"/>
      <c r="I47"/>
      <c r="J47" t="s">
        <v>105</v>
      </c>
      <c r="K47" t="s">
        <v>9</v>
      </c>
      <c r="L47" s="19" t="s">
        <v>260</v>
      </c>
      <c r="M47" s="19" t="s">
        <v>987</v>
      </c>
      <c r="N47" s="19" t="s">
        <v>271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</row>
    <row r="48" spans="1:156" s="11" customFormat="1" x14ac:dyDescent="0.25">
      <c r="A48"/>
      <c r="B48" s="19" t="s">
        <v>990</v>
      </c>
      <c r="C48" s="19" t="s">
        <v>248</v>
      </c>
      <c r="D48" s="19" t="s">
        <v>261</v>
      </c>
      <c r="E48" s="22">
        <v>0.2</v>
      </c>
      <c r="F48" s="19" t="s">
        <v>9</v>
      </c>
      <c r="G48" s="19"/>
      <c r="H48"/>
      <c r="I48"/>
      <c r="J48" t="s">
        <v>105</v>
      </c>
      <c r="K48" t="s">
        <v>9</v>
      </c>
      <c r="L48" s="19" t="s">
        <v>261</v>
      </c>
      <c r="M48" s="19" t="s">
        <v>987</v>
      </c>
      <c r="N48" s="19" t="s">
        <v>272</v>
      </c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</row>
    <row r="49" spans="1:156" s="11" customFormat="1" x14ac:dyDescent="0.25">
      <c r="A49"/>
      <c r="B49" s="19" t="s">
        <v>990</v>
      </c>
      <c r="C49" s="19" t="s">
        <v>248</v>
      </c>
      <c r="D49" s="19" t="s">
        <v>262</v>
      </c>
      <c r="E49" s="22">
        <v>0.2</v>
      </c>
      <c r="F49" s="19" t="s">
        <v>9</v>
      </c>
      <c r="G49" s="19"/>
      <c r="H49"/>
      <c r="I49"/>
      <c r="J49" t="s">
        <v>105</v>
      </c>
      <c r="K49" t="s">
        <v>9</v>
      </c>
      <c r="L49" s="19" t="s">
        <v>262</v>
      </c>
      <c r="M49" s="19" t="s">
        <v>987</v>
      </c>
      <c r="N49" s="19" t="s">
        <v>273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</row>
    <row r="50" spans="1:156" s="31" customFormat="1" x14ac:dyDescent="0.25">
      <c r="B50" s="32" t="s">
        <v>990</v>
      </c>
      <c r="C50" s="32" t="s">
        <v>1048</v>
      </c>
      <c r="D50" s="32" t="s">
        <v>998</v>
      </c>
      <c r="E50" s="42">
        <v>0.1</v>
      </c>
      <c r="F50" s="32" t="s">
        <v>10</v>
      </c>
      <c r="G50" s="32">
        <v>1E-3</v>
      </c>
      <c r="H50" s="31">
        <v>0</v>
      </c>
      <c r="I50" s="31">
        <v>0.3</v>
      </c>
      <c r="J50" s="31" t="s">
        <v>105</v>
      </c>
      <c r="K50" s="31" t="s">
        <v>9</v>
      </c>
      <c r="L50" s="32" t="s">
        <v>1019</v>
      </c>
      <c r="M50" s="32" t="s">
        <v>987</v>
      </c>
    </row>
    <row r="51" spans="1:156" s="31" customFormat="1" x14ac:dyDescent="0.25">
      <c r="B51" s="32" t="s">
        <v>990</v>
      </c>
      <c r="C51" s="32" t="s">
        <v>1048</v>
      </c>
      <c r="D51" s="32" t="s">
        <v>999</v>
      </c>
      <c r="E51" s="42">
        <v>0.1</v>
      </c>
      <c r="F51" s="32" t="s">
        <v>10</v>
      </c>
      <c r="G51" s="32">
        <v>1E-3</v>
      </c>
      <c r="H51" s="31">
        <v>0</v>
      </c>
      <c r="I51" s="31">
        <v>0.3</v>
      </c>
      <c r="J51" s="31" t="s">
        <v>105</v>
      </c>
      <c r="K51" s="31" t="s">
        <v>9</v>
      </c>
      <c r="L51" s="32" t="s">
        <v>1020</v>
      </c>
      <c r="M51" s="32" t="s">
        <v>987</v>
      </c>
    </row>
    <row r="52" spans="1:156" s="31" customFormat="1" x14ac:dyDescent="0.25">
      <c r="B52" s="32" t="s">
        <v>990</v>
      </c>
      <c r="C52" s="32" t="s">
        <v>1048</v>
      </c>
      <c r="D52" s="32" t="s">
        <v>1000</v>
      </c>
      <c r="E52" s="42">
        <v>0.05</v>
      </c>
      <c r="F52" s="32" t="s">
        <v>10</v>
      </c>
      <c r="G52" s="32">
        <v>1E-3</v>
      </c>
      <c r="H52" s="31">
        <v>0</v>
      </c>
      <c r="I52" s="31">
        <v>0.3</v>
      </c>
      <c r="J52" s="31" t="s">
        <v>105</v>
      </c>
      <c r="K52" s="31" t="s">
        <v>9</v>
      </c>
      <c r="L52" s="32" t="s">
        <v>1021</v>
      </c>
      <c r="M52" s="32" t="s">
        <v>987</v>
      </c>
    </row>
    <row r="53" spans="1:156" s="31" customFormat="1" x14ac:dyDescent="0.25">
      <c r="B53" s="32" t="s">
        <v>990</v>
      </c>
      <c r="C53" s="32" t="s">
        <v>1048</v>
      </c>
      <c r="D53" s="32" t="s">
        <v>1001</v>
      </c>
      <c r="E53" s="42">
        <v>3.4000000000000002E-2</v>
      </c>
      <c r="F53" s="32" t="s">
        <v>10</v>
      </c>
      <c r="G53" s="32">
        <v>1E-3</v>
      </c>
      <c r="H53" s="31">
        <v>0</v>
      </c>
      <c r="I53" s="31">
        <v>0.3</v>
      </c>
      <c r="J53" s="31" t="s">
        <v>105</v>
      </c>
      <c r="K53" s="31" t="s">
        <v>9</v>
      </c>
      <c r="L53" s="32" t="s">
        <v>1022</v>
      </c>
      <c r="M53" s="32" t="s">
        <v>987</v>
      </c>
    </row>
    <row r="54" spans="1:156" s="31" customFormat="1" x14ac:dyDescent="0.25">
      <c r="B54" s="32" t="s">
        <v>990</v>
      </c>
      <c r="C54" s="32" t="s">
        <v>1048</v>
      </c>
      <c r="D54" s="32" t="s">
        <v>1002</v>
      </c>
      <c r="E54" s="42">
        <v>0.1</v>
      </c>
      <c r="F54" s="32" t="s">
        <v>10</v>
      </c>
      <c r="G54" s="32">
        <v>1E-3</v>
      </c>
      <c r="H54" s="31">
        <v>0</v>
      </c>
      <c r="I54" s="31">
        <v>0.3</v>
      </c>
      <c r="J54" s="31" t="s">
        <v>105</v>
      </c>
      <c r="K54" s="31" t="s">
        <v>9</v>
      </c>
      <c r="L54" s="32" t="s">
        <v>1023</v>
      </c>
      <c r="M54" s="32" t="s">
        <v>987</v>
      </c>
    </row>
    <row r="55" spans="1:156" s="31" customFormat="1" x14ac:dyDescent="0.25">
      <c r="B55" s="32" t="s">
        <v>990</v>
      </c>
      <c r="C55" s="32" t="s">
        <v>1048</v>
      </c>
      <c r="D55" s="32" t="s">
        <v>1003</v>
      </c>
      <c r="E55" s="42">
        <v>0.05</v>
      </c>
      <c r="F55" s="32" t="s">
        <v>10</v>
      </c>
      <c r="G55" s="32">
        <v>1E-3</v>
      </c>
      <c r="H55" s="31">
        <v>0</v>
      </c>
      <c r="I55" s="31">
        <v>0.3</v>
      </c>
      <c r="J55" s="31" t="s">
        <v>105</v>
      </c>
      <c r="K55" s="31" t="s">
        <v>9</v>
      </c>
      <c r="L55" s="32" t="s">
        <v>1024</v>
      </c>
      <c r="M55" s="32" t="s">
        <v>987</v>
      </c>
    </row>
    <row r="56" spans="1:156" s="31" customFormat="1" x14ac:dyDescent="0.25">
      <c r="B56" s="32" t="s">
        <v>990</v>
      </c>
      <c r="C56" s="32" t="s">
        <v>1049</v>
      </c>
      <c r="D56" s="32" t="s">
        <v>1004</v>
      </c>
      <c r="E56" s="42">
        <v>0.124</v>
      </c>
      <c r="F56" s="32" t="s">
        <v>10</v>
      </c>
      <c r="G56" s="32">
        <v>1E-3</v>
      </c>
      <c r="H56" s="31">
        <v>0</v>
      </c>
      <c r="I56" s="31">
        <v>0.3</v>
      </c>
      <c r="J56" s="31" t="s">
        <v>105</v>
      </c>
      <c r="K56" s="31" t="s">
        <v>9</v>
      </c>
      <c r="L56" s="32" t="s">
        <v>1025</v>
      </c>
      <c r="M56" s="32" t="s">
        <v>987</v>
      </c>
    </row>
    <row r="57" spans="1:156" s="31" customFormat="1" x14ac:dyDescent="0.25">
      <c r="B57" s="32" t="s">
        <v>990</v>
      </c>
      <c r="C57" s="32" t="s">
        <v>1049</v>
      </c>
      <c r="D57" s="32" t="s">
        <v>1005</v>
      </c>
      <c r="E57" s="42">
        <v>7.1999999999999995E-2</v>
      </c>
      <c r="F57" s="32" t="s">
        <v>10</v>
      </c>
      <c r="G57" s="32">
        <v>1E-3</v>
      </c>
      <c r="H57" s="31">
        <v>0</v>
      </c>
      <c r="I57" s="31">
        <v>0.3</v>
      </c>
      <c r="J57" s="31" t="s">
        <v>105</v>
      </c>
      <c r="K57" s="31" t="s">
        <v>9</v>
      </c>
      <c r="L57" s="32" t="s">
        <v>1026</v>
      </c>
      <c r="M57" s="32" t="s">
        <v>987</v>
      </c>
    </row>
    <row r="58" spans="1:156" s="31" customFormat="1" x14ac:dyDescent="0.25">
      <c r="B58" s="32" t="s">
        <v>990</v>
      </c>
      <c r="C58" s="32" t="s">
        <v>1049</v>
      </c>
      <c r="D58" s="32" t="s">
        <v>1006</v>
      </c>
      <c r="E58" s="42">
        <v>0.2</v>
      </c>
      <c r="F58" s="32" t="s">
        <v>10</v>
      </c>
      <c r="G58" s="32">
        <v>1E-3</v>
      </c>
      <c r="H58" s="31">
        <v>0</v>
      </c>
      <c r="I58" s="31">
        <v>0.3</v>
      </c>
      <c r="J58" s="31" t="s">
        <v>105</v>
      </c>
      <c r="K58" s="31" t="s">
        <v>9</v>
      </c>
      <c r="L58" s="32" t="s">
        <v>1027</v>
      </c>
      <c r="M58" s="32" t="s">
        <v>987</v>
      </c>
    </row>
    <row r="59" spans="1:156" s="31" customFormat="1" x14ac:dyDescent="0.25">
      <c r="B59" s="32" t="s">
        <v>990</v>
      </c>
      <c r="C59" s="32" t="s">
        <v>1049</v>
      </c>
      <c r="D59" s="32" t="s">
        <v>1007</v>
      </c>
      <c r="E59" s="42">
        <v>0.2</v>
      </c>
      <c r="F59" s="32" t="s">
        <v>10</v>
      </c>
      <c r="G59" s="32">
        <v>1E-3</v>
      </c>
      <c r="H59" s="31">
        <v>0</v>
      </c>
      <c r="I59" s="31">
        <v>0.3</v>
      </c>
      <c r="J59" s="31" t="s">
        <v>105</v>
      </c>
      <c r="K59" s="31" t="s">
        <v>9</v>
      </c>
      <c r="L59" s="32" t="s">
        <v>1028</v>
      </c>
      <c r="M59" s="32" t="s">
        <v>987</v>
      </c>
    </row>
    <row r="60" spans="1:156" s="31" customFormat="1" x14ac:dyDescent="0.25">
      <c r="B60" s="32" t="s">
        <v>990</v>
      </c>
      <c r="C60" s="32" t="s">
        <v>1049</v>
      </c>
      <c r="D60" s="32" t="s">
        <v>1008</v>
      </c>
      <c r="E60" s="42">
        <v>0.2</v>
      </c>
      <c r="F60" s="32" t="s">
        <v>10</v>
      </c>
      <c r="G60" s="32">
        <v>1E-3</v>
      </c>
      <c r="H60" s="31">
        <v>0</v>
      </c>
      <c r="I60" s="31">
        <v>0.3</v>
      </c>
      <c r="J60" s="31" t="s">
        <v>105</v>
      </c>
      <c r="K60" s="31" t="s">
        <v>9</v>
      </c>
      <c r="L60" s="32" t="s">
        <v>1029</v>
      </c>
      <c r="M60" s="32" t="s">
        <v>987</v>
      </c>
    </row>
    <row r="61" spans="1:156" s="31" customFormat="1" x14ac:dyDescent="0.25">
      <c r="B61" s="32" t="s">
        <v>990</v>
      </c>
      <c r="C61" s="32" t="s">
        <v>1050</v>
      </c>
      <c r="D61" s="32" t="s">
        <v>998</v>
      </c>
      <c r="E61" s="43">
        <v>2.41</v>
      </c>
      <c r="F61" s="32" t="s">
        <v>10</v>
      </c>
      <c r="G61" s="32">
        <v>1E-3</v>
      </c>
      <c r="H61" s="31">
        <v>0</v>
      </c>
      <c r="I61" s="31">
        <v>5</v>
      </c>
      <c r="J61" s="31" t="s">
        <v>806</v>
      </c>
      <c r="K61" s="31" t="s">
        <v>9</v>
      </c>
      <c r="L61" s="32" t="s">
        <v>1019</v>
      </c>
      <c r="M61" s="32" t="s">
        <v>987</v>
      </c>
      <c r="O61" s="31" t="s">
        <v>807</v>
      </c>
    </row>
    <row r="62" spans="1:156" s="31" customFormat="1" x14ac:dyDescent="0.25">
      <c r="B62" s="32" t="s">
        <v>990</v>
      </c>
      <c r="C62" s="32" t="s">
        <v>1050</v>
      </c>
      <c r="D62" s="32" t="s">
        <v>999</v>
      </c>
      <c r="E62" s="43">
        <v>1.66</v>
      </c>
      <c r="F62" s="32" t="s">
        <v>10</v>
      </c>
      <c r="G62" s="32">
        <v>1E-3</v>
      </c>
      <c r="H62" s="31">
        <v>0</v>
      </c>
      <c r="I62" s="31">
        <v>5</v>
      </c>
      <c r="J62" s="31" t="s">
        <v>806</v>
      </c>
      <c r="K62" s="31" t="s">
        <v>9</v>
      </c>
      <c r="L62" s="32" t="s">
        <v>1020</v>
      </c>
      <c r="M62" s="32" t="s">
        <v>987</v>
      </c>
    </row>
    <row r="63" spans="1:156" s="31" customFormat="1" x14ac:dyDescent="0.25">
      <c r="B63" s="32" t="s">
        <v>990</v>
      </c>
      <c r="C63" s="32" t="s">
        <v>1050</v>
      </c>
      <c r="D63" s="32" t="s">
        <v>1000</v>
      </c>
      <c r="E63" s="43">
        <v>0</v>
      </c>
      <c r="F63" s="32" t="s">
        <v>10</v>
      </c>
      <c r="G63" s="32">
        <v>1E-3</v>
      </c>
      <c r="H63" s="31">
        <v>0</v>
      </c>
      <c r="I63" s="31">
        <v>5</v>
      </c>
      <c r="J63" s="31" t="s">
        <v>806</v>
      </c>
      <c r="K63" s="31" t="s">
        <v>9</v>
      </c>
      <c r="L63" s="32" t="s">
        <v>1021</v>
      </c>
      <c r="M63" s="32" t="s">
        <v>987</v>
      </c>
    </row>
    <row r="64" spans="1:156" s="31" customFormat="1" x14ac:dyDescent="0.25">
      <c r="B64" s="32" t="s">
        <v>990</v>
      </c>
      <c r="C64" s="32" t="s">
        <v>1050</v>
      </c>
      <c r="D64" s="32" t="s">
        <v>1001</v>
      </c>
      <c r="E64" s="43">
        <v>0</v>
      </c>
      <c r="F64" s="32" t="s">
        <v>10</v>
      </c>
      <c r="G64" s="32">
        <v>1E-3</v>
      </c>
      <c r="H64" s="31">
        <v>0</v>
      </c>
      <c r="I64" s="31">
        <v>5</v>
      </c>
      <c r="J64" s="31" t="s">
        <v>806</v>
      </c>
      <c r="K64" s="31" t="s">
        <v>9</v>
      </c>
      <c r="L64" s="32" t="s">
        <v>1022</v>
      </c>
      <c r="M64" s="32" t="s">
        <v>987</v>
      </c>
    </row>
    <row r="65" spans="1:156" s="31" customFormat="1" x14ac:dyDescent="0.25">
      <c r="B65" s="32" t="s">
        <v>990</v>
      </c>
      <c r="C65" s="32" t="s">
        <v>1050</v>
      </c>
      <c r="D65" s="32" t="s">
        <v>1002</v>
      </c>
      <c r="E65" s="43">
        <v>0</v>
      </c>
      <c r="F65" s="32" t="s">
        <v>10</v>
      </c>
      <c r="G65" s="32">
        <v>1E-3</v>
      </c>
      <c r="H65" s="31">
        <v>0</v>
      </c>
      <c r="I65" s="31">
        <v>5</v>
      </c>
      <c r="J65" s="31" t="s">
        <v>806</v>
      </c>
      <c r="K65" s="31" t="s">
        <v>9</v>
      </c>
      <c r="L65" s="32" t="s">
        <v>1030</v>
      </c>
      <c r="M65" s="32" t="s">
        <v>987</v>
      </c>
    </row>
    <row r="66" spans="1:156" s="31" customFormat="1" x14ac:dyDescent="0.25">
      <c r="B66" s="32" t="s">
        <v>990</v>
      </c>
      <c r="C66" s="32" t="s">
        <v>1050</v>
      </c>
      <c r="D66" s="32" t="s">
        <v>1003</v>
      </c>
      <c r="E66" s="43">
        <v>0</v>
      </c>
      <c r="F66" s="32" t="s">
        <v>10</v>
      </c>
      <c r="G66" s="32">
        <v>1E-3</v>
      </c>
      <c r="H66" s="31">
        <v>0</v>
      </c>
      <c r="I66" s="31">
        <v>5</v>
      </c>
      <c r="J66" s="31" t="s">
        <v>806</v>
      </c>
      <c r="K66" s="31" t="s">
        <v>9</v>
      </c>
      <c r="L66" s="32" t="s">
        <v>1024</v>
      </c>
      <c r="M66" s="32" t="s">
        <v>987</v>
      </c>
    </row>
    <row r="67" spans="1:156" s="31" customFormat="1" x14ac:dyDescent="0.25">
      <c r="B67" s="32" t="s">
        <v>990</v>
      </c>
      <c r="C67" s="32" t="s">
        <v>1050</v>
      </c>
      <c r="D67" s="32" t="s">
        <v>1004</v>
      </c>
      <c r="E67" s="43">
        <v>1.71</v>
      </c>
      <c r="F67" s="32" t="s">
        <v>10</v>
      </c>
      <c r="G67" s="32">
        <v>1E-3</v>
      </c>
      <c r="H67" s="31">
        <v>0</v>
      </c>
      <c r="I67" s="31">
        <v>5</v>
      </c>
      <c r="J67" s="31" t="s">
        <v>806</v>
      </c>
      <c r="K67" s="31" t="s">
        <v>9</v>
      </c>
      <c r="L67" s="32" t="s">
        <v>1025</v>
      </c>
      <c r="M67" s="32" t="s">
        <v>987</v>
      </c>
    </row>
    <row r="68" spans="1:156" s="31" customFormat="1" x14ac:dyDescent="0.25">
      <c r="B68" s="32" t="s">
        <v>990</v>
      </c>
      <c r="C68" s="32" t="s">
        <v>1050</v>
      </c>
      <c r="D68" s="32" t="s">
        <v>1005</v>
      </c>
      <c r="E68" s="43">
        <v>1.75</v>
      </c>
      <c r="F68" s="32" t="s">
        <v>10</v>
      </c>
      <c r="G68" s="32">
        <v>1E-3</v>
      </c>
      <c r="H68" s="31">
        <v>0</v>
      </c>
      <c r="I68" s="31">
        <v>5</v>
      </c>
      <c r="J68" s="31" t="s">
        <v>806</v>
      </c>
      <c r="K68" s="31" t="s">
        <v>9</v>
      </c>
      <c r="L68" s="32" t="s">
        <v>1026</v>
      </c>
      <c r="M68" s="32" t="s">
        <v>987</v>
      </c>
    </row>
    <row r="69" spans="1:156" s="31" customFormat="1" x14ac:dyDescent="0.25">
      <c r="B69" s="32" t="s">
        <v>990</v>
      </c>
      <c r="C69" s="32" t="s">
        <v>1050</v>
      </c>
      <c r="D69" s="32" t="s">
        <v>1006</v>
      </c>
      <c r="E69" s="43">
        <v>0</v>
      </c>
      <c r="F69" s="32" t="s">
        <v>10</v>
      </c>
      <c r="G69" s="32">
        <v>1E-3</v>
      </c>
      <c r="H69" s="31">
        <v>0</v>
      </c>
      <c r="I69" s="31">
        <v>5</v>
      </c>
      <c r="J69" s="31" t="s">
        <v>806</v>
      </c>
      <c r="K69" s="31" t="s">
        <v>9</v>
      </c>
      <c r="L69" s="32" t="s">
        <v>1027</v>
      </c>
      <c r="M69" s="32" t="s">
        <v>987</v>
      </c>
    </row>
    <row r="70" spans="1:156" s="31" customFormat="1" x14ac:dyDescent="0.25">
      <c r="B70" s="32" t="s">
        <v>990</v>
      </c>
      <c r="C70" s="32" t="s">
        <v>1050</v>
      </c>
      <c r="D70" s="32" t="s">
        <v>1007</v>
      </c>
      <c r="E70" s="43">
        <v>0</v>
      </c>
      <c r="F70" s="32" t="s">
        <v>10</v>
      </c>
      <c r="G70" s="32">
        <v>1E-3</v>
      </c>
      <c r="H70" s="31">
        <v>0</v>
      </c>
      <c r="I70" s="31">
        <v>5</v>
      </c>
      <c r="J70" s="31" t="s">
        <v>806</v>
      </c>
      <c r="K70" s="31" t="s">
        <v>9</v>
      </c>
      <c r="L70" s="32" t="s">
        <v>1028</v>
      </c>
      <c r="M70" s="32" t="s">
        <v>987</v>
      </c>
    </row>
    <row r="71" spans="1:156" s="31" customFormat="1" x14ac:dyDescent="0.25">
      <c r="B71" s="32" t="s">
        <v>990</v>
      </c>
      <c r="C71" s="32" t="s">
        <v>1050</v>
      </c>
      <c r="D71" s="32" t="s">
        <v>1008</v>
      </c>
      <c r="E71" s="43">
        <v>0</v>
      </c>
      <c r="F71" s="32" t="s">
        <v>10</v>
      </c>
      <c r="G71" s="32">
        <v>1E-3</v>
      </c>
      <c r="H71" s="31">
        <v>0</v>
      </c>
      <c r="I71" s="31">
        <v>5</v>
      </c>
      <c r="J71" s="31" t="s">
        <v>806</v>
      </c>
      <c r="K71" s="31" t="s">
        <v>9</v>
      </c>
      <c r="L71" s="32" t="s">
        <v>1029</v>
      </c>
      <c r="M71" s="32" t="s">
        <v>987</v>
      </c>
    </row>
    <row r="72" spans="1:156" s="11" customFormat="1" x14ac:dyDescent="0.25">
      <c r="A72"/>
      <c r="B72" s="19" t="s">
        <v>990</v>
      </c>
      <c r="C72" s="19" t="s">
        <v>31</v>
      </c>
      <c r="D72" s="19" t="s">
        <v>278</v>
      </c>
      <c r="E72" s="26">
        <v>6.8</v>
      </c>
      <c r="F72" s="19" t="s">
        <v>9</v>
      </c>
      <c r="G72" s="19"/>
      <c r="H72"/>
      <c r="I72"/>
      <c r="J72" t="s">
        <v>21</v>
      </c>
      <c r="K72" t="s">
        <v>9</v>
      </c>
      <c r="L72" s="19" t="s">
        <v>278</v>
      </c>
      <c r="M72" s="19" t="s">
        <v>987</v>
      </c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</row>
    <row r="73" spans="1:156" s="11" customFormat="1" x14ac:dyDescent="0.25">
      <c r="A73"/>
      <c r="B73" s="19" t="s">
        <v>990</v>
      </c>
      <c r="C73" s="19" t="s">
        <v>19</v>
      </c>
      <c r="D73" s="19" t="s">
        <v>275</v>
      </c>
      <c r="E73" s="23">
        <v>3.5999999999999997E-2</v>
      </c>
      <c r="F73" s="19" t="s">
        <v>9</v>
      </c>
      <c r="G73" s="19"/>
      <c r="H73"/>
      <c r="I73"/>
      <c r="J73" t="s">
        <v>28</v>
      </c>
      <c r="K73" t="s">
        <v>9</v>
      </c>
      <c r="L73" s="19" t="s">
        <v>275</v>
      </c>
      <c r="M73" s="19" t="s">
        <v>987</v>
      </c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</row>
    <row r="74" spans="1:156" s="11" customFormat="1" x14ac:dyDescent="0.25">
      <c r="A74"/>
      <c r="B74" s="19" t="s">
        <v>990</v>
      </c>
      <c r="C74" s="19" t="s">
        <v>19</v>
      </c>
      <c r="D74" s="19" t="s">
        <v>493</v>
      </c>
      <c r="E74" s="23">
        <v>0.13300000000000001</v>
      </c>
      <c r="F74" s="19" t="s">
        <v>9</v>
      </c>
      <c r="G74" s="19"/>
      <c r="H74"/>
      <c r="I74"/>
      <c r="J74" t="s">
        <v>28</v>
      </c>
      <c r="K74" t="s">
        <v>9</v>
      </c>
      <c r="L74" s="19" t="s">
        <v>493</v>
      </c>
      <c r="M74" s="19" t="s">
        <v>987</v>
      </c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</row>
    <row r="75" spans="1:156" s="11" customFormat="1" x14ac:dyDescent="0.25">
      <c r="A75"/>
      <c r="B75" s="19" t="s">
        <v>990</v>
      </c>
      <c r="C75" s="19" t="s">
        <v>19</v>
      </c>
      <c r="D75" s="19" t="s">
        <v>836</v>
      </c>
      <c r="E75" s="23">
        <v>0.128</v>
      </c>
      <c r="F75" s="19" t="s">
        <v>9</v>
      </c>
      <c r="G75" s="19"/>
      <c r="H75"/>
      <c r="I75"/>
      <c r="J75" t="s">
        <v>28</v>
      </c>
      <c r="K75" t="s">
        <v>9</v>
      </c>
      <c r="L75" s="19" t="s">
        <v>836</v>
      </c>
      <c r="M75" s="19" t="s">
        <v>987</v>
      </c>
      <c r="N75"/>
      <c r="O75" t="s">
        <v>808</v>
      </c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</row>
    <row r="76" spans="1:156" s="11" customFormat="1" x14ac:dyDescent="0.25">
      <c r="A76"/>
      <c r="B76" s="19" t="s">
        <v>990</v>
      </c>
      <c r="C76" s="19" t="s">
        <v>19</v>
      </c>
      <c r="D76" s="19" t="s">
        <v>837</v>
      </c>
      <c r="E76" s="23">
        <v>0.24099999999999999</v>
      </c>
      <c r="F76" s="19" t="s">
        <v>9</v>
      </c>
      <c r="G76" s="19"/>
      <c r="H76"/>
      <c r="I76"/>
      <c r="J76" t="s">
        <v>28</v>
      </c>
      <c r="K76" t="s">
        <v>9</v>
      </c>
      <c r="L76" s="19" t="s">
        <v>837</v>
      </c>
      <c r="M76" s="19" t="s">
        <v>987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</row>
    <row r="77" spans="1:156" s="11" customFormat="1" x14ac:dyDescent="0.25">
      <c r="A77"/>
      <c r="B77" s="19" t="s">
        <v>990</v>
      </c>
      <c r="C77" s="19" t="s">
        <v>19</v>
      </c>
      <c r="D77" s="19" t="s">
        <v>838</v>
      </c>
      <c r="E77" s="23">
        <v>4.4999999999999998E-2</v>
      </c>
      <c r="F77" s="19" t="s">
        <v>9</v>
      </c>
      <c r="G77" s="19"/>
      <c r="H77"/>
      <c r="I77"/>
      <c r="J77" t="s">
        <v>28</v>
      </c>
      <c r="K77" t="s">
        <v>9</v>
      </c>
      <c r="L77" s="19" t="s">
        <v>838</v>
      </c>
      <c r="M77" s="19" t="s">
        <v>987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</row>
    <row r="78" spans="1:156" s="11" customFormat="1" x14ac:dyDescent="0.25">
      <c r="A78"/>
      <c r="B78" s="19" t="s">
        <v>990</v>
      </c>
      <c r="C78" s="19" t="s">
        <v>19</v>
      </c>
      <c r="D78" s="19" t="s">
        <v>839</v>
      </c>
      <c r="E78" s="23">
        <v>0.26500000000000001</v>
      </c>
      <c r="F78" s="19" t="s">
        <v>9</v>
      </c>
      <c r="G78" s="19"/>
      <c r="H78"/>
      <c r="I78"/>
      <c r="J78" t="s">
        <v>28</v>
      </c>
      <c r="K78" t="s">
        <v>9</v>
      </c>
      <c r="L78" s="19" t="s">
        <v>839</v>
      </c>
      <c r="M78" s="19" t="s">
        <v>987</v>
      </c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</row>
    <row r="79" spans="1:156" s="11" customFormat="1" x14ac:dyDescent="0.25">
      <c r="A79"/>
      <c r="B79" s="19" t="s">
        <v>990</v>
      </c>
      <c r="C79" s="19" t="s">
        <v>235</v>
      </c>
      <c r="D79" s="19" t="s">
        <v>277</v>
      </c>
      <c r="E79" s="23">
        <v>0</v>
      </c>
      <c r="F79" s="19" t="s">
        <v>9</v>
      </c>
      <c r="G79" s="19"/>
      <c r="H79"/>
      <c r="I79"/>
      <c r="J79" t="s">
        <v>28</v>
      </c>
      <c r="K79" t="s">
        <v>9</v>
      </c>
      <c r="L79" s="19" t="s">
        <v>277</v>
      </c>
      <c r="M79" s="19" t="s">
        <v>987</v>
      </c>
      <c r="N79" t="s">
        <v>236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</row>
    <row r="80" spans="1:156" s="11" customFormat="1" x14ac:dyDescent="0.25">
      <c r="A80"/>
      <c r="B80" s="19" t="s">
        <v>990</v>
      </c>
      <c r="C80" s="19" t="s">
        <v>235</v>
      </c>
      <c r="D80" s="19" t="s">
        <v>487</v>
      </c>
      <c r="E80" s="23">
        <f>(1-E73)</f>
        <v>0.96399999999999997</v>
      </c>
      <c r="F80" s="19" t="s">
        <v>9</v>
      </c>
      <c r="G80" s="19"/>
      <c r="H80"/>
      <c r="I80"/>
      <c r="J80" t="s">
        <v>28</v>
      </c>
      <c r="K80" t="s">
        <v>9</v>
      </c>
      <c r="L80" s="19" t="s">
        <v>487</v>
      </c>
      <c r="M80" s="19" t="s">
        <v>987</v>
      </c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</row>
    <row r="81" spans="1:156" s="11" customFormat="1" x14ac:dyDescent="0.25">
      <c r="A81"/>
      <c r="B81" s="19" t="s">
        <v>990</v>
      </c>
      <c r="C81" s="19" t="s">
        <v>235</v>
      </c>
      <c r="D81" s="19" t="s">
        <v>488</v>
      </c>
      <c r="E81" s="23">
        <f>(1-E74)</f>
        <v>0.86699999999999999</v>
      </c>
      <c r="F81" s="19" t="s">
        <v>9</v>
      </c>
      <c r="G81" s="19"/>
      <c r="H81"/>
      <c r="I81"/>
      <c r="J81" t="s">
        <v>28</v>
      </c>
      <c r="K81" t="s">
        <v>9</v>
      </c>
      <c r="L81" s="19" t="s">
        <v>488</v>
      </c>
      <c r="M81" s="19" t="s">
        <v>987</v>
      </c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</row>
    <row r="82" spans="1:156" s="11" customFormat="1" x14ac:dyDescent="0.25">
      <c r="A82"/>
      <c r="B82" s="19" t="s">
        <v>990</v>
      </c>
      <c r="C82" s="19" t="s">
        <v>235</v>
      </c>
      <c r="D82" s="19" t="s">
        <v>489</v>
      </c>
      <c r="E82" s="23">
        <f>(1-E75)</f>
        <v>0.872</v>
      </c>
      <c r="F82" s="19" t="s">
        <v>9</v>
      </c>
      <c r="G82" s="19"/>
      <c r="H82"/>
      <c r="I82"/>
      <c r="J82" t="s">
        <v>28</v>
      </c>
      <c r="K82" t="s">
        <v>9</v>
      </c>
      <c r="L82" s="19" t="s">
        <v>489</v>
      </c>
      <c r="M82" s="19" t="s">
        <v>987</v>
      </c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</row>
    <row r="83" spans="1:156" s="11" customFormat="1" x14ac:dyDescent="0.25">
      <c r="A83"/>
      <c r="B83" s="19" t="s">
        <v>990</v>
      </c>
      <c r="C83" s="19" t="s">
        <v>235</v>
      </c>
      <c r="D83" s="19" t="s">
        <v>490</v>
      </c>
      <c r="E83" s="23">
        <f>(1-E76)</f>
        <v>0.75900000000000001</v>
      </c>
      <c r="F83" s="19" t="s">
        <v>9</v>
      </c>
      <c r="G83" s="19"/>
      <c r="H83"/>
      <c r="I83"/>
      <c r="J83" t="s">
        <v>28</v>
      </c>
      <c r="K83" t="s">
        <v>9</v>
      </c>
      <c r="L83" s="19" t="s">
        <v>490</v>
      </c>
      <c r="M83" s="19" t="s">
        <v>987</v>
      </c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</row>
    <row r="84" spans="1:156" s="11" customFormat="1" x14ac:dyDescent="0.25">
      <c r="A84"/>
      <c r="B84" s="19" t="s">
        <v>990</v>
      </c>
      <c r="C84" s="19" t="s">
        <v>235</v>
      </c>
      <c r="D84" s="19" t="s">
        <v>491</v>
      </c>
      <c r="E84" s="23">
        <f t="shared" ref="E84:E85" si="0">(1-E77)</f>
        <v>0.95499999999999996</v>
      </c>
      <c r="F84" s="19" t="s">
        <v>9</v>
      </c>
      <c r="G84" s="19"/>
      <c r="H84"/>
      <c r="I84"/>
      <c r="J84" t="s">
        <v>28</v>
      </c>
      <c r="K84" t="s">
        <v>9</v>
      </c>
      <c r="L84" s="19" t="s">
        <v>491</v>
      </c>
      <c r="M84" s="19" t="s">
        <v>987</v>
      </c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</row>
    <row r="85" spans="1:156" s="11" customFormat="1" x14ac:dyDescent="0.25">
      <c r="A85"/>
      <c r="B85" s="19" t="s">
        <v>990</v>
      </c>
      <c r="C85" s="19" t="s">
        <v>235</v>
      </c>
      <c r="D85" s="19" t="s">
        <v>492</v>
      </c>
      <c r="E85" s="23">
        <f t="shared" si="0"/>
        <v>0.73499999999999999</v>
      </c>
      <c r="F85" s="19" t="s">
        <v>9</v>
      </c>
      <c r="G85" s="19"/>
      <c r="H85"/>
      <c r="I85"/>
      <c r="J85" t="s">
        <v>28</v>
      </c>
      <c r="K85" t="s">
        <v>9</v>
      </c>
      <c r="L85" s="19" t="s">
        <v>492</v>
      </c>
      <c r="M85" s="19" t="s">
        <v>987</v>
      </c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</row>
    <row r="86" spans="1:156" s="11" customFormat="1" x14ac:dyDescent="0.25">
      <c r="A86"/>
      <c r="B86" s="19" t="s">
        <v>990</v>
      </c>
      <c r="C86" s="19" t="s">
        <v>149</v>
      </c>
      <c r="D86" s="19" t="s">
        <v>106</v>
      </c>
      <c r="E86" s="25">
        <v>4500</v>
      </c>
      <c r="F86" t="s">
        <v>9</v>
      </c>
      <c r="G86"/>
      <c r="H86">
        <v>0</v>
      </c>
      <c r="I86">
        <v>100000</v>
      </c>
      <c r="J86" t="s">
        <v>1043</v>
      </c>
      <c r="K86" t="s">
        <v>9</v>
      </c>
      <c r="L86" s="19" t="s">
        <v>106</v>
      </c>
      <c r="M86" s="19" t="s">
        <v>987</v>
      </c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</row>
    <row r="87" spans="1:156" s="31" customFormat="1" x14ac:dyDescent="0.25">
      <c r="B87" s="32" t="s">
        <v>990</v>
      </c>
      <c r="C87" s="32" t="s">
        <v>250</v>
      </c>
      <c r="D87" s="32" t="s">
        <v>276</v>
      </c>
      <c r="E87" s="40">
        <v>0</v>
      </c>
      <c r="F87" s="32" t="s">
        <v>10</v>
      </c>
      <c r="G87" s="31">
        <v>1</v>
      </c>
      <c r="H87" s="31">
        <v>0</v>
      </c>
      <c r="I87" s="31">
        <v>2000</v>
      </c>
      <c r="J87" s="31" t="s">
        <v>1043</v>
      </c>
      <c r="K87" s="31" t="s">
        <v>10</v>
      </c>
      <c r="L87" s="44" t="s">
        <v>1045</v>
      </c>
      <c r="M87" s="32" t="s">
        <v>987</v>
      </c>
    </row>
    <row r="88" spans="1:156" s="31" customFormat="1" x14ac:dyDescent="0.25">
      <c r="B88" s="32" t="s">
        <v>990</v>
      </c>
      <c r="C88" s="32" t="s">
        <v>250</v>
      </c>
      <c r="D88" s="32" t="s">
        <v>1016</v>
      </c>
      <c r="E88" s="39">
        <v>719.5</v>
      </c>
      <c r="F88" s="32" t="s">
        <v>10</v>
      </c>
      <c r="G88" s="32">
        <v>1</v>
      </c>
      <c r="H88" s="31">
        <v>0</v>
      </c>
      <c r="I88" s="31">
        <v>2000</v>
      </c>
      <c r="J88" s="31" t="s">
        <v>1043</v>
      </c>
      <c r="K88" s="31" t="s">
        <v>10</v>
      </c>
      <c r="L88" s="32" t="s">
        <v>1044</v>
      </c>
      <c r="M88" s="32" t="s">
        <v>987</v>
      </c>
    </row>
    <row r="89" spans="1:156" s="31" customFormat="1" x14ac:dyDescent="0.25">
      <c r="B89" s="32" t="s">
        <v>990</v>
      </c>
      <c r="C89" s="31" t="s">
        <v>1053</v>
      </c>
      <c r="D89" s="32" t="s">
        <v>1009</v>
      </c>
      <c r="E89" s="40">
        <v>526</v>
      </c>
      <c r="F89" s="32" t="s">
        <v>10</v>
      </c>
      <c r="G89" s="32">
        <v>1</v>
      </c>
      <c r="H89" s="31">
        <v>0</v>
      </c>
      <c r="I89" s="31">
        <v>10000</v>
      </c>
      <c r="J89" s="31" t="s">
        <v>1043</v>
      </c>
      <c r="K89" s="31" t="s">
        <v>10</v>
      </c>
      <c r="L89" s="32" t="s">
        <v>1019</v>
      </c>
      <c r="M89" s="32" t="s">
        <v>987</v>
      </c>
      <c r="N89" s="31" t="s">
        <v>486</v>
      </c>
    </row>
    <row r="90" spans="1:156" s="31" customFormat="1" x14ac:dyDescent="0.25">
      <c r="B90" s="32" t="s">
        <v>990</v>
      </c>
      <c r="C90" s="31" t="s">
        <v>1053</v>
      </c>
      <c r="D90" s="32" t="s">
        <v>1010</v>
      </c>
      <c r="E90" s="40">
        <v>445</v>
      </c>
      <c r="F90" s="32" t="s">
        <v>10</v>
      </c>
      <c r="G90" s="32">
        <v>1</v>
      </c>
      <c r="H90" s="31">
        <v>0</v>
      </c>
      <c r="I90" s="31">
        <v>10000</v>
      </c>
      <c r="J90" s="31" t="s">
        <v>1043</v>
      </c>
      <c r="K90" s="31" t="s">
        <v>10</v>
      </c>
      <c r="L90" s="32" t="s">
        <v>1020</v>
      </c>
      <c r="M90" s="32" t="s">
        <v>987</v>
      </c>
    </row>
    <row r="91" spans="1:156" s="31" customFormat="1" x14ac:dyDescent="0.25">
      <c r="B91" s="32" t="s">
        <v>990</v>
      </c>
      <c r="C91" s="31" t="s">
        <v>1053</v>
      </c>
      <c r="D91" s="31" t="s">
        <v>1011</v>
      </c>
      <c r="E91" s="40">
        <v>0</v>
      </c>
      <c r="F91" s="32" t="s">
        <v>10</v>
      </c>
      <c r="G91" s="32">
        <v>1</v>
      </c>
      <c r="H91" s="31">
        <v>0</v>
      </c>
      <c r="I91" s="31">
        <v>10000</v>
      </c>
      <c r="J91" s="31" t="s">
        <v>1043</v>
      </c>
      <c r="K91" s="31" t="s">
        <v>10</v>
      </c>
      <c r="L91" s="32" t="s">
        <v>1022</v>
      </c>
      <c r="M91" s="32" t="s">
        <v>987</v>
      </c>
    </row>
    <row r="92" spans="1:156" s="31" customFormat="1" x14ac:dyDescent="0.25">
      <c r="B92" s="32" t="s">
        <v>990</v>
      </c>
      <c r="C92" s="31" t="s">
        <v>1053</v>
      </c>
      <c r="D92" s="32" t="s">
        <v>1012</v>
      </c>
      <c r="E92" s="40">
        <v>0</v>
      </c>
      <c r="F92" s="32" t="s">
        <v>10</v>
      </c>
      <c r="G92" s="32">
        <v>1</v>
      </c>
      <c r="H92" s="31">
        <v>0</v>
      </c>
      <c r="I92" s="31">
        <v>10000</v>
      </c>
      <c r="J92" s="31" t="s">
        <v>1043</v>
      </c>
      <c r="K92" s="31" t="s">
        <v>10</v>
      </c>
      <c r="L92" s="32" t="s">
        <v>1023</v>
      </c>
      <c r="M92" s="32" t="s">
        <v>987</v>
      </c>
    </row>
    <row r="93" spans="1:156" s="31" customFormat="1" x14ac:dyDescent="0.25">
      <c r="B93" s="32" t="s">
        <v>990</v>
      </c>
      <c r="C93" s="31" t="s">
        <v>1053</v>
      </c>
      <c r="D93" s="32" t="s">
        <v>1013</v>
      </c>
      <c r="E93" s="40">
        <v>0</v>
      </c>
      <c r="F93" s="32" t="s">
        <v>10</v>
      </c>
      <c r="G93" s="32">
        <v>1</v>
      </c>
      <c r="H93" s="31">
        <v>0</v>
      </c>
      <c r="I93" s="31">
        <v>10000</v>
      </c>
      <c r="J93" s="31" t="s">
        <v>1043</v>
      </c>
      <c r="K93" s="31" t="s">
        <v>10</v>
      </c>
      <c r="L93" s="32" t="s">
        <v>1024</v>
      </c>
      <c r="M93" s="32" t="s">
        <v>987</v>
      </c>
    </row>
    <row r="94" spans="1:156" s="31" customFormat="1" x14ac:dyDescent="0.25">
      <c r="B94" s="32" t="s">
        <v>990</v>
      </c>
      <c r="C94" s="31" t="s">
        <v>1053</v>
      </c>
      <c r="D94" s="32" t="s">
        <v>1014</v>
      </c>
      <c r="E94" s="40">
        <v>1193</v>
      </c>
      <c r="F94" s="32" t="s">
        <v>10</v>
      </c>
      <c r="G94" s="32">
        <v>1</v>
      </c>
      <c r="H94" s="31">
        <v>0</v>
      </c>
      <c r="I94" s="31">
        <v>10000</v>
      </c>
      <c r="J94" s="31" t="s">
        <v>1043</v>
      </c>
      <c r="K94" s="31" t="s">
        <v>10</v>
      </c>
      <c r="L94" s="32" t="s">
        <v>1025</v>
      </c>
      <c r="M94" s="32" t="s">
        <v>987</v>
      </c>
    </row>
    <row r="95" spans="1:156" s="31" customFormat="1" x14ac:dyDescent="0.25">
      <c r="B95" s="32" t="s">
        <v>990</v>
      </c>
      <c r="C95" s="31" t="s">
        <v>1053</v>
      </c>
      <c r="D95" s="32" t="s">
        <v>1015</v>
      </c>
      <c r="E95" s="40">
        <v>0</v>
      </c>
      <c r="F95" s="32" t="s">
        <v>10</v>
      </c>
      <c r="G95" s="32">
        <v>1</v>
      </c>
      <c r="H95" s="31">
        <v>0</v>
      </c>
      <c r="I95" s="31">
        <v>10000</v>
      </c>
      <c r="J95" s="31" t="s">
        <v>1043</v>
      </c>
      <c r="K95" s="31" t="s">
        <v>10</v>
      </c>
      <c r="L95" s="32" t="s">
        <v>1026</v>
      </c>
      <c r="M95" s="32" t="s">
        <v>987</v>
      </c>
      <c r="N95" s="31" t="s">
        <v>984</v>
      </c>
    </row>
    <row r="96" spans="1:156" s="11" customFormat="1" x14ac:dyDescent="0.25">
      <c r="A96"/>
      <c r="B96" s="19" t="s">
        <v>990</v>
      </c>
      <c r="C96" t="s">
        <v>193</v>
      </c>
      <c r="D96" t="s">
        <v>194</v>
      </c>
      <c r="E96" s="25">
        <v>1</v>
      </c>
      <c r="F96" s="19" t="s">
        <v>9</v>
      </c>
      <c r="G96" s="19"/>
      <c r="H96"/>
      <c r="I96"/>
      <c r="J96" t="s">
        <v>234</v>
      </c>
      <c r="K96" t="s">
        <v>9</v>
      </c>
      <c r="L96" t="s">
        <v>194</v>
      </c>
      <c r="M96" s="19" t="s">
        <v>987</v>
      </c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</row>
    <row r="97" spans="1:156" s="11" customFormat="1" x14ac:dyDescent="0.25">
      <c r="A97"/>
      <c r="B97" s="19" t="s">
        <v>990</v>
      </c>
      <c r="C97" t="s">
        <v>193</v>
      </c>
      <c r="D97" t="s">
        <v>195</v>
      </c>
      <c r="E97" s="25">
        <v>2</v>
      </c>
      <c r="F97" s="19" t="s">
        <v>9</v>
      </c>
      <c r="G97" s="19"/>
      <c r="H97"/>
      <c r="I97"/>
      <c r="J97" t="s">
        <v>234</v>
      </c>
      <c r="K97" t="s">
        <v>9</v>
      </c>
      <c r="L97" t="s">
        <v>195</v>
      </c>
      <c r="M97" s="19" t="s">
        <v>987</v>
      </c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</row>
    <row r="98" spans="1:156" s="11" customFormat="1" x14ac:dyDescent="0.25">
      <c r="A98"/>
      <c r="B98" s="19" t="s">
        <v>990</v>
      </c>
      <c r="C98" t="s">
        <v>193</v>
      </c>
      <c r="D98" t="s">
        <v>196</v>
      </c>
      <c r="E98" s="25">
        <v>3</v>
      </c>
      <c r="F98" s="19" t="s">
        <v>9</v>
      </c>
      <c r="G98" s="19"/>
      <c r="H98"/>
      <c r="I98"/>
      <c r="J98" t="s">
        <v>234</v>
      </c>
      <c r="K98" t="s">
        <v>9</v>
      </c>
      <c r="L98" t="s">
        <v>196</v>
      </c>
      <c r="M98" s="19" t="s">
        <v>987</v>
      </c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</row>
    <row r="99" spans="1:156" s="11" customFormat="1" x14ac:dyDescent="0.25">
      <c r="A99"/>
      <c r="B99" s="19" t="s">
        <v>990</v>
      </c>
      <c r="C99" t="s">
        <v>193</v>
      </c>
      <c r="D99" t="s">
        <v>197</v>
      </c>
      <c r="E99" s="25">
        <v>4</v>
      </c>
      <c r="F99" s="19" t="s">
        <v>9</v>
      </c>
      <c r="G99" s="19"/>
      <c r="H99"/>
      <c r="I99"/>
      <c r="J99" t="s">
        <v>234</v>
      </c>
      <c r="K99" t="s">
        <v>9</v>
      </c>
      <c r="L99" t="s">
        <v>197</v>
      </c>
      <c r="M99" s="19" t="s">
        <v>987</v>
      </c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</row>
    <row r="100" spans="1:156" s="11" customFormat="1" x14ac:dyDescent="0.25">
      <c r="A100"/>
      <c r="B100" s="19" t="s">
        <v>990</v>
      </c>
      <c r="C100" t="s">
        <v>193</v>
      </c>
      <c r="D100" t="s">
        <v>198</v>
      </c>
      <c r="E100" s="25">
        <v>5</v>
      </c>
      <c r="F100" s="19" t="s">
        <v>9</v>
      </c>
      <c r="G100" s="19"/>
      <c r="H100"/>
      <c r="I100"/>
      <c r="J100" t="s">
        <v>234</v>
      </c>
      <c r="K100" t="s">
        <v>9</v>
      </c>
      <c r="L100" t="s">
        <v>198</v>
      </c>
      <c r="M100" s="19" t="s">
        <v>987</v>
      </c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</row>
    <row r="101" spans="1:156" s="11" customFormat="1" x14ac:dyDescent="0.25">
      <c r="A101"/>
      <c r="B101" s="19" t="s">
        <v>990</v>
      </c>
      <c r="C101" t="s">
        <v>193</v>
      </c>
      <c r="D101" t="s">
        <v>199</v>
      </c>
      <c r="E101" s="25">
        <v>6</v>
      </c>
      <c r="F101" s="19" t="s">
        <v>9</v>
      </c>
      <c r="G101" s="19"/>
      <c r="H101"/>
      <c r="I101"/>
      <c r="J101" t="s">
        <v>234</v>
      </c>
      <c r="K101" t="s">
        <v>9</v>
      </c>
      <c r="L101" t="s">
        <v>199</v>
      </c>
      <c r="M101" s="19" t="s">
        <v>987</v>
      </c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</row>
    <row r="102" spans="1:156" s="11" customFormat="1" x14ac:dyDescent="0.25">
      <c r="A102"/>
      <c r="B102" s="19" t="s">
        <v>990</v>
      </c>
      <c r="C102" t="s">
        <v>193</v>
      </c>
      <c r="D102" t="s">
        <v>200</v>
      </c>
      <c r="E102" s="25">
        <v>7</v>
      </c>
      <c r="F102" s="19" t="s">
        <v>9</v>
      </c>
      <c r="G102" s="19"/>
      <c r="H102"/>
      <c r="I102"/>
      <c r="J102" t="s">
        <v>234</v>
      </c>
      <c r="K102" t="s">
        <v>9</v>
      </c>
      <c r="L102" t="s">
        <v>200</v>
      </c>
      <c r="M102" s="19" t="s">
        <v>987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</row>
    <row r="103" spans="1:156" s="11" customFormat="1" x14ac:dyDescent="0.25">
      <c r="A103"/>
      <c r="B103" s="19" t="s">
        <v>990</v>
      </c>
      <c r="C103" t="s">
        <v>193</v>
      </c>
      <c r="D103" t="s">
        <v>201</v>
      </c>
      <c r="E103" s="25">
        <v>8</v>
      </c>
      <c r="F103" s="19" t="s">
        <v>9</v>
      </c>
      <c r="G103" s="19"/>
      <c r="H103"/>
      <c r="I103"/>
      <c r="J103" t="s">
        <v>234</v>
      </c>
      <c r="K103" t="s">
        <v>9</v>
      </c>
      <c r="L103" t="s">
        <v>201</v>
      </c>
      <c r="M103" s="19" t="s">
        <v>987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</row>
    <row r="104" spans="1:156" s="11" customFormat="1" x14ac:dyDescent="0.25">
      <c r="A104"/>
      <c r="B104" s="19" t="s">
        <v>990</v>
      </c>
      <c r="C104" t="s">
        <v>193</v>
      </c>
      <c r="D104" t="s">
        <v>202</v>
      </c>
      <c r="E104" s="25">
        <v>9</v>
      </c>
      <c r="F104" s="19" t="s">
        <v>9</v>
      </c>
      <c r="G104" s="19"/>
      <c r="H104"/>
      <c r="I104"/>
      <c r="J104" t="s">
        <v>234</v>
      </c>
      <c r="K104" t="s">
        <v>9</v>
      </c>
      <c r="L104" t="s">
        <v>202</v>
      </c>
      <c r="M104" s="19" t="s">
        <v>987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</row>
    <row r="105" spans="1:156" s="11" customFormat="1" x14ac:dyDescent="0.25">
      <c r="A105"/>
      <c r="B105" s="19" t="s">
        <v>990</v>
      </c>
      <c r="C105" t="s">
        <v>193</v>
      </c>
      <c r="D105" t="s">
        <v>203</v>
      </c>
      <c r="E105" s="25">
        <v>10</v>
      </c>
      <c r="F105" s="19" t="s">
        <v>9</v>
      </c>
      <c r="G105" s="19"/>
      <c r="H105"/>
      <c r="I105"/>
      <c r="J105" t="s">
        <v>234</v>
      </c>
      <c r="K105" t="s">
        <v>9</v>
      </c>
      <c r="L105" t="s">
        <v>203</v>
      </c>
      <c r="M105" s="19" t="s">
        <v>987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</row>
    <row r="106" spans="1:156" s="11" customFormat="1" x14ac:dyDescent="0.25">
      <c r="A106"/>
      <c r="B106" s="19" t="s">
        <v>990</v>
      </c>
      <c r="C106" t="s">
        <v>193</v>
      </c>
      <c r="D106" t="s">
        <v>204</v>
      </c>
      <c r="E106" s="25">
        <v>11</v>
      </c>
      <c r="F106" s="19" t="s">
        <v>9</v>
      </c>
      <c r="G106" s="19"/>
      <c r="H106"/>
      <c r="I106"/>
      <c r="J106" t="s">
        <v>234</v>
      </c>
      <c r="K106" t="s">
        <v>9</v>
      </c>
      <c r="L106" t="s">
        <v>204</v>
      </c>
      <c r="M106" s="19" t="s">
        <v>987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</row>
    <row r="107" spans="1:156" s="11" customFormat="1" x14ac:dyDescent="0.25">
      <c r="A107"/>
      <c r="B107" s="19" t="s">
        <v>990</v>
      </c>
      <c r="C107" t="s">
        <v>193</v>
      </c>
      <c r="D107" t="s">
        <v>205</v>
      </c>
      <c r="E107" s="25">
        <v>12</v>
      </c>
      <c r="F107" s="19" t="s">
        <v>9</v>
      </c>
      <c r="G107" s="19"/>
      <c r="H107"/>
      <c r="I107"/>
      <c r="J107" t="s">
        <v>234</v>
      </c>
      <c r="K107" t="s">
        <v>9</v>
      </c>
      <c r="L107" t="s">
        <v>205</v>
      </c>
      <c r="M107" s="19" t="s">
        <v>987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</row>
    <row r="108" spans="1:156" s="11" customFormat="1" x14ac:dyDescent="0.25">
      <c r="A108"/>
      <c r="B108" s="19" t="s">
        <v>990</v>
      </c>
      <c r="C108" t="s">
        <v>193</v>
      </c>
      <c r="D108" t="s">
        <v>206</v>
      </c>
      <c r="E108" s="25">
        <v>13</v>
      </c>
      <c r="F108" s="19" t="s">
        <v>9</v>
      </c>
      <c r="G108" s="19"/>
      <c r="H108"/>
      <c r="I108"/>
      <c r="J108" t="s">
        <v>234</v>
      </c>
      <c r="K108" t="s">
        <v>9</v>
      </c>
      <c r="L108" t="s">
        <v>206</v>
      </c>
      <c r="M108" s="19" t="s">
        <v>987</v>
      </c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</row>
    <row r="109" spans="1:156" s="11" customFormat="1" x14ac:dyDescent="0.25">
      <c r="A109"/>
      <c r="B109" s="19" t="s">
        <v>990</v>
      </c>
      <c r="C109" t="s">
        <v>193</v>
      </c>
      <c r="D109" t="s">
        <v>207</v>
      </c>
      <c r="E109" s="25">
        <v>14</v>
      </c>
      <c r="F109" s="19" t="s">
        <v>9</v>
      </c>
      <c r="G109" s="19"/>
      <c r="H109"/>
      <c r="I109"/>
      <c r="J109" t="s">
        <v>234</v>
      </c>
      <c r="K109" t="s">
        <v>9</v>
      </c>
      <c r="L109" t="s">
        <v>207</v>
      </c>
      <c r="M109" s="19" t="s">
        <v>987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</row>
    <row r="110" spans="1:156" s="11" customFormat="1" x14ac:dyDescent="0.25">
      <c r="A110"/>
      <c r="B110" s="19" t="s">
        <v>990</v>
      </c>
      <c r="C110" t="s">
        <v>193</v>
      </c>
      <c r="D110" t="s">
        <v>208</v>
      </c>
      <c r="E110" s="25">
        <v>15</v>
      </c>
      <c r="F110" s="19" t="s">
        <v>9</v>
      </c>
      <c r="G110" s="19"/>
      <c r="H110"/>
      <c r="I110"/>
      <c r="J110" t="s">
        <v>234</v>
      </c>
      <c r="K110" t="s">
        <v>9</v>
      </c>
      <c r="L110" t="s">
        <v>208</v>
      </c>
      <c r="M110" s="19" t="s">
        <v>987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</row>
    <row r="111" spans="1:156" s="11" customFormat="1" x14ac:dyDescent="0.25">
      <c r="A111"/>
      <c r="B111" s="19" t="s">
        <v>990</v>
      </c>
      <c r="C111" t="s">
        <v>193</v>
      </c>
      <c r="D111" t="s">
        <v>209</v>
      </c>
      <c r="E111" s="25">
        <v>16</v>
      </c>
      <c r="F111" s="19" t="s">
        <v>9</v>
      </c>
      <c r="G111" s="19"/>
      <c r="H111"/>
      <c r="I111"/>
      <c r="J111" t="s">
        <v>234</v>
      </c>
      <c r="K111" t="s">
        <v>9</v>
      </c>
      <c r="L111" t="s">
        <v>209</v>
      </c>
      <c r="M111" s="19" t="s">
        <v>987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</row>
    <row r="112" spans="1:156" s="11" customFormat="1" x14ac:dyDescent="0.25">
      <c r="A112"/>
      <c r="B112" s="19" t="s">
        <v>990</v>
      </c>
      <c r="C112" t="s">
        <v>193</v>
      </c>
      <c r="D112" t="s">
        <v>210</v>
      </c>
      <c r="E112" s="25">
        <v>17</v>
      </c>
      <c r="F112" s="19" t="s">
        <v>9</v>
      </c>
      <c r="G112" s="19"/>
      <c r="H112"/>
      <c r="I112"/>
      <c r="J112" t="s">
        <v>234</v>
      </c>
      <c r="K112" t="s">
        <v>9</v>
      </c>
      <c r="L112" t="s">
        <v>210</v>
      </c>
      <c r="M112" s="19" t="s">
        <v>987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</row>
    <row r="113" spans="1:156" s="11" customFormat="1" x14ac:dyDescent="0.25">
      <c r="A113"/>
      <c r="B113" s="19" t="s">
        <v>990</v>
      </c>
      <c r="C113" t="s">
        <v>193</v>
      </c>
      <c r="D113" t="s">
        <v>211</v>
      </c>
      <c r="E113" s="25">
        <v>18</v>
      </c>
      <c r="F113" s="19" t="s">
        <v>9</v>
      </c>
      <c r="G113" s="19"/>
      <c r="H113"/>
      <c r="I113"/>
      <c r="J113" t="s">
        <v>234</v>
      </c>
      <c r="K113" t="s">
        <v>9</v>
      </c>
      <c r="L113" t="s">
        <v>211</v>
      </c>
      <c r="M113" s="19" t="s">
        <v>987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</row>
    <row r="114" spans="1:156" s="11" customFormat="1" x14ac:dyDescent="0.25">
      <c r="A114"/>
      <c r="B114" s="19" t="s">
        <v>990</v>
      </c>
      <c r="C114" t="s">
        <v>193</v>
      </c>
      <c r="D114" t="s">
        <v>212</v>
      </c>
      <c r="E114" s="25">
        <v>19</v>
      </c>
      <c r="F114" s="19" t="s">
        <v>9</v>
      </c>
      <c r="G114" s="19"/>
      <c r="H114"/>
      <c r="I114"/>
      <c r="J114" t="s">
        <v>234</v>
      </c>
      <c r="K114" t="s">
        <v>9</v>
      </c>
      <c r="L114" t="s">
        <v>212</v>
      </c>
      <c r="M114" s="19" t="s">
        <v>987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</row>
    <row r="115" spans="1:156" s="11" customFormat="1" x14ac:dyDescent="0.25">
      <c r="A115"/>
      <c r="B115" s="19" t="s">
        <v>990</v>
      </c>
      <c r="C115" t="s">
        <v>193</v>
      </c>
      <c r="D115" t="s">
        <v>213</v>
      </c>
      <c r="E115" s="25">
        <v>20</v>
      </c>
      <c r="F115" s="19" t="s">
        <v>9</v>
      </c>
      <c r="G115" s="19"/>
      <c r="H115"/>
      <c r="I115"/>
      <c r="J115" t="s">
        <v>234</v>
      </c>
      <c r="K115" t="s">
        <v>9</v>
      </c>
      <c r="L115" t="s">
        <v>213</v>
      </c>
      <c r="M115" s="19" t="s">
        <v>987</v>
      </c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</row>
    <row r="116" spans="1:156" s="11" customFormat="1" x14ac:dyDescent="0.25">
      <c r="A116"/>
      <c r="B116" s="19" t="s">
        <v>990</v>
      </c>
      <c r="C116" t="s">
        <v>193</v>
      </c>
      <c r="D116" t="s">
        <v>214</v>
      </c>
      <c r="E116" s="25">
        <v>21</v>
      </c>
      <c r="F116" s="19" t="s">
        <v>9</v>
      </c>
      <c r="G116" s="19"/>
      <c r="H116"/>
      <c r="I116"/>
      <c r="J116" t="s">
        <v>234</v>
      </c>
      <c r="K116" t="s">
        <v>9</v>
      </c>
      <c r="L116" t="s">
        <v>214</v>
      </c>
      <c r="M116" s="19" t="s">
        <v>987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</row>
    <row r="117" spans="1:156" s="11" customFormat="1" x14ac:dyDescent="0.25">
      <c r="A117"/>
      <c r="B117" s="19" t="s">
        <v>990</v>
      </c>
      <c r="C117" t="s">
        <v>193</v>
      </c>
      <c r="D117" t="s">
        <v>215</v>
      </c>
      <c r="E117" s="25">
        <v>22</v>
      </c>
      <c r="F117" s="19" t="s">
        <v>9</v>
      </c>
      <c r="G117" s="19"/>
      <c r="H117"/>
      <c r="I117"/>
      <c r="J117" t="s">
        <v>234</v>
      </c>
      <c r="K117" t="s">
        <v>9</v>
      </c>
      <c r="L117" t="s">
        <v>215</v>
      </c>
      <c r="M117" s="19" t="s">
        <v>987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</row>
    <row r="118" spans="1:156" s="11" customFormat="1" x14ac:dyDescent="0.25">
      <c r="A118"/>
      <c r="B118" s="19" t="s">
        <v>990</v>
      </c>
      <c r="C118" t="s">
        <v>193</v>
      </c>
      <c r="D118" t="s">
        <v>216</v>
      </c>
      <c r="E118" s="25">
        <v>23</v>
      </c>
      <c r="F118" s="19" t="s">
        <v>9</v>
      </c>
      <c r="G118" s="19"/>
      <c r="H118"/>
      <c r="I118"/>
      <c r="J118" t="s">
        <v>234</v>
      </c>
      <c r="K118" t="s">
        <v>9</v>
      </c>
      <c r="L118" t="s">
        <v>216</v>
      </c>
      <c r="M118" s="19" t="s">
        <v>987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</row>
    <row r="119" spans="1:156" s="11" customFormat="1" x14ac:dyDescent="0.25">
      <c r="A119"/>
      <c r="B119" s="19" t="s">
        <v>990</v>
      </c>
      <c r="C119" t="s">
        <v>193</v>
      </c>
      <c r="D119" t="s">
        <v>217</v>
      </c>
      <c r="E119" s="25">
        <v>24</v>
      </c>
      <c r="F119" s="19" t="s">
        <v>9</v>
      </c>
      <c r="G119" s="19"/>
      <c r="H119"/>
      <c r="I119"/>
      <c r="J119" t="s">
        <v>234</v>
      </c>
      <c r="K119" t="s">
        <v>9</v>
      </c>
      <c r="L119" t="s">
        <v>217</v>
      </c>
      <c r="M119" s="19" t="s">
        <v>987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</row>
    <row r="120" spans="1:156" s="11" customFormat="1" x14ac:dyDescent="0.25">
      <c r="A120"/>
      <c r="B120" s="19" t="s">
        <v>990</v>
      </c>
      <c r="C120" t="s">
        <v>193</v>
      </c>
      <c r="D120" t="s">
        <v>218</v>
      </c>
      <c r="E120" s="25">
        <v>25</v>
      </c>
      <c r="F120" s="19" t="s">
        <v>9</v>
      </c>
      <c r="G120" s="19"/>
      <c r="H120"/>
      <c r="I120"/>
      <c r="J120" t="s">
        <v>234</v>
      </c>
      <c r="K120" t="s">
        <v>9</v>
      </c>
      <c r="L120" t="s">
        <v>218</v>
      </c>
      <c r="M120" s="19" t="s">
        <v>987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</row>
    <row r="121" spans="1:156" s="11" customFormat="1" x14ac:dyDescent="0.25">
      <c r="A121"/>
      <c r="B121" s="19" t="s">
        <v>990</v>
      </c>
      <c r="C121" t="s">
        <v>193</v>
      </c>
      <c r="D121" t="s">
        <v>219</v>
      </c>
      <c r="E121" s="25">
        <v>26</v>
      </c>
      <c r="F121" s="19" t="s">
        <v>9</v>
      </c>
      <c r="G121" s="19"/>
      <c r="H121"/>
      <c r="I121"/>
      <c r="J121" t="s">
        <v>234</v>
      </c>
      <c r="K121" t="s">
        <v>9</v>
      </c>
      <c r="L121" t="s">
        <v>219</v>
      </c>
      <c r="M121" s="19" t="s">
        <v>987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</row>
    <row r="122" spans="1:156" s="11" customFormat="1" x14ac:dyDescent="0.25">
      <c r="A122"/>
      <c r="B122" s="19" t="s">
        <v>990</v>
      </c>
      <c r="C122" t="s">
        <v>193</v>
      </c>
      <c r="D122" t="s">
        <v>220</v>
      </c>
      <c r="E122" s="25">
        <v>27</v>
      </c>
      <c r="F122" s="19" t="s">
        <v>9</v>
      </c>
      <c r="G122" s="19"/>
      <c r="H122"/>
      <c r="I122"/>
      <c r="J122" t="s">
        <v>234</v>
      </c>
      <c r="K122" t="s">
        <v>9</v>
      </c>
      <c r="L122" t="s">
        <v>220</v>
      </c>
      <c r="M122" s="19" t="s">
        <v>987</v>
      </c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</row>
    <row r="123" spans="1:156" s="11" customFormat="1" x14ac:dyDescent="0.25">
      <c r="A123"/>
      <c r="B123" s="19" t="s">
        <v>990</v>
      </c>
      <c r="C123" t="s">
        <v>193</v>
      </c>
      <c r="D123" t="s">
        <v>221</v>
      </c>
      <c r="E123" s="25">
        <v>28</v>
      </c>
      <c r="F123" s="19" t="s">
        <v>9</v>
      </c>
      <c r="G123" s="19"/>
      <c r="H123"/>
      <c r="I123"/>
      <c r="J123" t="s">
        <v>234</v>
      </c>
      <c r="K123" t="s">
        <v>9</v>
      </c>
      <c r="L123" t="s">
        <v>221</v>
      </c>
      <c r="M123" s="19" t="s">
        <v>987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</row>
    <row r="124" spans="1:156" s="11" customFormat="1" x14ac:dyDescent="0.25">
      <c r="A124"/>
      <c r="B124" s="19" t="s">
        <v>990</v>
      </c>
      <c r="C124" t="s">
        <v>193</v>
      </c>
      <c r="D124" t="s">
        <v>222</v>
      </c>
      <c r="E124" s="25">
        <v>29</v>
      </c>
      <c r="F124" s="19" t="s">
        <v>9</v>
      </c>
      <c r="G124" s="19"/>
      <c r="H124"/>
      <c r="I124"/>
      <c r="J124" t="s">
        <v>234</v>
      </c>
      <c r="K124" t="s">
        <v>9</v>
      </c>
      <c r="L124" t="s">
        <v>222</v>
      </c>
      <c r="M124" s="19" t="s">
        <v>987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</row>
    <row r="125" spans="1:156" s="11" customFormat="1" x14ac:dyDescent="0.25">
      <c r="A125"/>
      <c r="B125" s="19" t="s">
        <v>990</v>
      </c>
      <c r="C125" t="s">
        <v>193</v>
      </c>
      <c r="D125" t="s">
        <v>223</v>
      </c>
      <c r="E125" s="25">
        <v>30</v>
      </c>
      <c r="F125" s="19" t="s">
        <v>9</v>
      </c>
      <c r="G125" s="19"/>
      <c r="H125"/>
      <c r="I125"/>
      <c r="J125" t="s">
        <v>234</v>
      </c>
      <c r="K125" t="s">
        <v>9</v>
      </c>
      <c r="L125" t="s">
        <v>223</v>
      </c>
      <c r="M125" s="19" t="s">
        <v>987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</row>
    <row r="126" spans="1:156" s="11" customFormat="1" x14ac:dyDescent="0.25">
      <c r="A126"/>
      <c r="B126" s="19" t="s">
        <v>990</v>
      </c>
      <c r="C126" t="s">
        <v>193</v>
      </c>
      <c r="D126" t="s">
        <v>224</v>
      </c>
      <c r="E126" s="25">
        <v>31</v>
      </c>
      <c r="F126" s="19" t="s">
        <v>9</v>
      </c>
      <c r="G126" s="19"/>
      <c r="H126"/>
      <c r="I126"/>
      <c r="J126" t="s">
        <v>234</v>
      </c>
      <c r="K126" t="s">
        <v>9</v>
      </c>
      <c r="L126" t="s">
        <v>224</v>
      </c>
      <c r="M126" s="19" t="s">
        <v>987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</row>
    <row r="127" spans="1:156" s="11" customFormat="1" x14ac:dyDescent="0.25">
      <c r="A127"/>
      <c r="B127" s="19" t="s">
        <v>990</v>
      </c>
      <c r="C127" t="s">
        <v>193</v>
      </c>
      <c r="D127" t="s">
        <v>225</v>
      </c>
      <c r="E127" s="25">
        <v>32</v>
      </c>
      <c r="F127" s="19" t="s">
        <v>9</v>
      </c>
      <c r="G127" s="19"/>
      <c r="H127"/>
      <c r="I127"/>
      <c r="J127" t="s">
        <v>234</v>
      </c>
      <c r="K127" t="s">
        <v>9</v>
      </c>
      <c r="L127" t="s">
        <v>225</v>
      </c>
      <c r="M127" s="19" t="s">
        <v>987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</row>
    <row r="128" spans="1:156" s="11" customFormat="1" x14ac:dyDescent="0.25">
      <c r="A128"/>
      <c r="B128" s="19" t="s">
        <v>990</v>
      </c>
      <c r="C128" t="s">
        <v>193</v>
      </c>
      <c r="D128" t="s">
        <v>226</v>
      </c>
      <c r="E128" s="25">
        <v>33</v>
      </c>
      <c r="F128" s="19" t="s">
        <v>9</v>
      </c>
      <c r="G128" s="19"/>
      <c r="H128"/>
      <c r="I128"/>
      <c r="J128" t="s">
        <v>234</v>
      </c>
      <c r="K128" t="s">
        <v>9</v>
      </c>
      <c r="L128" t="s">
        <v>226</v>
      </c>
      <c r="M128" s="19" t="s">
        <v>987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</row>
    <row r="129" spans="1:156" s="11" customFormat="1" x14ac:dyDescent="0.25">
      <c r="A129"/>
      <c r="B129" s="19" t="s">
        <v>990</v>
      </c>
      <c r="C129" t="s">
        <v>193</v>
      </c>
      <c r="D129" t="s">
        <v>227</v>
      </c>
      <c r="E129" s="25">
        <v>34</v>
      </c>
      <c r="F129" s="19" t="s">
        <v>9</v>
      </c>
      <c r="G129" s="19"/>
      <c r="H129"/>
      <c r="I129"/>
      <c r="J129" t="s">
        <v>234</v>
      </c>
      <c r="K129" t="s">
        <v>9</v>
      </c>
      <c r="L129" t="s">
        <v>227</v>
      </c>
      <c r="M129" s="19" t="s">
        <v>987</v>
      </c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</row>
    <row r="130" spans="1:156" s="11" customFormat="1" x14ac:dyDescent="0.25">
      <c r="A130"/>
      <c r="B130" s="19" t="s">
        <v>990</v>
      </c>
      <c r="C130" t="s">
        <v>193</v>
      </c>
      <c r="D130" t="s">
        <v>228</v>
      </c>
      <c r="E130" s="25">
        <v>35</v>
      </c>
      <c r="F130" s="19" t="s">
        <v>9</v>
      </c>
      <c r="G130" s="19"/>
      <c r="H130"/>
      <c r="I130"/>
      <c r="J130" t="s">
        <v>234</v>
      </c>
      <c r="K130" t="s">
        <v>9</v>
      </c>
      <c r="L130" t="s">
        <v>228</v>
      </c>
      <c r="M130" s="19" t="s">
        <v>987</v>
      </c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</row>
    <row r="131" spans="1:156" s="11" customFormat="1" x14ac:dyDescent="0.25">
      <c r="A131"/>
      <c r="B131" s="19" t="s">
        <v>990</v>
      </c>
      <c r="C131" t="s">
        <v>193</v>
      </c>
      <c r="D131" t="s">
        <v>229</v>
      </c>
      <c r="E131" s="25">
        <v>36</v>
      </c>
      <c r="F131" s="19" t="s">
        <v>9</v>
      </c>
      <c r="G131" s="19"/>
      <c r="H131"/>
      <c r="I131"/>
      <c r="J131" t="s">
        <v>234</v>
      </c>
      <c r="K131" t="s">
        <v>9</v>
      </c>
      <c r="L131" t="s">
        <v>229</v>
      </c>
      <c r="M131" s="19" t="s">
        <v>987</v>
      </c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</row>
    <row r="132" spans="1:156" s="11" customFormat="1" x14ac:dyDescent="0.25">
      <c r="A132"/>
      <c r="B132" s="19" t="s">
        <v>990</v>
      </c>
      <c r="C132" t="s">
        <v>193</v>
      </c>
      <c r="D132" t="s">
        <v>230</v>
      </c>
      <c r="E132" s="25">
        <v>37</v>
      </c>
      <c r="F132" s="19" t="s">
        <v>9</v>
      </c>
      <c r="G132" s="19"/>
      <c r="H132"/>
      <c r="I132"/>
      <c r="J132" t="s">
        <v>234</v>
      </c>
      <c r="K132" t="s">
        <v>9</v>
      </c>
      <c r="L132" t="s">
        <v>230</v>
      </c>
      <c r="M132" s="19" t="s">
        <v>987</v>
      </c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</row>
    <row r="133" spans="1:156" s="11" customFormat="1" x14ac:dyDescent="0.25">
      <c r="A133"/>
      <c r="B133" s="19" t="s">
        <v>990</v>
      </c>
      <c r="C133" t="s">
        <v>193</v>
      </c>
      <c r="D133" t="s">
        <v>231</v>
      </c>
      <c r="E133" s="25">
        <v>38</v>
      </c>
      <c r="F133" s="19" t="s">
        <v>9</v>
      </c>
      <c r="G133" s="19"/>
      <c r="H133"/>
      <c r="I133"/>
      <c r="J133" t="s">
        <v>234</v>
      </c>
      <c r="K133" t="s">
        <v>9</v>
      </c>
      <c r="L133" t="s">
        <v>231</v>
      </c>
      <c r="M133" s="19" t="s">
        <v>987</v>
      </c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</row>
    <row r="134" spans="1:156" s="11" customFormat="1" x14ac:dyDescent="0.25">
      <c r="A134"/>
      <c r="B134" s="19" t="s">
        <v>990</v>
      </c>
      <c r="C134" t="s">
        <v>193</v>
      </c>
      <c r="D134" t="s">
        <v>232</v>
      </c>
      <c r="E134" s="25">
        <v>39</v>
      </c>
      <c r="F134" s="19" t="s">
        <v>9</v>
      </c>
      <c r="G134" s="19"/>
      <c r="H134"/>
      <c r="I134"/>
      <c r="J134" t="s">
        <v>234</v>
      </c>
      <c r="K134" t="s">
        <v>9</v>
      </c>
      <c r="L134" t="s">
        <v>232</v>
      </c>
      <c r="M134" s="19" t="s">
        <v>987</v>
      </c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</row>
    <row r="135" spans="1:156" s="11" customFormat="1" x14ac:dyDescent="0.25">
      <c r="A135"/>
      <c r="B135" s="19" t="s">
        <v>990</v>
      </c>
      <c r="C135" t="s">
        <v>193</v>
      </c>
      <c r="D135" t="s">
        <v>233</v>
      </c>
      <c r="E135" s="25">
        <v>40</v>
      </c>
      <c r="F135" s="19" t="s">
        <v>9</v>
      </c>
      <c r="G135" s="19"/>
      <c r="H135"/>
      <c r="I135"/>
      <c r="J135" t="s">
        <v>234</v>
      </c>
      <c r="K135" t="s">
        <v>9</v>
      </c>
      <c r="L135" t="s">
        <v>233</v>
      </c>
      <c r="M135" s="19" t="s">
        <v>987</v>
      </c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</row>
    <row r="136" spans="1:156" x14ac:dyDescent="0.25">
      <c r="E136" s="6"/>
    </row>
    <row r="137" spans="1:156" x14ac:dyDescent="0.25">
      <c r="E137" s="6"/>
    </row>
    <row r="138" spans="1:156" x14ac:dyDescent="0.25">
      <c r="E138" s="6"/>
    </row>
    <row r="139" spans="1:156" x14ac:dyDescent="0.25">
      <c r="E139" s="6"/>
    </row>
    <row r="140" spans="1:156" x14ac:dyDescent="0.25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25" defaultRowHeight="15.75" x14ac:dyDescent="0.25"/>
  <cols>
    <col min="1" max="1" width="19.75" bestFit="1" customWidth="1"/>
    <col min="2" max="2" width="52.75" customWidth="1"/>
    <col min="3" max="3" width="82.625" customWidth="1"/>
    <col min="4" max="4" width="12.375" bestFit="1" customWidth="1"/>
    <col min="5" max="5" width="85.75" customWidth="1"/>
  </cols>
  <sheetData>
    <row r="1" spans="1:125" s="9" customFormat="1" ht="21" x14ac:dyDescent="0.35">
      <c r="A1" s="27" t="s">
        <v>0</v>
      </c>
      <c r="B1" s="27" t="s">
        <v>1</v>
      </c>
      <c r="C1" s="27" t="s">
        <v>11</v>
      </c>
      <c r="D1" s="27" t="s">
        <v>13</v>
      </c>
      <c r="E1" s="27" t="s">
        <v>143</v>
      </c>
    </row>
    <row r="2" spans="1:125" s="14" customFormat="1" x14ac:dyDescent="0.25">
      <c r="A2" t="s">
        <v>16</v>
      </c>
      <c r="B2" t="s">
        <v>17</v>
      </c>
      <c r="C2" t="s">
        <v>35</v>
      </c>
      <c r="D2" s="28">
        <f>inputs!E3/(1 - inputs!E4/1000)</f>
        <v>647799.41772914364</v>
      </c>
      <c r="E2" t="str">
        <f ca="1">_xlfn.FORMULATEXT(D2)</f>
        <v>=inputs!E3/(1 - inputs!E4/1000)</v>
      </c>
      <c r="F2" s="2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25">
      <c r="A3" t="s">
        <v>16</v>
      </c>
      <c r="B3" t="s">
        <v>17</v>
      </c>
      <c r="C3" t="s">
        <v>36</v>
      </c>
      <c r="D3" s="2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149999999999999" customHeight="1" x14ac:dyDescent="0.25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149999999999999" customHeight="1" x14ac:dyDescent="0.25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149999999999999" customHeight="1" x14ac:dyDescent="0.25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149999999999999" customHeight="1" x14ac:dyDescent="0.25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149999999999999" customHeight="1" x14ac:dyDescent="0.25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149999999999999" customHeight="1" x14ac:dyDescent="0.25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149999999999999" customHeight="1" x14ac:dyDescent="0.25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149999999999999" customHeight="1" x14ac:dyDescent="0.25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149999999999999" customHeight="1" x14ac:dyDescent="0.25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149999999999999" customHeight="1" x14ac:dyDescent="0.25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149999999999999" customHeight="1" x14ac:dyDescent="0.25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149999999999999" customHeight="1" x14ac:dyDescent="0.25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149999999999999" customHeight="1" x14ac:dyDescent="0.25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149999999999999" customHeight="1" x14ac:dyDescent="0.25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149999999999999" customHeight="1" x14ac:dyDescent="0.25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149999999999999" customHeight="1" x14ac:dyDescent="0.25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149999999999999" customHeight="1" x14ac:dyDescent="0.25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149999999999999" customHeight="1" x14ac:dyDescent="0.25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149999999999999" customHeight="1" x14ac:dyDescent="0.25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149999999999999" customHeight="1" x14ac:dyDescent="0.25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149999999999999" customHeight="1" x14ac:dyDescent="0.25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149999999999999" customHeight="1" x14ac:dyDescent="0.25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149999999999999" customHeight="1" x14ac:dyDescent="0.25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149999999999999" customHeight="1" x14ac:dyDescent="0.25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149999999999999" customHeight="1" x14ac:dyDescent="0.25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149999999999999" customHeight="1" x14ac:dyDescent="0.25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149999999999999" customHeight="1" x14ac:dyDescent="0.25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149999999999999" customHeight="1" x14ac:dyDescent="0.25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149999999999999" customHeight="1" x14ac:dyDescent="0.25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149999999999999" customHeight="1" x14ac:dyDescent="0.25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149999999999999" customHeight="1" x14ac:dyDescent="0.25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149999999999999" customHeight="1" x14ac:dyDescent="0.25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149999999999999" customHeight="1" x14ac:dyDescent="0.25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149999999999999" customHeight="1" x14ac:dyDescent="0.25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149999999999999" customHeight="1" x14ac:dyDescent="0.25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149999999999999" customHeight="1" x14ac:dyDescent="0.25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149999999999999" customHeight="1" x14ac:dyDescent="0.25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149999999999999" customHeight="1" x14ac:dyDescent="0.25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149999999999999" customHeight="1" x14ac:dyDescent="0.25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149999999999999" customHeight="1" x14ac:dyDescent="0.25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149999999999999" customHeight="1" x14ac:dyDescent="0.25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149999999999999" customHeight="1" x14ac:dyDescent="0.25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149999999999999" customHeight="1" x14ac:dyDescent="0.25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149999999999999" customHeight="1" x14ac:dyDescent="0.25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149999999999999" customHeight="1" x14ac:dyDescent="0.25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149999999999999" customHeight="1" x14ac:dyDescent="0.25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149999999999999" customHeight="1" x14ac:dyDescent="0.25">
      <c r="A50" t="s">
        <v>16</v>
      </c>
      <c r="B50" t="s">
        <v>107</v>
      </c>
      <c r="C50" t="s">
        <v>150</v>
      </c>
      <c r="D50" s="3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25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25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25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25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25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25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25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25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25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25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25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25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25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25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25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25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25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25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25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25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25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25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25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25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25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25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25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25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25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25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25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25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25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25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25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25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25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25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25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25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25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25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25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25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25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25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25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25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25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25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25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25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25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25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25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25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25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25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25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25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25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25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25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25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25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25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25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25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25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25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25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25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25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25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25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25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25">
      <c r="A127" t="s">
        <v>16</v>
      </c>
      <c r="B127" t="s">
        <v>191</v>
      </c>
      <c r="C127" t="s">
        <v>826</v>
      </c>
      <c r="D127" s="18">
        <f>(($D$16+$D$28)*inputs!$E$28)/(inputs!$E$31^2)</f>
        <v>13471014.904126221</v>
      </c>
      <c r="E127" s="17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25">
      <c r="A128" t="s">
        <v>16</v>
      </c>
      <c r="B128" t="s">
        <v>191</v>
      </c>
      <c r="C128" t="s">
        <v>827</v>
      </c>
      <c r="D128" s="18">
        <f>(($D$17+$D$29)*inputs!$E$28)/(inputs!$E$31^3)</f>
        <v>13069500.188051781</v>
      </c>
      <c r="E128" s="17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25">
      <c r="A129" t="s">
        <v>16</v>
      </c>
      <c r="B129" t="s">
        <v>191</v>
      </c>
      <c r="C129" t="s">
        <v>828</v>
      </c>
      <c r="D129" s="18">
        <f>(($D$18+$D$30)*inputs!$E$28)/(inputs!$E$31^4)</f>
        <v>12679952.949437035</v>
      </c>
      <c r="E129" s="17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25">
      <c r="A130" t="s">
        <v>16</v>
      </c>
      <c r="B130" t="s">
        <v>191</v>
      </c>
      <c r="C130" t="s">
        <v>829</v>
      </c>
      <c r="D130" s="18">
        <f>(($D$19+$D$31)*inputs!$E$28)/(inputs!$E$31^5)</f>
        <v>12302016.487740226</v>
      </c>
      <c r="E130" s="17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25">
      <c r="A131" t="s">
        <v>16</v>
      </c>
      <c r="B131" t="s">
        <v>191</v>
      </c>
      <c r="C131" t="s">
        <v>830</v>
      </c>
      <c r="D131" s="18">
        <f>(($D$20+$D$32)*inputs!$E$28)/(inputs!$E$31^6)</f>
        <v>11935344.734173598</v>
      </c>
      <c r="E131" s="17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25">
      <c r="A132" t="s">
        <v>16</v>
      </c>
      <c r="B132" t="s">
        <v>191</v>
      </c>
      <c r="C132" t="s">
        <v>831</v>
      </c>
      <c r="D132" s="18">
        <f>(($D$21+$D$33)*inputs!$E$28)/(inputs!$E$31^7)</f>
        <v>11579601.934815221</v>
      </c>
      <c r="E132" s="17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25">
      <c r="A133" t="s">
        <v>16</v>
      </c>
      <c r="B133" t="s">
        <v>191</v>
      </c>
      <c r="C133" t="s">
        <v>832</v>
      </c>
      <c r="D133" s="18">
        <f>(($D$22+$D$34)*inputs!$E$28)/(inputs!$E$31^8)</f>
        <v>11234462.343165873</v>
      </c>
      <c r="E133" s="17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25">
      <c r="A134" t="s">
        <v>16</v>
      </c>
      <c r="B134" t="s">
        <v>191</v>
      </c>
      <c r="C134" t="s">
        <v>833</v>
      </c>
      <c r="D134" s="18">
        <f>(($D$23+$D$35)*inputs!$E$28)/(inputs!$E$31^9)</f>
        <v>10899609.921869569</v>
      </c>
      <c r="E134" s="17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25">
      <c r="A135" t="s">
        <v>16</v>
      </c>
      <c r="B135" t="s">
        <v>191</v>
      </c>
      <c r="C135" t="s">
        <v>834</v>
      </c>
      <c r="D135" s="18">
        <f>(($D$24+$D$36)*inputs!$E$28)/(inputs!$E$31^10)</f>
        <v>10574738.053324526</v>
      </c>
      <c r="E135" s="17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25">
      <c r="A136" t="s">
        <v>16</v>
      </c>
      <c r="B136" t="s">
        <v>191</v>
      </c>
      <c r="C136" t="s">
        <v>835</v>
      </c>
      <c r="D136" s="18">
        <f>(($D$25+$D$37)*inputs!$E$28)/(inputs!$E$31^11)</f>
        <v>10259549.258919608</v>
      </c>
      <c r="E136" s="17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25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25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25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25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25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25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25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25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25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25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25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25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25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25">
      <c r="A150" t="s">
        <v>32</v>
      </c>
      <c r="B150" t="s">
        <v>289</v>
      </c>
      <c r="C150" t="s">
        <v>279</v>
      </c>
      <c r="D150" s="2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25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25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25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25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25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25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25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25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25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25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25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25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25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25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25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25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25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25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25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25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25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25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25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25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25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25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25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25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25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25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25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25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25">
      <c r="A183" t="s">
        <v>32</v>
      </c>
      <c r="B183" t="s">
        <v>290</v>
      </c>
      <c r="C183" t="s">
        <v>314</v>
      </c>
      <c r="D183" s="18">
        <f>D182-D182*inputs!$E$36</f>
        <v>27057.163128686396</v>
      </c>
      <c r="E183" s="17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25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25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25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25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25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25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25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25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25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25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25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25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25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25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25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25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25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25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25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25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25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25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25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25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25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25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25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25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25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25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25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25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25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25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25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25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25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25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25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25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25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25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25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25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25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25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25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25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25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25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25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25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25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25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25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25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25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25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25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25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25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25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25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25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25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25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25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25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25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25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25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25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25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25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25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25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25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25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25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25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25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25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25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25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25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25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25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25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25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25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25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25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25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25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25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25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25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25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25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25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25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25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25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25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25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25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25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25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25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25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25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25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25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25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25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25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25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25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25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25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25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25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25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25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25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25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25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25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25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25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25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25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25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25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25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25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25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25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25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25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25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25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25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25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25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25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25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25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25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25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25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25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25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25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25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25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25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25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25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25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25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25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25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25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25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25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25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25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25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25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25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25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25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25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25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25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25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25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25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25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25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25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25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25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25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25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25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25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25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25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25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25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25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25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25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25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25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25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25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25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25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25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25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25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25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25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25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25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25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25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25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25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25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25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25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25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25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25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25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25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25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25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25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25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25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25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25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25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25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25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25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25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25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25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25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25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25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25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25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25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25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25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25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25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25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25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25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25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25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25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25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25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25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25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25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25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25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25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25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25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25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25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25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25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25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25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25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25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25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25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25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25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25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25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25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25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25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25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25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25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25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25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25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25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25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25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25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25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25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25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25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25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25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25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25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25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25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25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25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25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25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25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25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25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25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25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25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25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25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25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25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25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25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25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25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25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25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25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25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25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25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25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25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25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25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25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25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25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25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25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25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25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25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25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25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25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25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25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25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25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25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25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25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25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25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25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25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25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25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25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25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25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25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25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25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25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25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25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25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25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25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25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25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25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25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25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25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25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25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25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25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25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25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25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25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25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25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25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25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25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25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25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25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25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25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25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25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25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25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25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25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25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25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25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25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25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25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25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25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25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25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25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25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25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25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25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25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25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25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25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25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25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25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25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25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25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25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25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25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25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25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25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25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25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25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25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25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25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25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25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25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25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25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25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25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25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25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25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25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25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25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25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25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25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25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25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25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25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25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25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25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25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25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25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25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25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25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25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25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25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25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25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12207064.897534411</v>
      </c>
      <c r="E645" s="7" t="str">
        <f t="shared" ref="E645:E751" ca="1" si="11">_xlfn.FORMULATEXT(D645)</f>
        <v>=(D174*inputs!$E$88)/(inputs!$E$31^inputs!E111)</v>
      </c>
    </row>
    <row r="646" spans="1:6" x14ac:dyDescent="0.25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11847963.862199176</v>
      </c>
      <c r="E646" s="7" t="str">
        <f t="shared" ca="1" si="11"/>
        <v>=(D175*inputs!$E$88)/(inputs!$E$31^inputs!E112)</v>
      </c>
    </row>
    <row r="647" spans="1:6" x14ac:dyDescent="0.25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11499426.672854869</v>
      </c>
      <c r="E647" s="7" t="str">
        <f t="shared" ca="1" si="11"/>
        <v>=(D176*inputs!$E$88)/(inputs!$E$31^inputs!E113)</v>
      </c>
    </row>
    <row r="648" spans="1:6" x14ac:dyDescent="0.25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11161142.567818459</v>
      </c>
      <c r="E648" s="7" t="str">
        <f t="shared" ca="1" si="11"/>
        <v>=(D177*inputs!$E$88)/(inputs!$E$31^inputs!E114)</v>
      </c>
    </row>
    <row r="649" spans="1:6" x14ac:dyDescent="0.25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10832809.927231178</v>
      </c>
      <c r="E649" s="7" t="str">
        <f t="shared" ca="1" si="11"/>
        <v>=(D178*inputs!$E$88)/(inputs!$E$31^inputs!E115)</v>
      </c>
    </row>
    <row r="650" spans="1:6" x14ac:dyDescent="0.25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10506773.900295096</v>
      </c>
      <c r="E650" s="7" t="str">
        <f t="shared" ca="1" si="11"/>
        <v>=(D179*inputs!$E$88)/(inputs!$E$31^inputs!E116)</v>
      </c>
    </row>
    <row r="651" spans="1:6" x14ac:dyDescent="0.25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10190550.608150292</v>
      </c>
      <c r="E651" s="7" t="str">
        <f t="shared" ca="1" si="11"/>
        <v>=(D180*inputs!$E$88)/(inputs!$E$31^inputs!E117)</v>
      </c>
    </row>
    <row r="652" spans="1:6" x14ac:dyDescent="0.25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9883844.7160603311</v>
      </c>
      <c r="E652" s="7" t="str">
        <f t="shared" ca="1" si="11"/>
        <v>=(D181*inputs!$E$88)/(inputs!$E$31^inputs!E118)</v>
      </c>
    </row>
    <row r="653" spans="1:6" x14ac:dyDescent="0.25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9586369.7780041452</v>
      </c>
      <c r="E653" s="7" t="str">
        <f t="shared" ca="1" si="11"/>
        <v>=(D182*inputs!$E$88)/(inputs!$E$31^inputs!E119)</v>
      </c>
    </row>
    <row r="654" spans="1:6" x14ac:dyDescent="0.25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9297847.9691515937</v>
      </c>
      <c r="E654" s="7" t="str">
        <f t="shared" ca="1" si="11"/>
        <v>=(D183*inputs!$E$88)/(inputs!$E$31^inputs!E120)</v>
      </c>
    </row>
    <row r="655" spans="1:6" x14ac:dyDescent="0.25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9008982.7895274665</v>
      </c>
      <c r="E655" s="7" t="str">
        <f t="shared" ca="1" si="11"/>
        <v>=(D184*inputs!$E$88)/(inputs!$E$31^inputs!E121)</v>
      </c>
    </row>
    <row r="656" spans="1:6" x14ac:dyDescent="0.25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8729092.0620858371</v>
      </c>
      <c r="E656" s="7" t="str">
        <f t="shared" ca="1" si="11"/>
        <v>=(D185*inputs!$E$88)/(inputs!$E$31^inputs!E122)</v>
      </c>
    </row>
    <row r="657" spans="1:5" x14ac:dyDescent="0.25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8457896.9688948207</v>
      </c>
      <c r="E657" s="7" t="str">
        <f t="shared" ca="1" si="11"/>
        <v>=(D186*inputs!$E$88)/(inputs!$E$31^inputs!E123)</v>
      </c>
    </row>
    <row r="658" spans="1:5" x14ac:dyDescent="0.25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8195127.3543272149</v>
      </c>
      <c r="E658" s="7" t="str">
        <f t="shared" ca="1" si="11"/>
        <v>=(D187*inputs!$E$88)/(inputs!$E$31^inputs!E124)</v>
      </c>
    </row>
    <row r="659" spans="1:5" x14ac:dyDescent="0.25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7940521.4559403509</v>
      </c>
      <c r="E659" s="7" t="str">
        <f t="shared" ca="1" si="11"/>
        <v>=(D188*inputs!$E$88)/(inputs!$E$31^inputs!E125)</v>
      </c>
    </row>
    <row r="660" spans="1:5" x14ac:dyDescent="0.25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7693825.6437169593</v>
      </c>
      <c r="E660" s="7" t="str">
        <f t="shared" ca="1" si="11"/>
        <v>=(D189*inputs!$E$88)/(inputs!$E$31^inputs!E126)</v>
      </c>
    </row>
    <row r="661" spans="1:5" x14ac:dyDescent="0.25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7454794.1674073068</v>
      </c>
      <c r="E661" s="7" t="str">
        <f t="shared" ca="1" si="11"/>
        <v>=(D190*inputs!$E$88)/(inputs!$E$31^inputs!E127)</v>
      </c>
    </row>
    <row r="662" spans="1:5" x14ac:dyDescent="0.25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7223188.9117208663</v>
      </c>
      <c r="E662" s="7" t="str">
        <f t="shared" ca="1" si="11"/>
        <v>=(D191*inputs!$E$88)/(inputs!$E$31^inputs!E128)</v>
      </c>
    </row>
    <row r="663" spans="1:5" x14ac:dyDescent="0.25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6998779.1591237141</v>
      </c>
      <c r="E663" s="7" t="str">
        <f t="shared" ca="1" si="11"/>
        <v>=(D192*inputs!$E$88)/(inputs!$E$31^inputs!E129)</v>
      </c>
    </row>
    <row r="664" spans="1:5" x14ac:dyDescent="0.25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6781341.360005307</v>
      </c>
      <c r="E664" s="7" t="str">
        <f t="shared" ca="1" si="11"/>
        <v>=(D193*inputs!$E$88)/(inputs!$E$31^inputs!E130)</v>
      </c>
    </row>
    <row r="665" spans="1:5" x14ac:dyDescent="0.25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6570658.9099857248</v>
      </c>
      <c r="E665" s="7" t="str">
        <f t="shared" ca="1" si="11"/>
        <v>=(D194*inputs!$E$88)/(inputs!$E$31^inputs!E131)</v>
      </c>
    </row>
    <row r="666" spans="1:5" x14ac:dyDescent="0.25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6366521.9341415083</v>
      </c>
      <c r="E666" s="7" t="str">
        <f t="shared" ca="1" si="11"/>
        <v>=(D195*inputs!$E$88)/(inputs!$E$31^inputs!E132)</v>
      </c>
    </row>
    <row r="667" spans="1:5" x14ac:dyDescent="0.25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6168727.0779351713</v>
      </c>
      <c r="E667" s="7" t="str">
        <f t="shared" ca="1" si="11"/>
        <v>=(D196*inputs!$E$88)/(inputs!$E$31^inputs!E133)</v>
      </c>
    </row>
    <row r="668" spans="1:5" x14ac:dyDescent="0.25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5977077.3046400975</v>
      </c>
      <c r="E668" s="7" t="str">
        <f t="shared" ca="1" si="11"/>
        <v>=(D197*inputs!$E$88)/(inputs!$E$31^inputs!E134)</v>
      </c>
    </row>
    <row r="669" spans="1:5" x14ac:dyDescent="0.25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5791381.6990590468</v>
      </c>
      <c r="E669" s="7" t="str">
        <f t="shared" ca="1" si="11"/>
        <v>=(D198*inputs!$E$88)/(inputs!$E$31^inputs!E135)</v>
      </c>
    </row>
    <row r="670" spans="1:5" x14ac:dyDescent="0.25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25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25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25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25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25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25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25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25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25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25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25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25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25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25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25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25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25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25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25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25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25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25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25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25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25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25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25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25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25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25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25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25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25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25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25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25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25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25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25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25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25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25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25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25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25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25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25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25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25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25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25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25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25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25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25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25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25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25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25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25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25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25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25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25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25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25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25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25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25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25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25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25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25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25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25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25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25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25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25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25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25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25">
      <c r="A752" s="7"/>
      <c r="B752" s="7"/>
      <c r="C752" s="7"/>
      <c r="D752" s="8"/>
      <c r="E752" s="7"/>
    </row>
    <row r="753" spans="1:5" x14ac:dyDescent="0.25">
      <c r="A753" s="7"/>
      <c r="B753" s="7"/>
      <c r="C753" s="7"/>
      <c r="D753" s="8"/>
      <c r="E753" s="7"/>
    </row>
    <row r="754" spans="1:5" x14ac:dyDescent="0.25">
      <c r="A754" s="7"/>
      <c r="B754" s="7"/>
      <c r="C754" s="7"/>
      <c r="D754" s="8"/>
      <c r="E754" s="7"/>
    </row>
    <row r="755" spans="1:5" x14ac:dyDescent="0.25">
      <c r="A755" s="7"/>
      <c r="B755" s="7"/>
      <c r="C755" s="7"/>
      <c r="D755" s="8"/>
      <c r="E755" s="7"/>
    </row>
    <row r="756" spans="1:5" x14ac:dyDescent="0.25">
      <c r="A756" s="7"/>
      <c r="B756" s="7"/>
      <c r="C756" s="7"/>
      <c r="D756" s="8"/>
      <c r="E756" s="7"/>
    </row>
    <row r="757" spans="1:5" x14ac:dyDescent="0.25">
      <c r="A757" s="7"/>
      <c r="B757" s="7"/>
      <c r="C757" s="7"/>
      <c r="D757" s="8"/>
      <c r="E757" s="7"/>
    </row>
    <row r="758" spans="1:5" x14ac:dyDescent="0.25">
      <c r="A758" s="7"/>
      <c r="B758" s="7"/>
      <c r="C758" s="7"/>
      <c r="D758" s="8"/>
      <c r="E758" s="7"/>
    </row>
    <row r="759" spans="1:5" x14ac:dyDescent="0.25">
      <c r="A759" s="7"/>
      <c r="B759" s="7"/>
      <c r="C759" s="7"/>
      <c r="D759" s="8"/>
      <c r="E759" s="7"/>
    </row>
    <row r="760" spans="1:5" x14ac:dyDescent="0.25">
      <c r="A760" s="7"/>
      <c r="B760" s="7"/>
      <c r="C760" s="7"/>
      <c r="D760" s="8"/>
      <c r="E760" s="7"/>
    </row>
    <row r="761" spans="1:5" x14ac:dyDescent="0.25">
      <c r="A761" s="7"/>
      <c r="B761" s="7"/>
      <c r="C761" s="7"/>
      <c r="D761" s="8"/>
      <c r="E761" s="7"/>
    </row>
    <row r="762" spans="1:5" x14ac:dyDescent="0.25">
      <c r="A762" s="7"/>
      <c r="B762" s="7"/>
      <c r="C762" s="7"/>
      <c r="D762" s="8"/>
      <c r="E762" s="7"/>
    </row>
    <row r="763" spans="1:5" x14ac:dyDescent="0.25">
      <c r="A763" s="7"/>
      <c r="B763" s="7"/>
      <c r="C763" s="7"/>
      <c r="D763" s="8"/>
      <c r="E763" s="7"/>
    </row>
    <row r="764" spans="1:5" x14ac:dyDescent="0.25">
      <c r="A764" s="7"/>
      <c r="B764" s="7"/>
      <c r="C764" s="7"/>
      <c r="D764" s="8"/>
      <c r="E764" s="7"/>
    </row>
    <row r="765" spans="1:5" x14ac:dyDescent="0.25">
      <c r="A765" s="7"/>
      <c r="B765" s="7"/>
      <c r="C765" s="7"/>
      <c r="D765" s="8"/>
      <c r="E765" s="7"/>
    </row>
    <row r="766" spans="1:5" x14ac:dyDescent="0.25">
      <c r="A766" s="7"/>
      <c r="B766" s="7"/>
      <c r="C766" s="7"/>
      <c r="D766" s="8"/>
      <c r="E766" s="7"/>
    </row>
    <row r="767" spans="1:5" x14ac:dyDescent="0.25">
      <c r="A767" s="7"/>
      <c r="B767" s="7"/>
      <c r="C767" s="7"/>
      <c r="D767" s="8"/>
      <c r="E767" s="7"/>
    </row>
    <row r="768" spans="1:5" x14ac:dyDescent="0.25">
      <c r="A768" s="7"/>
      <c r="B768" s="7"/>
      <c r="C768" s="7"/>
      <c r="D768" s="8"/>
      <c r="E768" s="7"/>
    </row>
    <row r="769" spans="1:5" x14ac:dyDescent="0.25">
      <c r="A769" s="7"/>
      <c r="B769" s="7"/>
      <c r="C769" s="7"/>
      <c r="D769" s="8"/>
      <c r="E769" s="7"/>
    </row>
    <row r="770" spans="1:5" x14ac:dyDescent="0.25">
      <c r="A770" s="7"/>
      <c r="B770" s="7"/>
      <c r="C770" s="7"/>
      <c r="D770" s="8"/>
      <c r="E770" s="7"/>
    </row>
    <row r="771" spans="1:5" x14ac:dyDescent="0.25">
      <c r="A771" s="7"/>
      <c r="B771" s="7"/>
      <c r="C771" s="7"/>
      <c r="D771" s="8"/>
      <c r="E771" s="7"/>
    </row>
    <row r="772" spans="1:5" x14ac:dyDescent="0.25">
      <c r="A772" s="7"/>
      <c r="B772" s="7"/>
      <c r="C772" s="7"/>
      <c r="D772" s="8"/>
      <c r="E772" s="7"/>
    </row>
    <row r="773" spans="1:5" x14ac:dyDescent="0.25">
      <c r="A773" s="7"/>
      <c r="B773" s="7"/>
      <c r="C773" s="7"/>
      <c r="D773" s="8"/>
      <c r="E773" s="7"/>
    </row>
    <row r="774" spans="1:5" x14ac:dyDescent="0.25">
      <c r="A774" s="7"/>
      <c r="B774" s="7"/>
      <c r="C774" s="7"/>
      <c r="D774" s="8"/>
      <c r="E774" s="7"/>
    </row>
    <row r="775" spans="1:5" x14ac:dyDescent="0.25">
      <c r="A775" s="7"/>
      <c r="B775" s="7"/>
      <c r="C775" s="7"/>
      <c r="D775" s="8"/>
      <c r="E775" s="7"/>
    </row>
    <row r="776" spans="1:5" x14ac:dyDescent="0.25">
      <c r="A776" s="7"/>
      <c r="B776" s="7"/>
      <c r="C776" s="7"/>
      <c r="D776" s="8"/>
      <c r="E776" s="7"/>
    </row>
    <row r="777" spans="1:5" x14ac:dyDescent="0.25">
      <c r="A777" s="7"/>
      <c r="B777" s="7"/>
      <c r="C777" s="7"/>
      <c r="D777" s="8"/>
      <c r="E777" s="7"/>
    </row>
    <row r="778" spans="1:5" x14ac:dyDescent="0.25">
      <c r="A778" s="7"/>
      <c r="B778" s="7"/>
      <c r="C778" s="7"/>
      <c r="D778" s="8"/>
      <c r="E778" s="7"/>
    </row>
    <row r="779" spans="1:5" x14ac:dyDescent="0.25">
      <c r="A779" s="7"/>
      <c r="B779" s="7"/>
      <c r="C779" s="7"/>
      <c r="D779" s="8"/>
      <c r="E779" s="7"/>
    </row>
    <row r="780" spans="1:5" x14ac:dyDescent="0.25">
      <c r="A780" s="7"/>
      <c r="B780" s="7"/>
      <c r="C780" s="7"/>
      <c r="D780" s="8"/>
      <c r="E780" s="7"/>
    </row>
    <row r="781" spans="1:5" x14ac:dyDescent="0.25">
      <c r="A781" s="7"/>
      <c r="B781" s="7"/>
      <c r="C781" s="7"/>
      <c r="D781" s="8"/>
      <c r="E781" s="7"/>
    </row>
    <row r="782" spans="1:5" x14ac:dyDescent="0.25">
      <c r="A782" s="7"/>
      <c r="B782" s="7"/>
      <c r="C782" s="7"/>
      <c r="D782" s="8"/>
      <c r="E782" s="7"/>
    </row>
    <row r="783" spans="1:5" x14ac:dyDescent="0.25">
      <c r="A783" s="7"/>
      <c r="B783" s="7"/>
      <c r="C783" s="7"/>
      <c r="D783" s="8"/>
      <c r="E783" s="7"/>
    </row>
    <row r="784" spans="1:5" x14ac:dyDescent="0.25">
      <c r="A784" s="7"/>
      <c r="B784" s="7"/>
      <c r="C784" s="7"/>
      <c r="D784" s="8"/>
      <c r="E784" s="7"/>
    </row>
    <row r="785" spans="1:5" x14ac:dyDescent="0.25">
      <c r="A785" s="7"/>
      <c r="B785" s="7"/>
      <c r="C785" s="7"/>
      <c r="D785" s="8"/>
      <c r="E785" s="7"/>
    </row>
    <row r="786" spans="1:5" x14ac:dyDescent="0.25">
      <c r="A786" s="7"/>
      <c r="B786" s="7"/>
      <c r="C786" s="7"/>
      <c r="D786" s="8"/>
      <c r="E786" s="7"/>
    </row>
    <row r="787" spans="1:5" x14ac:dyDescent="0.25">
      <c r="A787" s="7"/>
      <c r="B787" s="7"/>
      <c r="C787" s="7"/>
      <c r="D787" s="8"/>
      <c r="E787" s="7"/>
    </row>
    <row r="788" spans="1:5" x14ac:dyDescent="0.25">
      <c r="A788" s="7"/>
      <c r="B788" s="7"/>
      <c r="C788" s="7"/>
      <c r="D788" s="8"/>
      <c r="E788" s="7"/>
    </row>
    <row r="789" spans="1:5" x14ac:dyDescent="0.25">
      <c r="A789" s="7"/>
      <c r="B789" s="7"/>
      <c r="C789" s="7"/>
      <c r="D789" s="8"/>
      <c r="E789" s="7"/>
    </row>
    <row r="790" spans="1:5" x14ac:dyDescent="0.25">
      <c r="A790" s="7"/>
      <c r="B790" s="7"/>
      <c r="C790" s="7"/>
      <c r="D790" s="8"/>
      <c r="E790" s="7"/>
    </row>
    <row r="791" spans="1:5" x14ac:dyDescent="0.25">
      <c r="A791" s="7"/>
      <c r="B791" s="7"/>
      <c r="C791" s="7"/>
      <c r="D791" s="8"/>
      <c r="E791" s="7"/>
    </row>
    <row r="792" spans="1:5" x14ac:dyDescent="0.25">
      <c r="A792" s="7"/>
      <c r="B792" s="7"/>
      <c r="C792" s="7"/>
      <c r="D792" s="8"/>
      <c r="E792" s="7"/>
    </row>
    <row r="793" spans="1:5" x14ac:dyDescent="0.25">
      <c r="A793" s="7"/>
      <c r="B793" s="7"/>
      <c r="C793" s="7"/>
      <c r="D793" s="8"/>
      <c r="E793" s="7"/>
    </row>
    <row r="794" spans="1:5" x14ac:dyDescent="0.25">
      <c r="A794" s="7"/>
      <c r="B794" s="7"/>
      <c r="C794" s="7"/>
      <c r="D794" s="8"/>
      <c r="E794" s="7"/>
    </row>
    <row r="795" spans="1:5" x14ac:dyDescent="0.25">
      <c r="A795" s="7"/>
      <c r="B795" s="7"/>
      <c r="C795" s="7"/>
      <c r="D795" s="8"/>
      <c r="E795" s="7"/>
    </row>
    <row r="796" spans="1:5" x14ac:dyDescent="0.25">
      <c r="A796" s="7"/>
      <c r="B796" s="7"/>
      <c r="C796" s="7"/>
      <c r="D796" s="8"/>
      <c r="E796" s="7"/>
    </row>
    <row r="797" spans="1:5" x14ac:dyDescent="0.25">
      <c r="A797" s="7"/>
      <c r="B797" s="7"/>
      <c r="C797" s="7"/>
      <c r="D797" s="8"/>
      <c r="E797" s="7"/>
    </row>
    <row r="798" spans="1:5" x14ac:dyDescent="0.25">
      <c r="A798" s="7"/>
      <c r="B798" s="7"/>
      <c r="C798" s="7"/>
      <c r="D798" s="8"/>
      <c r="E798" s="7"/>
    </row>
    <row r="799" spans="1:5" x14ac:dyDescent="0.25">
      <c r="A799" s="7"/>
      <c r="B799" s="7"/>
      <c r="C799" s="7"/>
      <c r="D799" s="8"/>
      <c r="E799" s="7"/>
    </row>
    <row r="800" spans="1:5" x14ac:dyDescent="0.25">
      <c r="A800" s="7"/>
      <c r="B800" s="7"/>
      <c r="C800" s="7"/>
      <c r="D800" s="8"/>
      <c r="E800" s="7"/>
    </row>
    <row r="801" spans="1:5" x14ac:dyDescent="0.25">
      <c r="A801" s="7"/>
      <c r="B801" s="7"/>
      <c r="C801" s="7"/>
      <c r="D801" s="8"/>
      <c r="E801" s="7"/>
    </row>
    <row r="802" spans="1:5" x14ac:dyDescent="0.25">
      <c r="A802" s="7"/>
      <c r="B802" s="7"/>
      <c r="C802" s="7"/>
      <c r="D802" s="8"/>
      <c r="E802" s="7"/>
    </row>
    <row r="803" spans="1:5" x14ac:dyDescent="0.25">
      <c r="A803" s="7"/>
      <c r="B803" s="7"/>
      <c r="C803" s="7"/>
      <c r="D803" s="8"/>
      <c r="E803" s="7"/>
    </row>
    <row r="804" spans="1:5" x14ac:dyDescent="0.25">
      <c r="A804" s="7"/>
      <c r="B804" s="7"/>
      <c r="C804" s="7"/>
      <c r="D804" s="8"/>
      <c r="E804" s="7"/>
    </row>
    <row r="805" spans="1:5" x14ac:dyDescent="0.25">
      <c r="A805" s="7"/>
      <c r="B805" s="7"/>
      <c r="C805" s="7"/>
      <c r="D805" s="8"/>
      <c r="E805" s="7"/>
    </row>
    <row r="806" spans="1:5" x14ac:dyDescent="0.25">
      <c r="A806" s="7"/>
      <c r="B806" s="7"/>
      <c r="C806" s="7"/>
      <c r="D806" s="8"/>
      <c r="E806" s="7"/>
    </row>
    <row r="807" spans="1:5" x14ac:dyDescent="0.25">
      <c r="A807" s="7"/>
      <c r="B807" s="7"/>
      <c r="C807" s="7"/>
      <c r="D807" s="8"/>
      <c r="E807" s="7"/>
    </row>
    <row r="808" spans="1:5" x14ac:dyDescent="0.25">
      <c r="A808" s="7"/>
      <c r="B808" s="7"/>
      <c r="C808" s="7"/>
      <c r="D808" s="8"/>
      <c r="E808" s="7"/>
    </row>
    <row r="809" spans="1:5" x14ac:dyDescent="0.25">
      <c r="A809" s="7"/>
      <c r="B809" s="7"/>
      <c r="C809" s="7"/>
      <c r="D809" s="8"/>
      <c r="E809" s="7"/>
    </row>
    <row r="810" spans="1:5" x14ac:dyDescent="0.25">
      <c r="A810" s="7"/>
      <c r="B810" s="7"/>
      <c r="C810" s="7"/>
      <c r="D810" s="8"/>
      <c r="E810" s="7"/>
    </row>
    <row r="811" spans="1:5" x14ac:dyDescent="0.25">
      <c r="A811" s="7"/>
      <c r="B811" s="7"/>
      <c r="C811" s="7"/>
      <c r="D811" s="8"/>
      <c r="E811" s="7"/>
    </row>
    <row r="812" spans="1:5" x14ac:dyDescent="0.25">
      <c r="A812" s="7"/>
      <c r="B812" s="7"/>
      <c r="C812" s="7"/>
      <c r="D812" s="8"/>
      <c r="E812" s="7"/>
    </row>
    <row r="813" spans="1:5" x14ac:dyDescent="0.25">
      <c r="A813" s="7"/>
      <c r="B813" s="7"/>
      <c r="C813" s="7"/>
      <c r="D813" s="8"/>
      <c r="E813" s="7"/>
    </row>
    <row r="814" spans="1:5" x14ac:dyDescent="0.25">
      <c r="A814" s="7"/>
      <c r="B814" s="7"/>
      <c r="C814" s="7"/>
      <c r="D814" s="8"/>
      <c r="E814" s="7"/>
    </row>
    <row r="815" spans="1:5" x14ac:dyDescent="0.25">
      <c r="A815" s="7"/>
      <c r="B815" s="7"/>
      <c r="C815" s="7"/>
      <c r="D815" s="8"/>
      <c r="E815" s="7"/>
    </row>
    <row r="816" spans="1:5" x14ac:dyDescent="0.25">
      <c r="A816" s="7"/>
      <c r="B816" s="7"/>
      <c r="C816" s="7"/>
      <c r="D816" s="8"/>
      <c r="E816" s="7"/>
    </row>
    <row r="817" spans="1:5" x14ac:dyDescent="0.25">
      <c r="A817" s="7"/>
      <c r="B817" s="7"/>
      <c r="C817" s="7"/>
      <c r="D817" s="8"/>
      <c r="E817" s="7"/>
    </row>
    <row r="818" spans="1:5" x14ac:dyDescent="0.25">
      <c r="A818" s="7"/>
      <c r="B818" s="7"/>
      <c r="C818" s="7"/>
      <c r="D818" s="8"/>
      <c r="E818" s="7"/>
    </row>
    <row r="819" spans="1:5" x14ac:dyDescent="0.25">
      <c r="A819" s="7"/>
      <c r="B819" s="7"/>
      <c r="C819" s="7"/>
      <c r="D819" s="8"/>
      <c r="E819" s="7"/>
    </row>
    <row r="820" spans="1:5" x14ac:dyDescent="0.25">
      <c r="A820" s="7"/>
      <c r="B820" s="7"/>
      <c r="C820" s="7"/>
      <c r="D820" s="8"/>
      <c r="E820" s="7"/>
    </row>
    <row r="821" spans="1:5" x14ac:dyDescent="0.25">
      <c r="A821" s="7"/>
      <c r="B821" s="7"/>
      <c r="C821" s="7"/>
      <c r="D821" s="8"/>
      <c r="E821" s="7"/>
    </row>
    <row r="822" spans="1:5" x14ac:dyDescent="0.25">
      <c r="A822" s="7"/>
      <c r="B822" s="7"/>
      <c r="C822" s="7"/>
      <c r="D822" s="8"/>
      <c r="E822" s="7"/>
    </row>
    <row r="823" spans="1:5" x14ac:dyDescent="0.25">
      <c r="A823" s="7"/>
      <c r="B823" s="7"/>
      <c r="C823" s="7"/>
      <c r="D823" s="8"/>
      <c r="E823" s="7"/>
    </row>
    <row r="824" spans="1:5" x14ac:dyDescent="0.25">
      <c r="A824" s="7"/>
      <c r="B824" s="7"/>
      <c r="C824" s="7"/>
      <c r="D824" s="8"/>
      <c r="E824" s="7"/>
    </row>
    <row r="825" spans="1:5" x14ac:dyDescent="0.25">
      <c r="A825" s="7"/>
      <c r="B825" s="7"/>
      <c r="C825" s="7"/>
      <c r="D825" s="8"/>
      <c r="E825" s="7"/>
    </row>
    <row r="826" spans="1:5" x14ac:dyDescent="0.25">
      <c r="A826" s="7"/>
      <c r="B826" s="7"/>
      <c r="C826" s="7"/>
      <c r="D826" s="8"/>
      <c r="E826" s="7"/>
    </row>
    <row r="827" spans="1:5" x14ac:dyDescent="0.25">
      <c r="A827" s="7"/>
      <c r="B827" s="7"/>
      <c r="C827" s="7"/>
      <c r="D827" s="8"/>
      <c r="E827" s="7"/>
    </row>
    <row r="828" spans="1:5" x14ac:dyDescent="0.25">
      <c r="A828" s="7"/>
      <c r="B828" s="7"/>
      <c r="C828" s="7"/>
      <c r="D828" s="8"/>
      <c r="E828" s="7"/>
    </row>
    <row r="829" spans="1:5" x14ac:dyDescent="0.25">
      <c r="A829" s="7"/>
      <c r="B829" s="7"/>
      <c r="C829" s="7"/>
      <c r="D829" s="8"/>
      <c r="E829" s="7"/>
    </row>
    <row r="830" spans="1:5" x14ac:dyDescent="0.25">
      <c r="A830" s="7"/>
      <c r="B830" s="7"/>
      <c r="C830" s="7"/>
      <c r="D830" s="8"/>
      <c r="E830" s="7"/>
    </row>
    <row r="831" spans="1:5" x14ac:dyDescent="0.25">
      <c r="A831" s="7"/>
      <c r="B831" s="7"/>
      <c r="C831" s="7"/>
      <c r="D831" s="8"/>
      <c r="E831" s="7"/>
    </row>
    <row r="832" spans="1:5" x14ac:dyDescent="0.25">
      <c r="A832" s="7"/>
      <c r="B832" s="7"/>
      <c r="C832" s="7"/>
      <c r="D832" s="8"/>
      <c r="E832" s="7"/>
    </row>
    <row r="833" spans="1:5" x14ac:dyDescent="0.25">
      <c r="A833" s="7"/>
      <c r="B833" s="7"/>
      <c r="C833" s="7"/>
      <c r="D833" s="8"/>
      <c r="E833" s="7"/>
    </row>
    <row r="834" spans="1:5" x14ac:dyDescent="0.25">
      <c r="A834" s="7"/>
      <c r="B834" s="7"/>
      <c r="C834" s="7"/>
      <c r="D834" s="8"/>
      <c r="E834" s="7"/>
    </row>
    <row r="835" spans="1:5" x14ac:dyDescent="0.25">
      <c r="A835" s="7"/>
      <c r="B835" s="7"/>
      <c r="C835" s="7"/>
      <c r="D835" s="8"/>
      <c r="E835" s="7"/>
    </row>
    <row r="836" spans="1:5" x14ac:dyDescent="0.25">
      <c r="A836" s="7"/>
      <c r="B836" s="7"/>
      <c r="C836" s="7"/>
      <c r="D836" s="8"/>
      <c r="E836" s="7"/>
    </row>
    <row r="837" spans="1:5" x14ac:dyDescent="0.25">
      <c r="A837" s="7"/>
      <c r="B837" s="7"/>
      <c r="C837" s="7"/>
      <c r="D837" s="8"/>
      <c r="E837" s="7"/>
    </row>
    <row r="838" spans="1:5" x14ac:dyDescent="0.25">
      <c r="A838" s="7"/>
      <c r="B838" s="7"/>
      <c r="C838" s="7"/>
      <c r="D838" s="8"/>
      <c r="E838" s="7"/>
    </row>
    <row r="839" spans="1:5" x14ac:dyDescent="0.25">
      <c r="A839" s="7"/>
      <c r="B839" s="7"/>
      <c r="C839" s="7"/>
      <c r="D839" s="8"/>
      <c r="E839" s="7"/>
    </row>
    <row r="840" spans="1:5" x14ac:dyDescent="0.25">
      <c r="A840" s="7"/>
      <c r="B840" s="7"/>
      <c r="C840" s="7"/>
      <c r="D840" s="8"/>
      <c r="E840" s="7"/>
    </row>
    <row r="841" spans="1:5" x14ac:dyDescent="0.25">
      <c r="A841" s="7"/>
      <c r="B841" s="7"/>
      <c r="C841" s="7"/>
      <c r="D841" s="8"/>
      <c r="E841" s="7"/>
    </row>
    <row r="842" spans="1:5" x14ac:dyDescent="0.25">
      <c r="A842" s="7"/>
      <c r="B842" s="7"/>
      <c r="C842" s="7"/>
      <c r="D842" s="8"/>
      <c r="E842" s="7"/>
    </row>
    <row r="843" spans="1:5" x14ac:dyDescent="0.25">
      <c r="A843" s="7"/>
      <c r="B843" s="7"/>
      <c r="C843" s="7"/>
      <c r="D843" s="8"/>
      <c r="E843" s="7"/>
    </row>
    <row r="844" spans="1:5" x14ac:dyDescent="0.25">
      <c r="A844" s="7"/>
      <c r="B844" s="7"/>
      <c r="C844" s="7"/>
      <c r="D844" s="8"/>
      <c r="E844" s="7"/>
    </row>
    <row r="845" spans="1:5" x14ac:dyDescent="0.25">
      <c r="A845" s="7"/>
      <c r="B845" s="7"/>
      <c r="C845" s="7"/>
      <c r="D845" s="8"/>
      <c r="E845" s="7"/>
    </row>
    <row r="846" spans="1:5" x14ac:dyDescent="0.25">
      <c r="A846" s="7"/>
      <c r="B846" s="7"/>
      <c r="C846" s="7"/>
      <c r="D846" s="8"/>
      <c r="E846" s="7"/>
    </row>
    <row r="847" spans="1:5" x14ac:dyDescent="0.25">
      <c r="A847" s="7"/>
      <c r="B847" s="7"/>
      <c r="C847" s="7"/>
      <c r="D847" s="8"/>
      <c r="E847" s="7"/>
    </row>
    <row r="848" spans="1:5" x14ac:dyDescent="0.25">
      <c r="A848" s="7"/>
      <c r="B848" s="7"/>
      <c r="C848" s="7"/>
      <c r="D848" s="8"/>
      <c r="E848" s="7"/>
    </row>
    <row r="849" spans="1:5" x14ac:dyDescent="0.25">
      <c r="A849" s="7"/>
      <c r="B849" s="7"/>
      <c r="C849" s="7"/>
      <c r="D849" s="8"/>
      <c r="E849" s="7"/>
    </row>
    <row r="850" spans="1:5" x14ac:dyDescent="0.25">
      <c r="A850" s="7"/>
      <c r="B850" s="7"/>
      <c r="C850" s="7"/>
      <c r="D850" s="8"/>
      <c r="E850" s="7"/>
    </row>
    <row r="851" spans="1:5" x14ac:dyDescent="0.25">
      <c r="A851" s="7"/>
      <c r="B851" s="7"/>
      <c r="C851" s="7"/>
      <c r="D851" s="8"/>
      <c r="E851" s="7"/>
    </row>
    <row r="852" spans="1:5" x14ac:dyDescent="0.25">
      <c r="A852" s="7"/>
      <c r="B852" s="7"/>
      <c r="C852" s="7"/>
      <c r="D852" s="8"/>
      <c r="E852" s="7"/>
    </row>
    <row r="853" spans="1:5" x14ac:dyDescent="0.25">
      <c r="A853" s="7"/>
      <c r="B853" s="7"/>
      <c r="C853" s="7"/>
      <c r="D853" s="8"/>
      <c r="E853" s="7"/>
    </row>
    <row r="854" spans="1:5" x14ac:dyDescent="0.25">
      <c r="A854" s="7"/>
      <c r="B854" s="7"/>
      <c r="C854" s="7"/>
      <c r="D854" s="8"/>
      <c r="E854" s="7"/>
    </row>
    <row r="855" spans="1:5" x14ac:dyDescent="0.25">
      <c r="A855" s="7"/>
      <c r="B855" s="7"/>
      <c r="C855" s="7"/>
      <c r="D855" s="8"/>
      <c r="E855" s="7"/>
    </row>
    <row r="856" spans="1:5" x14ac:dyDescent="0.25">
      <c r="A856" s="7"/>
      <c r="B856" s="7"/>
      <c r="C856" s="7"/>
      <c r="D856" s="8"/>
      <c r="E856" s="7"/>
    </row>
    <row r="857" spans="1:5" x14ac:dyDescent="0.25">
      <c r="A857" s="7"/>
      <c r="B857" s="7"/>
      <c r="C857" s="7"/>
      <c r="D857" s="8"/>
      <c r="E857" s="7"/>
    </row>
    <row r="858" spans="1:5" x14ac:dyDescent="0.25">
      <c r="A858" s="7"/>
      <c r="B858" s="7"/>
      <c r="C858" s="7"/>
      <c r="D858" s="8"/>
      <c r="E858" s="7"/>
    </row>
    <row r="859" spans="1:5" x14ac:dyDescent="0.25">
      <c r="A859" s="7"/>
      <c r="B859" s="7"/>
      <c r="C859" s="7"/>
      <c r="D859" s="8"/>
      <c r="E859" s="7"/>
    </row>
    <row r="860" spans="1:5" x14ac:dyDescent="0.25">
      <c r="A860" s="7"/>
      <c r="B860" s="7"/>
      <c r="C860" s="7"/>
      <c r="D860" s="8"/>
      <c r="E860" s="7"/>
    </row>
    <row r="861" spans="1:5" x14ac:dyDescent="0.25">
      <c r="A861" s="7"/>
      <c r="B861" s="7"/>
      <c r="C861" s="7"/>
      <c r="D861" s="8"/>
      <c r="E861" s="7"/>
    </row>
    <row r="862" spans="1:5" x14ac:dyDescent="0.25">
      <c r="A862" s="7"/>
      <c r="B862" s="7"/>
      <c r="C862" s="7"/>
      <c r="D862" s="8"/>
      <c r="E862" s="7"/>
    </row>
    <row r="863" spans="1:5" x14ac:dyDescent="0.25">
      <c r="A863" s="7"/>
      <c r="B863" s="7"/>
      <c r="C863" s="7"/>
      <c r="D863" s="8"/>
      <c r="E863" s="7"/>
    </row>
    <row r="864" spans="1:5" x14ac:dyDescent="0.25">
      <c r="A864" s="7"/>
      <c r="B864" s="7"/>
      <c r="C864" s="7"/>
      <c r="D864" s="8"/>
      <c r="E864" s="7"/>
    </row>
    <row r="865" spans="1:5" x14ac:dyDescent="0.25">
      <c r="A865" s="7"/>
      <c r="B865" s="7"/>
      <c r="C865" s="7"/>
      <c r="D865" s="8"/>
      <c r="E865" s="7"/>
    </row>
    <row r="866" spans="1:5" x14ac:dyDescent="0.25">
      <c r="A866" s="7"/>
      <c r="B866" s="7"/>
      <c r="C866" s="7"/>
      <c r="D866" s="8"/>
      <c r="E866" s="7"/>
    </row>
    <row r="867" spans="1:5" x14ac:dyDescent="0.25">
      <c r="A867" s="7"/>
      <c r="B867" s="7"/>
      <c r="C867" s="7"/>
      <c r="D867" s="8"/>
      <c r="E867" s="7"/>
    </row>
    <row r="868" spans="1:5" x14ac:dyDescent="0.25">
      <c r="A868" s="7"/>
      <c r="B868" s="7"/>
      <c r="C868" s="7"/>
      <c r="D868" s="8"/>
      <c r="E868" s="7"/>
    </row>
    <row r="869" spans="1:5" x14ac:dyDescent="0.25">
      <c r="A869" s="7"/>
      <c r="B869" s="7"/>
      <c r="C869" s="7"/>
      <c r="D869" s="8"/>
      <c r="E869" s="7"/>
    </row>
    <row r="870" spans="1:5" x14ac:dyDescent="0.25">
      <c r="A870" s="7"/>
      <c r="B870" s="7"/>
      <c r="C870" s="7"/>
      <c r="D870" s="8"/>
      <c r="E870" s="7"/>
    </row>
    <row r="871" spans="1:5" x14ac:dyDescent="0.25">
      <c r="A871" s="7"/>
      <c r="B871" s="7"/>
      <c r="C871" s="7"/>
      <c r="D871" s="8"/>
      <c r="E871" s="7"/>
    </row>
    <row r="872" spans="1:5" x14ac:dyDescent="0.25">
      <c r="A872" s="7"/>
      <c r="B872" s="7"/>
      <c r="C872" s="7"/>
      <c r="D872" s="8"/>
      <c r="E872" s="7"/>
    </row>
    <row r="873" spans="1:5" x14ac:dyDescent="0.25">
      <c r="A873" s="7"/>
      <c r="B873" s="7"/>
      <c r="C873" s="7"/>
      <c r="D873" s="8"/>
      <c r="E873" s="7"/>
    </row>
    <row r="874" spans="1:5" x14ac:dyDescent="0.25">
      <c r="A874" s="7"/>
      <c r="B874" s="7"/>
      <c r="C874" s="7"/>
      <c r="D874" s="8"/>
      <c r="E874" s="7"/>
    </row>
    <row r="875" spans="1:5" x14ac:dyDescent="0.25">
      <c r="A875" s="7"/>
      <c r="B875" s="7"/>
      <c r="C875" s="7"/>
      <c r="D875" s="8"/>
      <c r="E875" s="7"/>
    </row>
    <row r="876" spans="1:5" x14ac:dyDescent="0.25">
      <c r="A876" s="7"/>
      <c r="B876" s="7"/>
      <c r="C876" s="7"/>
      <c r="D876" s="8"/>
      <c r="E876" s="7"/>
    </row>
    <row r="877" spans="1:5" x14ac:dyDescent="0.25">
      <c r="A877" s="7"/>
      <c r="B877" s="7"/>
      <c r="C877" s="7"/>
      <c r="D877" s="8"/>
      <c r="E877" s="7"/>
    </row>
    <row r="878" spans="1:5" x14ac:dyDescent="0.25">
      <c r="A878" s="7"/>
      <c r="B878" s="7"/>
      <c r="C878" s="7"/>
      <c r="D878" s="8"/>
      <c r="E878" s="7"/>
    </row>
    <row r="879" spans="1:5" x14ac:dyDescent="0.25">
      <c r="A879" s="7"/>
      <c r="B879" s="7"/>
      <c r="C879" s="7"/>
      <c r="D879" s="8"/>
      <c r="E879" s="7"/>
    </row>
    <row r="880" spans="1:5" x14ac:dyDescent="0.25">
      <c r="A880" s="7"/>
      <c r="B880" s="7"/>
      <c r="C880" s="7"/>
      <c r="D880" s="8"/>
      <c r="E880" s="7"/>
    </row>
    <row r="881" spans="1:5" x14ac:dyDescent="0.25">
      <c r="A881" s="7"/>
      <c r="B881" s="7"/>
      <c r="C881" s="7"/>
      <c r="D881" s="8"/>
      <c r="E881" s="7"/>
    </row>
    <row r="882" spans="1:5" x14ac:dyDescent="0.25">
      <c r="A882" s="7"/>
      <c r="B882" s="7"/>
      <c r="C882" s="7"/>
      <c r="D882" s="8"/>
      <c r="E882" s="7"/>
    </row>
    <row r="883" spans="1:5" x14ac:dyDescent="0.25">
      <c r="A883" s="7"/>
      <c r="B883" s="7"/>
      <c r="C883" s="7"/>
      <c r="D883" s="8"/>
      <c r="E883" s="7"/>
    </row>
    <row r="884" spans="1:5" x14ac:dyDescent="0.25">
      <c r="A884" s="7"/>
      <c r="B884" s="7"/>
      <c r="C884" s="7"/>
      <c r="D884" s="8"/>
      <c r="E884" s="7"/>
    </row>
    <row r="885" spans="1:5" x14ac:dyDescent="0.25">
      <c r="A885" s="7"/>
      <c r="B885" s="7"/>
      <c r="C885" s="7"/>
      <c r="D885" s="8"/>
      <c r="E885" s="7"/>
    </row>
    <row r="886" spans="1:5" x14ac:dyDescent="0.25">
      <c r="A886" s="7"/>
      <c r="B886" s="7"/>
      <c r="C886" s="7"/>
      <c r="D886" s="8"/>
      <c r="E886" s="7"/>
    </row>
    <row r="887" spans="1:5" x14ac:dyDescent="0.25">
      <c r="A887" s="7"/>
      <c r="B887" s="7"/>
      <c r="C887" s="7"/>
      <c r="D887" s="8"/>
      <c r="E887" s="7"/>
    </row>
    <row r="888" spans="1:5" x14ac:dyDescent="0.25">
      <c r="A888" s="7"/>
      <c r="B888" s="7"/>
      <c r="C888" s="7"/>
      <c r="D888" s="8"/>
      <c r="E888" s="7"/>
    </row>
    <row r="889" spans="1:5" x14ac:dyDescent="0.25">
      <c r="A889" s="7"/>
      <c r="B889" s="7"/>
      <c r="C889" s="7"/>
      <c r="D889" s="8"/>
      <c r="E889" s="7"/>
    </row>
    <row r="890" spans="1:5" x14ac:dyDescent="0.25">
      <c r="A890" s="7"/>
      <c r="B890" s="7"/>
      <c r="C890" s="7"/>
      <c r="D890" s="8"/>
      <c r="E890" s="7"/>
    </row>
    <row r="891" spans="1:5" x14ac:dyDescent="0.25">
      <c r="A891" s="7"/>
      <c r="B891" s="7"/>
      <c r="C891" s="7"/>
      <c r="D891" s="8"/>
      <c r="E891" s="7"/>
    </row>
    <row r="892" spans="1:5" x14ac:dyDescent="0.25">
      <c r="A892" s="7"/>
      <c r="B892" s="7"/>
      <c r="C892" s="7"/>
      <c r="D892" s="8"/>
      <c r="E892" s="7"/>
    </row>
    <row r="893" spans="1:5" x14ac:dyDescent="0.25">
      <c r="A893" s="7"/>
      <c r="B893" s="7"/>
      <c r="C893" s="7"/>
      <c r="D893" s="8"/>
      <c r="E893" s="7"/>
    </row>
    <row r="894" spans="1:5" x14ac:dyDescent="0.25">
      <c r="A894" s="7"/>
      <c r="B894" s="7"/>
      <c r="C894" s="7"/>
      <c r="D894" s="8"/>
      <c r="E894" s="7"/>
    </row>
    <row r="895" spans="1:5" x14ac:dyDescent="0.25">
      <c r="A895" s="7"/>
      <c r="B895" s="7"/>
      <c r="C895" s="7"/>
      <c r="D895" s="8"/>
      <c r="E895" s="7"/>
    </row>
    <row r="896" spans="1:5" x14ac:dyDescent="0.25">
      <c r="A896" s="7"/>
      <c r="B896" s="7"/>
      <c r="C896" s="7"/>
      <c r="D896" s="8"/>
      <c r="E896" s="7"/>
    </row>
    <row r="897" spans="1:5" x14ac:dyDescent="0.25">
      <c r="A897" s="7"/>
      <c r="B897" s="7"/>
      <c r="C897" s="7"/>
      <c r="D897" s="8"/>
      <c r="E897" s="7"/>
    </row>
    <row r="898" spans="1:5" x14ac:dyDescent="0.25">
      <c r="A898" s="7"/>
      <c r="B898" s="7"/>
      <c r="C898" s="7"/>
      <c r="D898" s="8"/>
      <c r="E898" s="7"/>
    </row>
    <row r="899" spans="1:5" x14ac:dyDescent="0.25">
      <c r="A899" s="7"/>
      <c r="B899" s="7"/>
      <c r="C899" s="7"/>
      <c r="D899" s="8"/>
      <c r="E899" s="7"/>
    </row>
    <row r="900" spans="1:5" x14ac:dyDescent="0.25">
      <c r="A900" s="7"/>
      <c r="B900" s="7"/>
      <c r="C900" s="7"/>
      <c r="D900" s="8"/>
      <c r="E900" s="7"/>
    </row>
    <row r="901" spans="1:5" x14ac:dyDescent="0.25">
      <c r="A901" s="7"/>
      <c r="B901" s="7"/>
      <c r="C901" s="7"/>
      <c r="D901" s="8"/>
      <c r="E901" s="7"/>
    </row>
    <row r="902" spans="1:5" x14ac:dyDescent="0.25">
      <c r="A902" s="7"/>
      <c r="B902" s="7"/>
      <c r="C902" s="7"/>
      <c r="D902" s="8"/>
      <c r="E902" s="7"/>
    </row>
    <row r="903" spans="1:5" x14ac:dyDescent="0.25">
      <c r="A903" s="7"/>
      <c r="B903" s="7"/>
      <c r="C903" s="7"/>
      <c r="D903" s="8"/>
      <c r="E903" s="7"/>
    </row>
    <row r="904" spans="1:5" x14ac:dyDescent="0.25">
      <c r="A904" s="7"/>
      <c r="B904" s="7"/>
      <c r="C904" s="7"/>
      <c r="D904" s="8"/>
      <c r="E904" s="7"/>
    </row>
    <row r="905" spans="1:5" x14ac:dyDescent="0.25">
      <c r="A905" s="7"/>
      <c r="B905" s="7"/>
      <c r="C905" s="7"/>
      <c r="D905" s="8"/>
      <c r="E905" s="7"/>
    </row>
    <row r="906" spans="1:5" x14ac:dyDescent="0.25">
      <c r="A906" s="7"/>
      <c r="B906" s="7"/>
      <c r="C906" s="7"/>
      <c r="D906" s="8"/>
      <c r="E906" s="7"/>
    </row>
    <row r="907" spans="1:5" x14ac:dyDescent="0.25">
      <c r="A907" s="7"/>
      <c r="B907" s="7"/>
      <c r="C907" s="7"/>
      <c r="D907" s="8"/>
      <c r="E907" s="7"/>
    </row>
    <row r="908" spans="1:5" x14ac:dyDescent="0.25">
      <c r="A908" s="7"/>
      <c r="B908" s="7"/>
      <c r="C908" s="7"/>
      <c r="D908" s="8"/>
      <c r="E908" s="7"/>
    </row>
    <row r="909" spans="1:5" x14ac:dyDescent="0.25">
      <c r="A909" s="7"/>
      <c r="B909" s="7"/>
      <c r="C909" s="7"/>
      <c r="D909" s="8"/>
      <c r="E909" s="7"/>
    </row>
    <row r="910" spans="1:5" x14ac:dyDescent="0.25">
      <c r="A910" s="7"/>
      <c r="B910" s="7"/>
      <c r="C910" s="7"/>
      <c r="D910" s="8"/>
      <c r="E910" s="7"/>
    </row>
    <row r="911" spans="1:5" x14ac:dyDescent="0.25">
      <c r="A911" s="7"/>
      <c r="B911" s="7"/>
      <c r="C911" s="7"/>
      <c r="D911" s="8"/>
      <c r="E911" s="7"/>
    </row>
    <row r="912" spans="1:5" x14ac:dyDescent="0.25">
      <c r="A912" s="7"/>
      <c r="B912" s="7"/>
      <c r="C912" s="7"/>
      <c r="D912" s="8"/>
      <c r="E912" s="7"/>
    </row>
    <row r="913" spans="1:5" x14ac:dyDescent="0.25">
      <c r="A913" s="7"/>
      <c r="B913" s="7"/>
      <c r="C913" s="7"/>
      <c r="D913" s="8"/>
      <c r="E913" s="7"/>
    </row>
    <row r="914" spans="1:5" x14ac:dyDescent="0.25">
      <c r="A914" s="7"/>
      <c r="B914" s="7"/>
      <c r="C914" s="7"/>
      <c r="D914" s="8"/>
      <c r="E914" s="7"/>
    </row>
    <row r="915" spans="1:5" x14ac:dyDescent="0.25">
      <c r="A915" s="7"/>
      <c r="B915" s="7"/>
      <c r="C915" s="7"/>
      <c r="D915" s="8"/>
      <c r="E915" s="7"/>
    </row>
    <row r="916" spans="1:5" x14ac:dyDescent="0.25">
      <c r="A916" s="7"/>
      <c r="B916" s="7"/>
      <c r="C916" s="7"/>
      <c r="D916" s="8"/>
      <c r="E916" s="7"/>
    </row>
    <row r="917" spans="1:5" x14ac:dyDescent="0.25">
      <c r="A917" s="7"/>
      <c r="B917" s="7"/>
      <c r="C917" s="7"/>
      <c r="D917" s="8"/>
      <c r="E917" s="7"/>
    </row>
    <row r="918" spans="1:5" x14ac:dyDescent="0.25">
      <c r="A918" s="7"/>
      <c r="B918" s="7"/>
      <c r="C918" s="7"/>
      <c r="D918" s="8"/>
      <c r="E918" s="7"/>
    </row>
    <row r="919" spans="1:5" x14ac:dyDescent="0.25">
      <c r="A919" s="7"/>
      <c r="B919" s="7"/>
      <c r="C919" s="7"/>
      <c r="D919" s="8"/>
      <c r="E919" s="7"/>
    </row>
    <row r="920" spans="1:5" x14ac:dyDescent="0.25">
      <c r="A920" s="7"/>
      <c r="B920" s="7"/>
      <c r="C920" s="7"/>
      <c r="D920" s="8"/>
      <c r="E920" s="7"/>
    </row>
    <row r="921" spans="1:5" x14ac:dyDescent="0.25">
      <c r="A921" s="7"/>
      <c r="B921" s="7"/>
      <c r="C921" s="7"/>
      <c r="D921" s="8"/>
      <c r="E921" s="7"/>
    </row>
    <row r="922" spans="1:5" x14ac:dyDescent="0.25">
      <c r="A922" s="7"/>
      <c r="B922" s="7"/>
      <c r="C922" s="7"/>
      <c r="D922" s="8"/>
      <c r="E922" s="7"/>
    </row>
    <row r="923" spans="1:5" x14ac:dyDescent="0.25">
      <c r="A923" s="7"/>
      <c r="B923" s="7"/>
      <c r="C923" s="7"/>
      <c r="D923" s="8"/>
      <c r="E923" s="7"/>
    </row>
    <row r="924" spans="1:5" x14ac:dyDescent="0.25">
      <c r="A924" s="7"/>
      <c r="B924" s="7"/>
      <c r="C924" s="7"/>
      <c r="D924" s="8"/>
      <c r="E924" s="7"/>
    </row>
    <row r="925" spans="1:5" x14ac:dyDescent="0.25">
      <c r="A925" s="7"/>
      <c r="B925" s="7"/>
      <c r="C925" s="7"/>
      <c r="D925" s="8"/>
      <c r="E925" s="7"/>
    </row>
    <row r="926" spans="1:5" x14ac:dyDescent="0.25">
      <c r="A926" s="7"/>
      <c r="B926" s="7"/>
      <c r="C926" s="7"/>
      <c r="D926" s="8"/>
      <c r="E926" s="7"/>
    </row>
    <row r="927" spans="1:5" x14ac:dyDescent="0.25">
      <c r="A927" s="7"/>
      <c r="B927" s="7"/>
      <c r="C927" s="7"/>
      <c r="D927" s="8"/>
      <c r="E927" s="7"/>
    </row>
    <row r="928" spans="1:5" x14ac:dyDescent="0.25">
      <c r="A928" s="7"/>
      <c r="B928" s="7"/>
      <c r="C928" s="7"/>
      <c r="D928" s="8"/>
      <c r="E928" s="7"/>
    </row>
    <row r="929" spans="1:5" x14ac:dyDescent="0.25">
      <c r="A929" s="7"/>
      <c r="B929" s="7"/>
      <c r="C929" s="7"/>
      <c r="D929" s="8"/>
      <c r="E929" s="7"/>
    </row>
    <row r="930" spans="1:5" x14ac:dyDescent="0.25">
      <c r="A930" s="7"/>
      <c r="B930" s="7"/>
      <c r="C930" s="7"/>
      <c r="D930" s="8"/>
      <c r="E930" s="7"/>
    </row>
    <row r="931" spans="1:5" x14ac:dyDescent="0.25">
      <c r="A931" s="7"/>
      <c r="B931" s="7"/>
      <c r="C931" s="7"/>
      <c r="D931" s="8"/>
      <c r="E931" s="7"/>
    </row>
    <row r="932" spans="1:5" x14ac:dyDescent="0.25">
      <c r="A932" s="7"/>
      <c r="B932" s="7"/>
      <c r="C932" s="7"/>
      <c r="D932" s="8"/>
      <c r="E932" s="7"/>
    </row>
    <row r="933" spans="1:5" x14ac:dyDescent="0.25">
      <c r="A933" s="7"/>
      <c r="B933" s="7"/>
      <c r="C933" s="7"/>
      <c r="D933" s="8"/>
      <c r="E933" s="7"/>
    </row>
    <row r="934" spans="1:5" x14ac:dyDescent="0.25">
      <c r="A934" s="7"/>
      <c r="B934" s="7"/>
      <c r="C934" s="7"/>
      <c r="D934" s="8"/>
      <c r="E934" s="7"/>
    </row>
    <row r="935" spans="1:5" x14ac:dyDescent="0.25">
      <c r="A935" s="7"/>
      <c r="B935" s="7"/>
      <c r="C935" s="7"/>
      <c r="D935" s="8"/>
      <c r="E935" s="7"/>
    </row>
    <row r="936" spans="1:5" x14ac:dyDescent="0.25">
      <c r="A936" s="7"/>
      <c r="B936" s="7"/>
      <c r="C936" s="7"/>
      <c r="D936" s="8"/>
      <c r="E936" s="7"/>
    </row>
    <row r="937" spans="1:5" x14ac:dyDescent="0.25">
      <c r="A937" s="7"/>
      <c r="B937" s="7"/>
      <c r="C937" s="7"/>
      <c r="D937" s="8"/>
      <c r="E937" s="7"/>
    </row>
    <row r="938" spans="1:5" x14ac:dyDescent="0.25">
      <c r="A938" s="7"/>
      <c r="B938" s="7"/>
      <c r="C938" s="7"/>
      <c r="D938" s="8"/>
      <c r="E938" s="7"/>
    </row>
    <row r="939" spans="1:5" x14ac:dyDescent="0.25">
      <c r="A939" s="7"/>
      <c r="B939" s="7"/>
      <c r="C939" s="7"/>
      <c r="D939" s="8"/>
      <c r="E939" s="7"/>
    </row>
    <row r="940" spans="1:5" x14ac:dyDescent="0.25">
      <c r="A940" s="7"/>
      <c r="B940" s="7"/>
      <c r="C940" s="7"/>
      <c r="D940" s="8"/>
      <c r="E940" s="7"/>
    </row>
    <row r="941" spans="1:5" x14ac:dyDescent="0.25">
      <c r="A941" s="7"/>
      <c r="B941" s="7"/>
      <c r="C941" s="7"/>
      <c r="D941" s="8"/>
      <c r="E941" s="7"/>
    </row>
    <row r="942" spans="1:5" x14ac:dyDescent="0.25">
      <c r="A942" s="7"/>
      <c r="B942" s="7"/>
      <c r="C942" s="7"/>
      <c r="D942" s="8"/>
      <c r="E942" s="7"/>
    </row>
    <row r="943" spans="1:5" x14ac:dyDescent="0.25">
      <c r="A943" s="7"/>
      <c r="B943" s="7"/>
      <c r="C943" s="7"/>
      <c r="D943" s="8"/>
      <c r="E943" s="7"/>
    </row>
    <row r="944" spans="1:5" x14ac:dyDescent="0.25">
      <c r="A944" s="7"/>
      <c r="B944" s="7"/>
      <c r="C944" s="7"/>
      <c r="D944" s="8"/>
      <c r="E944" s="7"/>
    </row>
    <row r="945" spans="1:5" x14ac:dyDescent="0.25">
      <c r="A945" s="7"/>
      <c r="B945" s="7"/>
      <c r="C945" s="7"/>
      <c r="D945" s="8"/>
      <c r="E945" s="7"/>
    </row>
    <row r="946" spans="1:5" x14ac:dyDescent="0.25">
      <c r="A946" s="7"/>
      <c r="B946" s="7"/>
      <c r="C946" s="7"/>
      <c r="D946" s="8"/>
      <c r="E946" s="7"/>
    </row>
    <row r="947" spans="1:5" x14ac:dyDescent="0.25">
      <c r="A947" s="7"/>
      <c r="B947" s="7"/>
      <c r="C947" s="7"/>
      <c r="D947" s="8"/>
      <c r="E947" s="7"/>
    </row>
    <row r="948" spans="1:5" x14ac:dyDescent="0.25">
      <c r="A948" s="7"/>
      <c r="B948" s="7"/>
      <c r="C948" s="7"/>
      <c r="D948" s="8"/>
      <c r="E948" s="7"/>
    </row>
    <row r="949" spans="1:5" x14ac:dyDescent="0.25">
      <c r="A949" s="7"/>
      <c r="B949" s="7"/>
      <c r="C949" s="7"/>
      <c r="D949" s="8"/>
      <c r="E949" s="7"/>
    </row>
    <row r="950" spans="1:5" x14ac:dyDescent="0.25">
      <c r="A950" s="7"/>
      <c r="B950" s="7"/>
      <c r="C950" s="7"/>
      <c r="D950" s="8"/>
      <c r="E950" s="7"/>
    </row>
    <row r="951" spans="1:5" x14ac:dyDescent="0.25">
      <c r="A951" s="7"/>
      <c r="B951" s="7"/>
      <c r="C951" s="7"/>
      <c r="D951" s="8"/>
      <c r="E951" s="7"/>
    </row>
    <row r="952" spans="1:5" x14ac:dyDescent="0.25">
      <c r="A952" s="7"/>
      <c r="B952" s="7"/>
      <c r="C952" s="7"/>
      <c r="D952" s="8"/>
      <c r="E952" s="7"/>
    </row>
    <row r="953" spans="1:5" x14ac:dyDescent="0.25">
      <c r="A953" s="7"/>
      <c r="B953" s="7"/>
      <c r="C953" s="7"/>
      <c r="D953" s="8"/>
      <c r="E953" s="7"/>
    </row>
    <row r="954" spans="1:5" x14ac:dyDescent="0.25">
      <c r="A954" s="7"/>
      <c r="B954" s="7"/>
      <c r="C954" s="7"/>
      <c r="D954" s="8"/>
      <c r="E954" s="7"/>
    </row>
    <row r="955" spans="1:5" x14ac:dyDescent="0.25">
      <c r="A955" s="7"/>
      <c r="B955" s="7"/>
      <c r="C955" s="7"/>
      <c r="D955" s="8"/>
      <c r="E955" s="7"/>
    </row>
    <row r="956" spans="1:5" x14ac:dyDescent="0.25">
      <c r="A956" s="7"/>
      <c r="B956" s="7"/>
      <c r="C956" s="7"/>
      <c r="D956" s="8"/>
      <c r="E956" s="7"/>
    </row>
    <row r="957" spans="1:5" x14ac:dyDescent="0.25">
      <c r="A957" s="7"/>
      <c r="B957" s="7"/>
      <c r="C957" s="7"/>
      <c r="D957" s="8"/>
      <c r="E957" s="7"/>
    </row>
    <row r="958" spans="1:5" x14ac:dyDescent="0.25">
      <c r="A958" s="7"/>
      <c r="B958" s="7"/>
      <c r="C958" s="7"/>
      <c r="D958" s="8"/>
      <c r="E958" s="7"/>
    </row>
    <row r="959" spans="1:5" x14ac:dyDescent="0.25">
      <c r="A959" s="7"/>
      <c r="B959" s="7"/>
      <c r="C959" s="7"/>
      <c r="D959" s="8"/>
      <c r="E959" s="7"/>
    </row>
    <row r="960" spans="1:5" x14ac:dyDescent="0.25">
      <c r="A960" s="7"/>
      <c r="B960" s="7"/>
      <c r="C960" s="7"/>
      <c r="D960" s="8"/>
      <c r="E960" s="7"/>
    </row>
    <row r="961" spans="1:5" x14ac:dyDescent="0.25">
      <c r="A961" s="7"/>
      <c r="B961" s="7"/>
      <c r="C961" s="7"/>
      <c r="D961" s="8"/>
      <c r="E961" s="7"/>
    </row>
    <row r="962" spans="1:5" x14ac:dyDescent="0.25">
      <c r="A962" s="7"/>
      <c r="B962" s="7"/>
      <c r="C962" s="7"/>
      <c r="D962" s="8"/>
      <c r="E962" s="7"/>
    </row>
    <row r="963" spans="1:5" x14ac:dyDescent="0.25">
      <c r="A963" s="7"/>
      <c r="B963" s="7"/>
      <c r="C963" s="7"/>
      <c r="D963" s="8"/>
      <c r="E963" s="7"/>
    </row>
    <row r="964" spans="1:5" x14ac:dyDescent="0.25">
      <c r="A964" s="7"/>
      <c r="B964" s="7"/>
      <c r="C964" s="7"/>
      <c r="D964" s="8"/>
      <c r="E964" s="7"/>
    </row>
    <row r="965" spans="1:5" x14ac:dyDescent="0.25">
      <c r="A965" s="7"/>
      <c r="B965" s="7"/>
      <c r="C965" s="7"/>
      <c r="D965" s="8"/>
      <c r="E965" s="7"/>
    </row>
    <row r="966" spans="1:5" x14ac:dyDescent="0.25">
      <c r="A966" s="7"/>
      <c r="B966" s="7"/>
      <c r="C966" s="7"/>
      <c r="D966" s="8"/>
      <c r="E966" s="7"/>
    </row>
    <row r="967" spans="1:5" x14ac:dyDescent="0.25">
      <c r="A967" s="7"/>
      <c r="B967" s="7"/>
      <c r="C967" s="7"/>
      <c r="D967" s="8"/>
      <c r="E967" s="7"/>
    </row>
    <row r="968" spans="1:5" x14ac:dyDescent="0.25">
      <c r="A968" s="7"/>
      <c r="B968" s="7"/>
      <c r="C968" s="7"/>
      <c r="D968" s="8"/>
      <c r="E968" s="7"/>
    </row>
    <row r="969" spans="1:5" x14ac:dyDescent="0.25">
      <c r="A969" s="7"/>
      <c r="B969" s="7"/>
      <c r="C969" s="7"/>
      <c r="D969" s="8"/>
      <c r="E969" s="7"/>
    </row>
    <row r="970" spans="1:5" x14ac:dyDescent="0.25">
      <c r="A970" s="7"/>
      <c r="B970" s="7"/>
      <c r="C970" s="7"/>
      <c r="D970" s="8"/>
      <c r="E970" s="7"/>
    </row>
    <row r="971" spans="1:5" x14ac:dyDescent="0.25">
      <c r="A971" s="7"/>
      <c r="B971" s="7"/>
      <c r="C971" s="7"/>
      <c r="D971" s="8"/>
      <c r="E971" s="7"/>
    </row>
    <row r="972" spans="1:5" x14ac:dyDescent="0.25">
      <c r="A972" s="7"/>
      <c r="B972" s="7"/>
      <c r="C972" s="7"/>
      <c r="D972" s="8"/>
      <c r="E972" s="7"/>
    </row>
    <row r="973" spans="1:5" x14ac:dyDescent="0.25">
      <c r="A973" s="7"/>
      <c r="B973" s="7"/>
      <c r="C973" s="7"/>
      <c r="D973" s="8"/>
      <c r="E973" s="7"/>
    </row>
    <row r="974" spans="1:5" x14ac:dyDescent="0.25">
      <c r="A974" s="7"/>
      <c r="B974" s="7"/>
      <c r="C974" s="7"/>
      <c r="D974" s="8"/>
      <c r="E974" s="7"/>
    </row>
    <row r="975" spans="1:5" x14ac:dyDescent="0.25">
      <c r="A975" s="7"/>
      <c r="B975" s="7"/>
      <c r="C975" s="7"/>
      <c r="D975" s="8"/>
      <c r="E975" s="7"/>
    </row>
    <row r="976" spans="1:5" x14ac:dyDescent="0.25">
      <c r="A976" s="7"/>
      <c r="B976" s="7"/>
      <c r="C976" s="7"/>
      <c r="D976" s="8"/>
      <c r="E976" s="7"/>
    </row>
    <row r="977" spans="1:5" x14ac:dyDescent="0.25">
      <c r="A977" s="7"/>
      <c r="B977" s="7"/>
      <c r="C977" s="7"/>
      <c r="D977" s="8"/>
      <c r="E977" s="7"/>
    </row>
    <row r="978" spans="1:5" x14ac:dyDescent="0.25">
      <c r="A978" s="7"/>
      <c r="B978" s="7"/>
      <c r="C978" s="7"/>
      <c r="D978" s="8"/>
      <c r="E978" s="7"/>
    </row>
    <row r="979" spans="1:5" x14ac:dyDescent="0.25">
      <c r="A979" s="7"/>
      <c r="B979" s="7"/>
      <c r="C979" s="7"/>
      <c r="D979" s="8"/>
      <c r="E979" s="7"/>
    </row>
    <row r="980" spans="1:5" x14ac:dyDescent="0.25">
      <c r="A980" s="7"/>
      <c r="B980" s="7"/>
      <c r="C980" s="7"/>
      <c r="D980" s="8"/>
      <c r="E980" s="7"/>
    </row>
    <row r="981" spans="1:5" x14ac:dyDescent="0.25">
      <c r="A981" s="7"/>
      <c r="B981" s="7"/>
      <c r="C981" s="7"/>
      <c r="D981" s="8"/>
      <c r="E981" s="7"/>
    </row>
    <row r="982" spans="1:5" x14ac:dyDescent="0.25">
      <c r="A982" s="7"/>
      <c r="B982" s="7"/>
      <c r="C982" s="7"/>
      <c r="D982" s="8"/>
      <c r="E982" s="7"/>
    </row>
    <row r="983" spans="1:5" x14ac:dyDescent="0.25">
      <c r="A983" s="7"/>
      <c r="B983" s="7"/>
      <c r="C983" s="7"/>
      <c r="D983" s="8"/>
      <c r="E983" s="7"/>
    </row>
    <row r="984" spans="1:5" x14ac:dyDescent="0.25">
      <c r="A984" s="7"/>
      <c r="B984" s="7"/>
      <c r="C984" s="7"/>
      <c r="D984" s="8"/>
      <c r="E984" s="7"/>
    </row>
    <row r="985" spans="1:5" x14ac:dyDescent="0.25">
      <c r="A985" s="7"/>
      <c r="B985" s="7"/>
      <c r="C985" s="7"/>
      <c r="D985" s="8"/>
      <c r="E985" s="7"/>
    </row>
    <row r="986" spans="1:5" x14ac:dyDescent="0.25">
      <c r="A986" s="7"/>
      <c r="B986" s="7"/>
      <c r="C986" s="7"/>
      <c r="D986" s="8"/>
      <c r="E986" s="7"/>
    </row>
    <row r="987" spans="1:5" x14ac:dyDescent="0.25">
      <c r="A987" s="7"/>
      <c r="B987" s="7"/>
      <c r="C987" s="7"/>
      <c r="D987" s="8"/>
      <c r="E987" s="7"/>
    </row>
    <row r="988" spans="1:5" x14ac:dyDescent="0.25">
      <c r="A988" s="7"/>
      <c r="B988" s="7"/>
      <c r="C988" s="7"/>
      <c r="D988" s="8"/>
      <c r="E988" s="7"/>
    </row>
    <row r="989" spans="1:5" x14ac:dyDescent="0.25">
      <c r="A989" s="7"/>
      <c r="B989" s="7"/>
      <c r="C989" s="7"/>
      <c r="D989" s="8"/>
      <c r="E989" s="7"/>
    </row>
    <row r="990" spans="1:5" x14ac:dyDescent="0.25">
      <c r="A990" s="7"/>
      <c r="B990" s="7"/>
      <c r="C990" s="7"/>
      <c r="D990" s="8"/>
      <c r="E990" s="7"/>
    </row>
    <row r="991" spans="1:5" x14ac:dyDescent="0.25">
      <c r="A991" s="7"/>
      <c r="B991" s="7"/>
      <c r="C991" s="7"/>
      <c r="D991" s="8"/>
      <c r="E991" s="7"/>
    </row>
    <row r="992" spans="1:5" x14ac:dyDescent="0.25">
      <c r="A992" s="7"/>
      <c r="B992" s="7"/>
      <c r="C992" s="7"/>
      <c r="D992" s="8"/>
      <c r="E992" s="7"/>
    </row>
    <row r="993" spans="1:5" x14ac:dyDescent="0.25">
      <c r="A993" s="7"/>
      <c r="B993" s="7"/>
      <c r="C993" s="7"/>
      <c r="D993" s="8"/>
      <c r="E993" s="7"/>
    </row>
    <row r="994" spans="1:5" x14ac:dyDescent="0.25">
      <c r="A994" s="7"/>
      <c r="B994" s="7"/>
      <c r="C994" s="7"/>
      <c r="D994" s="8"/>
      <c r="E994" s="7"/>
    </row>
    <row r="995" spans="1:5" x14ac:dyDescent="0.25">
      <c r="A995" s="7"/>
      <c r="B995" s="7"/>
      <c r="C995" s="7"/>
      <c r="D995" s="8"/>
      <c r="E995" s="7"/>
    </row>
    <row r="996" spans="1:5" x14ac:dyDescent="0.25">
      <c r="A996" s="7"/>
      <c r="B996" s="7"/>
      <c r="C996" s="7"/>
      <c r="D996" s="8"/>
      <c r="E996" s="7"/>
    </row>
    <row r="997" spans="1:5" x14ac:dyDescent="0.25">
      <c r="A997" s="7"/>
      <c r="B997" s="7"/>
      <c r="C997" s="7"/>
      <c r="D997" s="8"/>
      <c r="E997" s="7"/>
    </row>
    <row r="998" spans="1:5" x14ac:dyDescent="0.25">
      <c r="A998" s="7"/>
      <c r="B998" s="7"/>
      <c r="C998" s="7"/>
      <c r="D998" s="8"/>
      <c r="E998" s="7"/>
    </row>
    <row r="999" spans="1:5" x14ac:dyDescent="0.25">
      <c r="A999" s="7"/>
      <c r="B999" s="7"/>
      <c r="C999" s="7"/>
      <c r="D999" s="8"/>
      <c r="E999" s="7"/>
    </row>
    <row r="1000" spans="1:5" x14ac:dyDescent="0.25">
      <c r="A1000" s="7"/>
      <c r="B1000" s="7"/>
      <c r="C1000" s="7"/>
      <c r="D1000" s="8"/>
      <c r="E1000" s="7"/>
    </row>
    <row r="1001" spans="1:5" x14ac:dyDescent="0.25">
      <c r="A1001" s="7"/>
      <c r="B1001" s="7"/>
      <c r="C1001" s="7"/>
      <c r="D1001" s="8"/>
      <c r="E1001" s="7"/>
    </row>
    <row r="1002" spans="1:5" x14ac:dyDescent="0.25">
      <c r="A1002" s="7"/>
      <c r="B1002" s="7"/>
      <c r="C1002" s="7"/>
      <c r="D1002" s="8"/>
      <c r="E1002" s="7"/>
    </row>
    <row r="1003" spans="1:5" x14ac:dyDescent="0.25">
      <c r="A1003" s="7"/>
      <c r="B1003" s="7"/>
      <c r="C1003" s="7"/>
      <c r="D1003" s="8"/>
      <c r="E1003" s="7"/>
    </row>
    <row r="1004" spans="1:5" x14ac:dyDescent="0.25">
      <c r="A1004" s="7"/>
      <c r="B1004" s="7"/>
      <c r="C1004" s="7"/>
      <c r="D1004" s="8"/>
      <c r="E1004" s="7"/>
    </row>
    <row r="1005" spans="1:5" x14ac:dyDescent="0.25">
      <c r="A1005" s="7"/>
      <c r="B1005" s="7"/>
      <c r="C1005" s="7"/>
      <c r="D1005" s="8"/>
      <c r="E1005" s="7"/>
    </row>
    <row r="1006" spans="1:5" x14ac:dyDescent="0.25">
      <c r="A1006" s="7"/>
      <c r="B1006" s="7"/>
      <c r="C1006" s="7"/>
      <c r="D1006" s="8"/>
      <c r="E1006" s="7"/>
    </row>
    <row r="1007" spans="1:5" x14ac:dyDescent="0.25">
      <c r="A1007" s="7"/>
      <c r="B1007" s="7"/>
      <c r="C1007" s="7"/>
      <c r="D1007" s="8"/>
      <c r="E1007" s="7"/>
    </row>
    <row r="1008" spans="1:5" x14ac:dyDescent="0.25">
      <c r="A1008" s="7"/>
      <c r="B1008" s="7"/>
      <c r="C1008" s="7"/>
      <c r="D1008" s="8"/>
      <c r="E1008" s="7"/>
    </row>
    <row r="1009" spans="1:5" x14ac:dyDescent="0.25">
      <c r="A1009" s="7"/>
      <c r="B1009" s="7"/>
      <c r="C1009" s="7"/>
      <c r="D1009" s="8"/>
      <c r="E1009" s="7"/>
    </row>
    <row r="1010" spans="1:5" x14ac:dyDescent="0.25">
      <c r="A1010" s="7"/>
      <c r="B1010" s="7"/>
      <c r="C1010" s="7"/>
      <c r="D1010" s="8"/>
      <c r="E1010" s="7"/>
    </row>
    <row r="1011" spans="1:5" x14ac:dyDescent="0.25">
      <c r="A1011" s="7"/>
      <c r="B1011" s="7"/>
      <c r="C1011" s="7"/>
      <c r="D1011" s="8"/>
      <c r="E1011" s="7"/>
    </row>
    <row r="1012" spans="1:5" x14ac:dyDescent="0.25">
      <c r="A1012" s="7"/>
      <c r="B1012" s="7"/>
      <c r="C1012" s="7"/>
      <c r="D1012" s="8"/>
      <c r="E1012" s="7"/>
    </row>
    <row r="1013" spans="1:5" x14ac:dyDescent="0.25">
      <c r="A1013" s="7"/>
      <c r="B1013" s="7"/>
      <c r="C1013" s="7"/>
      <c r="D1013" s="8"/>
      <c r="E1013" s="7"/>
    </row>
    <row r="1014" spans="1:5" x14ac:dyDescent="0.25">
      <c r="A1014" s="7"/>
      <c r="B1014" s="7"/>
      <c r="C1014" s="7"/>
      <c r="D1014" s="8"/>
      <c r="E1014" s="7"/>
    </row>
    <row r="1015" spans="1:5" x14ac:dyDescent="0.25">
      <c r="A1015" s="7"/>
      <c r="B1015" s="7"/>
      <c r="C1015" s="7"/>
      <c r="D1015" s="8"/>
      <c r="E1015" s="7"/>
    </row>
    <row r="1016" spans="1:5" x14ac:dyDescent="0.25">
      <c r="A1016" s="7"/>
      <c r="B1016" s="7"/>
      <c r="C1016" s="7"/>
      <c r="D1016" s="8"/>
      <c r="E1016" s="7"/>
    </row>
    <row r="1017" spans="1:5" x14ac:dyDescent="0.25">
      <c r="A1017" s="7"/>
      <c r="B1017" s="7"/>
      <c r="C1017" s="7"/>
      <c r="D1017" s="8"/>
      <c r="E1017" s="7"/>
    </row>
    <row r="1018" spans="1:5" x14ac:dyDescent="0.25">
      <c r="A1018" s="7"/>
      <c r="B1018" s="7"/>
      <c r="C1018" s="7"/>
      <c r="D1018" s="8"/>
      <c r="E1018" s="7"/>
    </row>
    <row r="1019" spans="1:5" x14ac:dyDescent="0.25">
      <c r="A1019" s="7"/>
      <c r="B1019" s="7"/>
      <c r="C1019" s="7"/>
      <c r="D1019" s="8"/>
      <c r="E1019" s="7"/>
    </row>
    <row r="1020" spans="1:5" x14ac:dyDescent="0.25">
      <c r="A1020" s="7"/>
      <c r="B1020" s="7"/>
      <c r="C1020" s="7"/>
      <c r="D1020" s="8"/>
      <c r="E1020" s="7"/>
    </row>
    <row r="1021" spans="1:5" x14ac:dyDescent="0.25">
      <c r="A1021" s="7"/>
      <c r="B1021" s="7"/>
      <c r="C1021" s="7"/>
      <c r="D1021" s="8"/>
      <c r="E1021" s="7"/>
    </row>
    <row r="1022" spans="1:5" x14ac:dyDescent="0.25">
      <c r="A1022" s="7"/>
      <c r="B1022" s="7"/>
      <c r="C1022" s="7"/>
      <c r="D1022" s="8"/>
      <c r="E1022" s="7"/>
    </row>
    <row r="1023" spans="1:5" x14ac:dyDescent="0.25">
      <c r="A1023" s="7"/>
      <c r="B1023" s="7"/>
      <c r="C1023" s="7"/>
      <c r="D1023" s="8"/>
      <c r="E1023" s="7"/>
    </row>
    <row r="1024" spans="1:5" x14ac:dyDescent="0.25">
      <c r="A1024" s="7"/>
      <c r="B1024" s="7"/>
      <c r="C1024" s="7"/>
      <c r="D1024" s="8"/>
      <c r="E1024" s="7"/>
    </row>
    <row r="1025" spans="1:5" x14ac:dyDescent="0.25">
      <c r="A1025" s="7"/>
      <c r="B1025" s="7"/>
      <c r="C1025" s="7"/>
      <c r="D1025" s="8"/>
      <c r="E1025" s="7"/>
    </row>
    <row r="1026" spans="1:5" x14ac:dyDescent="0.25">
      <c r="A1026" s="7"/>
      <c r="B1026" s="7"/>
      <c r="C1026" s="7"/>
      <c r="D1026" s="8"/>
      <c r="E1026" s="7"/>
    </row>
    <row r="1027" spans="1:5" x14ac:dyDescent="0.25">
      <c r="A1027" s="7"/>
      <c r="B1027" s="7"/>
      <c r="C1027" s="7"/>
      <c r="D1027" s="8"/>
      <c r="E1027" s="7"/>
    </row>
    <row r="1028" spans="1:5" x14ac:dyDescent="0.25">
      <c r="A1028" s="7"/>
      <c r="B1028" s="7"/>
      <c r="C1028" s="7"/>
      <c r="D1028" s="8"/>
      <c r="E1028" s="7"/>
    </row>
    <row r="1029" spans="1:5" x14ac:dyDescent="0.25">
      <c r="A1029" s="7"/>
      <c r="B1029" s="7"/>
      <c r="C1029" s="7"/>
      <c r="D1029" s="8"/>
      <c r="E1029" s="7"/>
    </row>
    <row r="1030" spans="1:5" x14ac:dyDescent="0.25">
      <c r="A1030" s="7"/>
      <c r="B1030" s="7"/>
      <c r="C1030" s="7"/>
      <c r="D1030" s="8"/>
      <c r="E1030" s="7"/>
    </row>
    <row r="1031" spans="1:5" x14ac:dyDescent="0.25">
      <c r="A1031" s="7"/>
      <c r="B1031" s="7"/>
      <c r="C1031" s="7"/>
      <c r="D1031" s="8"/>
      <c r="E1031" s="7"/>
    </row>
    <row r="1032" spans="1:5" x14ac:dyDescent="0.25">
      <c r="A1032" s="7"/>
      <c r="B1032" s="7"/>
      <c r="C1032" s="7"/>
      <c r="D1032" s="8"/>
      <c r="E1032" s="7"/>
    </row>
    <row r="1033" spans="1:5" x14ac:dyDescent="0.25">
      <c r="A1033" s="7"/>
      <c r="B1033" s="7"/>
      <c r="C1033" s="7"/>
      <c r="D1033" s="8"/>
      <c r="E1033" s="7"/>
    </row>
    <row r="1034" spans="1:5" x14ac:dyDescent="0.25">
      <c r="A1034" s="7"/>
      <c r="B1034" s="7"/>
      <c r="C1034" s="7"/>
      <c r="D1034" s="8"/>
      <c r="E1034" s="7"/>
    </row>
    <row r="1035" spans="1:5" x14ac:dyDescent="0.25">
      <c r="A1035" s="7"/>
      <c r="B1035" s="7"/>
      <c r="C1035" s="7"/>
      <c r="D1035" s="8"/>
      <c r="E1035" s="7"/>
    </row>
    <row r="1036" spans="1:5" x14ac:dyDescent="0.25">
      <c r="A1036" s="7"/>
      <c r="B1036" s="7"/>
      <c r="C1036" s="7"/>
      <c r="D1036" s="8"/>
      <c r="E1036" s="7"/>
    </row>
    <row r="1037" spans="1:5" x14ac:dyDescent="0.25">
      <c r="A1037" s="7"/>
      <c r="B1037" s="7"/>
      <c r="C1037" s="7"/>
      <c r="D1037" s="8"/>
      <c r="E1037" s="7"/>
    </row>
    <row r="1038" spans="1:5" x14ac:dyDescent="0.25">
      <c r="A1038" s="7"/>
      <c r="B1038" s="7"/>
      <c r="C1038" s="7"/>
      <c r="D1038" s="8"/>
      <c r="E1038" s="7"/>
    </row>
    <row r="1039" spans="1:5" x14ac:dyDescent="0.25">
      <c r="A1039" s="7"/>
      <c r="B1039" s="7"/>
      <c r="C1039" s="7"/>
      <c r="D1039" s="8"/>
      <c r="E1039" s="7"/>
    </row>
    <row r="1040" spans="1:5" x14ac:dyDescent="0.25">
      <c r="A1040" s="7"/>
      <c r="B1040" s="7"/>
      <c r="C1040" s="7"/>
      <c r="D1040" s="8"/>
      <c r="E1040" s="7"/>
    </row>
    <row r="1041" spans="1:5" x14ac:dyDescent="0.25">
      <c r="A1041" s="7"/>
      <c r="B1041" s="7"/>
      <c r="C1041" s="7"/>
      <c r="D1041" s="8"/>
      <c r="E1041" s="7"/>
    </row>
    <row r="1042" spans="1:5" x14ac:dyDescent="0.25">
      <c r="A1042" s="7"/>
      <c r="B1042" s="7"/>
      <c r="C1042" s="7"/>
      <c r="D1042" s="8"/>
      <c r="E1042" s="7"/>
    </row>
    <row r="1043" spans="1:5" x14ac:dyDescent="0.25">
      <c r="A1043" s="7"/>
      <c r="B1043" s="7"/>
      <c r="C1043" s="7"/>
      <c r="D1043" s="8"/>
      <c r="E1043" s="7"/>
    </row>
    <row r="1044" spans="1:5" x14ac:dyDescent="0.25">
      <c r="A1044" s="7"/>
      <c r="B1044" s="7"/>
      <c r="C1044" s="7"/>
      <c r="D1044" s="8"/>
      <c r="E1044" s="7"/>
    </row>
    <row r="1045" spans="1:5" x14ac:dyDescent="0.25">
      <c r="A1045" s="7"/>
      <c r="B1045" s="7"/>
      <c r="C1045" s="7"/>
      <c r="D1045" s="8"/>
      <c r="E1045" s="7"/>
    </row>
    <row r="1046" spans="1:5" x14ac:dyDescent="0.25">
      <c r="A1046" s="7"/>
      <c r="B1046" s="7"/>
      <c r="C1046" s="7"/>
      <c r="D1046" s="8"/>
      <c r="E1046" s="7"/>
    </row>
    <row r="1047" spans="1:5" x14ac:dyDescent="0.25">
      <c r="A1047" s="7"/>
      <c r="B1047" s="7"/>
      <c r="C1047" s="7"/>
      <c r="D1047" s="8"/>
      <c r="E1047" s="7"/>
    </row>
    <row r="1048" spans="1:5" x14ac:dyDescent="0.25">
      <c r="A1048" s="7"/>
      <c r="B1048" s="7"/>
      <c r="C1048" s="7"/>
      <c r="D1048" s="8"/>
      <c r="E1048" s="7"/>
    </row>
    <row r="1049" spans="1:5" x14ac:dyDescent="0.25">
      <c r="A1049" s="7"/>
      <c r="B1049" s="7"/>
      <c r="C1049" s="7"/>
      <c r="D1049" s="8"/>
      <c r="E1049" s="7"/>
    </row>
    <row r="1050" spans="1:5" x14ac:dyDescent="0.25">
      <c r="A1050" s="7"/>
      <c r="B1050" s="7"/>
      <c r="C1050" s="7"/>
      <c r="D1050" s="8"/>
      <c r="E1050" s="7"/>
    </row>
    <row r="1051" spans="1:5" x14ac:dyDescent="0.25">
      <c r="A1051" s="7"/>
      <c r="B1051" s="7"/>
      <c r="C1051" s="7"/>
      <c r="D1051" s="8"/>
      <c r="E1051" s="7"/>
    </row>
    <row r="1052" spans="1:5" x14ac:dyDescent="0.25">
      <c r="A1052" s="7"/>
      <c r="B1052" s="7"/>
      <c r="C1052" s="7"/>
      <c r="D1052" s="8"/>
      <c r="E1052" s="7"/>
    </row>
    <row r="1053" spans="1:5" x14ac:dyDescent="0.25">
      <c r="A1053" s="7"/>
      <c r="B1053" s="7"/>
      <c r="C1053" s="7"/>
      <c r="D1053" s="8"/>
      <c r="E1053" s="7"/>
    </row>
    <row r="1054" spans="1:5" x14ac:dyDescent="0.25">
      <c r="A1054" s="7"/>
      <c r="B1054" s="7"/>
      <c r="C1054" s="7"/>
      <c r="D1054" s="8"/>
      <c r="E1054" s="7"/>
    </row>
    <row r="1055" spans="1:5" x14ac:dyDescent="0.25">
      <c r="A1055" s="7"/>
      <c r="B1055" s="7"/>
      <c r="C1055" s="7"/>
      <c r="D1055" s="8"/>
      <c r="E1055" s="7"/>
    </row>
    <row r="1056" spans="1:5" x14ac:dyDescent="0.25">
      <c r="A1056" s="7"/>
      <c r="B1056" s="7"/>
      <c r="C1056" s="7"/>
      <c r="D1056" s="8"/>
      <c r="E1056" s="7"/>
    </row>
    <row r="1057" spans="1:5" x14ac:dyDescent="0.25">
      <c r="A1057" s="7"/>
      <c r="B1057" s="7"/>
      <c r="C1057" s="7"/>
      <c r="D1057" s="8"/>
      <c r="E1057" s="7"/>
    </row>
    <row r="1058" spans="1:5" x14ac:dyDescent="0.25">
      <c r="A1058" s="7"/>
      <c r="B1058" s="7"/>
      <c r="C1058" s="7"/>
      <c r="D1058" s="8"/>
      <c r="E1058" s="7"/>
    </row>
    <row r="1059" spans="1:5" x14ac:dyDescent="0.25">
      <c r="A1059" s="7"/>
      <c r="B1059" s="7"/>
      <c r="C1059" s="7"/>
      <c r="D1059" s="8"/>
      <c r="E1059" s="7"/>
    </row>
    <row r="1060" spans="1:5" x14ac:dyDescent="0.25">
      <c r="A1060" s="7"/>
      <c r="B1060" s="7"/>
      <c r="C1060" s="7"/>
      <c r="D1060" s="8"/>
      <c r="E1060" s="7"/>
    </row>
    <row r="1061" spans="1:5" x14ac:dyDescent="0.25">
      <c r="A1061" s="7"/>
      <c r="B1061" s="7"/>
      <c r="C1061" s="7"/>
      <c r="D1061" s="8"/>
      <c r="E1061" s="7"/>
    </row>
    <row r="1062" spans="1:5" x14ac:dyDescent="0.25">
      <c r="A1062" s="7"/>
      <c r="B1062" s="7"/>
      <c r="C1062" s="7"/>
      <c r="D1062" s="8"/>
      <c r="E1062" s="7"/>
    </row>
    <row r="1063" spans="1:5" x14ac:dyDescent="0.25">
      <c r="A1063" s="7"/>
      <c r="B1063" s="7"/>
      <c r="C1063" s="7"/>
      <c r="D1063" s="8"/>
      <c r="E1063" s="7"/>
    </row>
    <row r="1064" spans="1:5" x14ac:dyDescent="0.25">
      <c r="A1064" s="7"/>
      <c r="B1064" s="7"/>
      <c r="C1064" s="7"/>
      <c r="D1064" s="8"/>
      <c r="E1064" s="7"/>
    </row>
    <row r="1065" spans="1:5" x14ac:dyDescent="0.25">
      <c r="A1065" s="7"/>
      <c r="B1065" s="7"/>
      <c r="C1065" s="7"/>
      <c r="D1065" s="8"/>
      <c r="E1065" s="7"/>
    </row>
    <row r="1066" spans="1:5" x14ac:dyDescent="0.25">
      <c r="A1066" s="7"/>
      <c r="B1066" s="7"/>
      <c r="C1066" s="7"/>
      <c r="D1066" s="8"/>
      <c r="E1066" s="7"/>
    </row>
    <row r="1067" spans="1:5" x14ac:dyDescent="0.25">
      <c r="A1067" s="7"/>
      <c r="B1067" s="7"/>
      <c r="C1067" s="7"/>
      <c r="D1067" s="8"/>
      <c r="E1067" s="7"/>
    </row>
    <row r="1068" spans="1:5" x14ac:dyDescent="0.25">
      <c r="A1068" s="7"/>
      <c r="B1068" s="7"/>
      <c r="C1068" s="7"/>
      <c r="D1068" s="8"/>
      <c r="E1068" s="7"/>
    </row>
    <row r="1069" spans="1:5" x14ac:dyDescent="0.25">
      <c r="A1069" s="7"/>
      <c r="B1069" s="7"/>
      <c r="C1069" s="7"/>
      <c r="D1069" s="8"/>
      <c r="E1069" s="7"/>
    </row>
    <row r="1070" spans="1:5" x14ac:dyDescent="0.25">
      <c r="A1070" s="7"/>
      <c r="B1070" s="7"/>
      <c r="C1070" s="7"/>
      <c r="D1070" s="8"/>
      <c r="E1070" s="7"/>
    </row>
    <row r="1071" spans="1:5" x14ac:dyDescent="0.25">
      <c r="A1071" s="7"/>
      <c r="B1071" s="7"/>
      <c r="C1071" s="7"/>
      <c r="D1071" s="8"/>
      <c r="E1071" s="7"/>
    </row>
    <row r="1072" spans="1:5" x14ac:dyDescent="0.25">
      <c r="A1072" s="7"/>
      <c r="B1072" s="7"/>
      <c r="C1072" s="7"/>
      <c r="D1072" s="8"/>
      <c r="E1072" s="7"/>
    </row>
    <row r="1073" spans="1:5" x14ac:dyDescent="0.25">
      <c r="A1073" s="7"/>
      <c r="B1073" s="7"/>
      <c r="C1073" s="7"/>
      <c r="D1073" s="8"/>
      <c r="E1073" s="7"/>
    </row>
    <row r="1074" spans="1:5" x14ac:dyDescent="0.25">
      <c r="A1074" s="7"/>
      <c r="B1074" s="7"/>
      <c r="C1074" s="7"/>
      <c r="D1074" s="8"/>
      <c r="E1074" s="7"/>
    </row>
    <row r="1075" spans="1:5" x14ac:dyDescent="0.25">
      <c r="A1075" s="7"/>
      <c r="B1075" s="7"/>
      <c r="C1075" s="7"/>
      <c r="D1075" s="8"/>
      <c r="E1075" s="7"/>
    </row>
    <row r="1076" spans="1:5" x14ac:dyDescent="0.25">
      <c r="A1076" s="7"/>
      <c r="B1076" s="7"/>
      <c r="C1076" s="7"/>
      <c r="D1076" s="8"/>
      <c r="E1076" s="7"/>
    </row>
    <row r="1077" spans="1:5" x14ac:dyDescent="0.25">
      <c r="A1077" s="7"/>
      <c r="B1077" s="7"/>
      <c r="C1077" s="7"/>
      <c r="D1077" s="8"/>
      <c r="E1077" s="7"/>
    </row>
    <row r="1078" spans="1:5" x14ac:dyDescent="0.25">
      <c r="A1078" s="7"/>
      <c r="B1078" s="7"/>
      <c r="C1078" s="7"/>
      <c r="D1078" s="8"/>
      <c r="E1078" s="7"/>
    </row>
    <row r="1079" spans="1:5" x14ac:dyDescent="0.25">
      <c r="A1079" s="7"/>
      <c r="B1079" s="7"/>
      <c r="C1079" s="7"/>
      <c r="D1079" s="8"/>
      <c r="E1079" s="7"/>
    </row>
    <row r="1080" spans="1:5" x14ac:dyDescent="0.25">
      <c r="A1080" s="7"/>
      <c r="B1080" s="7"/>
      <c r="C1080" s="7"/>
      <c r="D1080" s="8"/>
      <c r="E1080" s="7"/>
    </row>
    <row r="1081" spans="1:5" x14ac:dyDescent="0.25">
      <c r="A1081" s="7"/>
      <c r="B1081" s="7"/>
      <c r="C1081" s="7"/>
      <c r="D1081" s="8"/>
      <c r="E1081" s="7"/>
    </row>
    <row r="1082" spans="1:5" x14ac:dyDescent="0.25">
      <c r="A1082" s="7"/>
      <c r="B1082" s="7"/>
      <c r="C1082" s="7"/>
      <c r="D1082" s="8"/>
      <c r="E1082" s="7"/>
    </row>
    <row r="1083" spans="1:5" x14ac:dyDescent="0.25">
      <c r="A1083" s="7"/>
      <c r="B1083" s="7"/>
      <c r="C1083" s="7"/>
      <c r="D1083" s="8"/>
      <c r="E1083" s="7"/>
    </row>
    <row r="1084" spans="1:5" x14ac:dyDescent="0.25">
      <c r="A1084" s="7"/>
      <c r="B1084" s="7"/>
      <c r="C1084" s="7"/>
      <c r="D1084" s="8"/>
      <c r="E1084" s="7"/>
    </row>
    <row r="1085" spans="1:5" x14ac:dyDescent="0.25">
      <c r="A1085" s="7"/>
      <c r="B1085" s="7"/>
      <c r="C1085" s="7"/>
      <c r="D1085" s="8"/>
      <c r="E1085" s="7"/>
    </row>
    <row r="1086" spans="1:5" x14ac:dyDescent="0.25">
      <c r="A1086" s="7"/>
      <c r="B1086" s="7"/>
      <c r="C1086" s="7"/>
      <c r="D1086" s="8"/>
      <c r="E1086" s="7"/>
    </row>
    <row r="1087" spans="1:5" x14ac:dyDescent="0.25">
      <c r="A1087" s="7"/>
      <c r="B1087" s="7"/>
      <c r="C1087" s="7"/>
      <c r="D1087" s="8"/>
      <c r="E1087" s="7"/>
    </row>
    <row r="1088" spans="1:5" x14ac:dyDescent="0.25">
      <c r="A1088" s="7"/>
      <c r="B1088" s="7"/>
      <c r="C1088" s="7"/>
      <c r="D1088" s="8"/>
      <c r="E1088" s="7"/>
    </row>
    <row r="1089" spans="1:5" x14ac:dyDescent="0.25">
      <c r="A1089" s="7"/>
      <c r="B1089" s="7"/>
      <c r="C1089" s="7"/>
      <c r="D1089" s="8"/>
      <c r="E1089" s="7"/>
    </row>
    <row r="1090" spans="1:5" x14ac:dyDescent="0.25">
      <c r="A1090" s="7"/>
      <c r="B1090" s="7"/>
      <c r="C1090" s="7"/>
      <c r="D1090" s="8"/>
      <c r="E1090" s="7"/>
    </row>
    <row r="1091" spans="1:5" x14ac:dyDescent="0.25">
      <c r="A1091" s="7"/>
      <c r="B1091" s="7"/>
      <c r="C1091" s="7"/>
      <c r="D1091" s="8"/>
      <c r="E1091" s="7"/>
    </row>
    <row r="1092" spans="1:5" x14ac:dyDescent="0.25">
      <c r="A1092" s="7"/>
      <c r="B1092" s="7"/>
      <c r="C1092" s="7"/>
      <c r="D1092" s="8"/>
      <c r="E1092" s="7"/>
    </row>
    <row r="1093" spans="1:5" x14ac:dyDescent="0.25">
      <c r="A1093" s="7"/>
      <c r="B1093" s="7"/>
      <c r="C1093" s="7"/>
      <c r="D1093" s="8"/>
      <c r="E1093" s="7"/>
    </row>
    <row r="1094" spans="1:5" x14ac:dyDescent="0.25">
      <c r="A1094" s="7"/>
      <c r="B1094" s="7"/>
      <c r="C1094" s="7"/>
      <c r="D1094" s="8"/>
      <c r="E1094" s="7"/>
    </row>
    <row r="1095" spans="1:5" x14ac:dyDescent="0.25">
      <c r="A1095" s="7"/>
      <c r="B1095" s="7"/>
      <c r="C1095" s="7"/>
      <c r="D1095" s="8"/>
      <c r="E1095" s="7"/>
    </row>
    <row r="1096" spans="1:5" x14ac:dyDescent="0.25">
      <c r="A1096" s="7"/>
      <c r="B1096" s="7"/>
      <c r="C1096" s="7"/>
      <c r="D1096" s="8"/>
      <c r="E1096" s="7"/>
    </row>
    <row r="1097" spans="1:5" x14ac:dyDescent="0.25">
      <c r="A1097" s="7"/>
      <c r="B1097" s="7"/>
      <c r="C1097" s="7"/>
      <c r="D1097" s="8"/>
      <c r="E1097" s="7"/>
    </row>
    <row r="1098" spans="1:5" x14ac:dyDescent="0.25">
      <c r="A1098" s="7"/>
      <c r="B1098" s="7"/>
      <c r="C1098" s="7"/>
      <c r="D1098" s="8"/>
      <c r="E1098" s="7"/>
    </row>
    <row r="1099" spans="1:5" x14ac:dyDescent="0.25">
      <c r="A1099" s="7"/>
      <c r="B1099" s="7"/>
      <c r="C1099" s="7"/>
      <c r="D1099" s="8"/>
      <c r="E1099" s="7"/>
    </row>
    <row r="1100" spans="1:5" x14ac:dyDescent="0.25">
      <c r="A1100" s="7"/>
      <c r="B1100" s="7"/>
      <c r="C1100" s="7"/>
      <c r="D1100" s="8"/>
      <c r="E1100" s="7"/>
    </row>
    <row r="1101" spans="1:5" x14ac:dyDescent="0.25">
      <c r="A1101" s="7"/>
      <c r="B1101" s="7"/>
      <c r="C1101" s="7"/>
      <c r="D1101" s="8"/>
      <c r="E1101" s="7"/>
    </row>
    <row r="1102" spans="1:5" x14ac:dyDescent="0.25">
      <c r="A1102" s="7"/>
      <c r="B1102" s="7"/>
      <c r="C1102" s="7"/>
      <c r="D1102" s="8"/>
      <c r="E1102" s="7"/>
    </row>
    <row r="1103" spans="1:5" x14ac:dyDescent="0.25">
      <c r="A1103" s="7"/>
      <c r="B1103" s="7"/>
      <c r="C1103" s="7"/>
      <c r="D1103" s="8"/>
      <c r="E1103" s="7"/>
    </row>
    <row r="1104" spans="1:5" x14ac:dyDescent="0.25">
      <c r="A1104" s="7"/>
      <c r="B1104" s="7"/>
      <c r="C1104" s="7"/>
      <c r="D1104" s="8"/>
      <c r="E1104" s="7"/>
    </row>
    <row r="1105" spans="1:5" x14ac:dyDescent="0.25">
      <c r="A1105" s="7"/>
      <c r="B1105" s="7"/>
      <c r="C1105" s="7"/>
      <c r="D1105" s="8"/>
      <c r="E1105" s="7"/>
    </row>
    <row r="1106" spans="1:5" x14ac:dyDescent="0.25">
      <c r="A1106" s="7"/>
      <c r="B1106" s="7"/>
      <c r="C1106" s="7"/>
      <c r="D1106" s="8"/>
      <c r="E1106" s="7"/>
    </row>
    <row r="1107" spans="1:5" x14ac:dyDescent="0.25">
      <c r="A1107" s="7"/>
      <c r="B1107" s="7"/>
      <c r="C1107" s="7"/>
      <c r="D1107" s="8"/>
      <c r="E1107" s="7"/>
    </row>
    <row r="1108" spans="1:5" x14ac:dyDescent="0.25">
      <c r="A1108" s="7"/>
      <c r="B1108" s="7"/>
      <c r="C1108" s="7"/>
      <c r="D1108" s="8"/>
      <c r="E1108" s="7"/>
    </row>
    <row r="1109" spans="1:5" x14ac:dyDescent="0.25">
      <c r="A1109" s="7"/>
      <c r="B1109" s="7"/>
      <c r="C1109" s="7"/>
      <c r="D1109" s="8"/>
      <c r="E1109" s="7"/>
    </row>
    <row r="1110" spans="1:5" x14ac:dyDescent="0.25">
      <c r="A1110" s="7"/>
      <c r="B1110" s="7"/>
      <c r="C1110" s="7"/>
      <c r="D1110" s="8"/>
      <c r="E1110" s="7"/>
    </row>
    <row r="1111" spans="1:5" x14ac:dyDescent="0.25">
      <c r="A1111" s="7"/>
      <c r="B1111" s="7"/>
      <c r="C1111" s="7"/>
      <c r="D1111" s="8"/>
      <c r="E1111" s="7"/>
    </row>
    <row r="1112" spans="1:5" x14ac:dyDescent="0.25">
      <c r="A1112" s="7"/>
      <c r="B1112" s="7"/>
      <c r="C1112" s="7"/>
      <c r="D1112" s="8"/>
      <c r="E1112" s="7"/>
    </row>
    <row r="1113" spans="1:5" x14ac:dyDescent="0.25">
      <c r="A1113" s="7"/>
      <c r="B1113" s="7"/>
      <c r="C1113" s="7"/>
      <c r="D1113" s="8"/>
      <c r="E1113" s="7"/>
    </row>
    <row r="1114" spans="1:5" x14ac:dyDescent="0.25">
      <c r="A1114" s="7"/>
      <c r="B1114" s="7"/>
      <c r="C1114" s="7"/>
      <c r="D1114" s="8"/>
      <c r="E1114" s="7"/>
    </row>
    <row r="1115" spans="1:5" x14ac:dyDescent="0.25">
      <c r="A1115" s="7"/>
      <c r="B1115" s="7"/>
      <c r="C1115" s="7"/>
      <c r="D1115" s="8"/>
      <c r="E1115" s="7"/>
    </row>
    <row r="1116" spans="1:5" x14ac:dyDescent="0.25">
      <c r="A1116" s="7"/>
      <c r="B1116" s="7"/>
      <c r="C1116" s="7"/>
      <c r="D1116" s="8"/>
      <c r="E1116" s="7"/>
    </row>
    <row r="1117" spans="1:5" x14ac:dyDescent="0.25">
      <c r="A1117" s="7"/>
      <c r="B1117" s="7"/>
      <c r="C1117" s="7"/>
      <c r="D1117" s="8"/>
      <c r="E1117" s="7"/>
    </row>
    <row r="1118" spans="1:5" x14ac:dyDescent="0.25">
      <c r="A1118" s="7"/>
      <c r="B1118" s="7"/>
      <c r="C1118" s="7"/>
      <c r="D1118" s="8"/>
      <c r="E1118" s="7"/>
    </row>
    <row r="1119" spans="1:5" x14ac:dyDescent="0.25">
      <c r="A1119" s="7"/>
      <c r="B1119" s="7"/>
      <c r="C1119" s="7"/>
      <c r="D1119" s="8"/>
      <c r="E1119" s="7"/>
    </row>
    <row r="1120" spans="1:5" x14ac:dyDescent="0.25">
      <c r="A1120" s="7"/>
      <c r="B1120" s="7"/>
      <c r="C1120" s="7"/>
      <c r="D1120" s="8"/>
      <c r="E1120" s="7"/>
    </row>
    <row r="1121" spans="1:5" x14ac:dyDescent="0.25">
      <c r="A1121" s="7"/>
      <c r="B1121" s="7"/>
      <c r="C1121" s="7"/>
      <c r="D1121" s="8"/>
      <c r="E1121" s="7"/>
    </row>
    <row r="1122" spans="1:5" x14ac:dyDescent="0.25">
      <c r="A1122" s="7"/>
      <c r="B1122" s="7"/>
      <c r="C1122" s="7"/>
      <c r="D1122" s="8"/>
      <c r="E1122" s="7"/>
    </row>
    <row r="1123" spans="1:5" x14ac:dyDescent="0.25">
      <c r="A1123" s="7"/>
      <c r="B1123" s="7"/>
      <c r="C1123" s="7"/>
      <c r="D1123" s="8"/>
      <c r="E1123" s="7"/>
    </row>
    <row r="1124" spans="1:5" x14ac:dyDescent="0.25">
      <c r="A1124" s="7"/>
      <c r="B1124" s="7"/>
      <c r="C1124" s="7"/>
      <c r="D1124" s="8"/>
      <c r="E1124" s="7"/>
    </row>
    <row r="1125" spans="1:5" x14ac:dyDescent="0.25">
      <c r="A1125" s="7"/>
      <c r="B1125" s="7"/>
      <c r="C1125" s="7"/>
      <c r="D1125" s="8"/>
      <c r="E1125" s="7"/>
    </row>
    <row r="1126" spans="1:5" x14ac:dyDescent="0.25">
      <c r="A1126" s="7"/>
      <c r="B1126" s="7"/>
      <c r="C1126" s="7"/>
      <c r="D1126" s="8"/>
      <c r="E1126" s="7"/>
    </row>
    <row r="1127" spans="1:5" x14ac:dyDescent="0.25">
      <c r="A1127" s="7"/>
      <c r="B1127" s="7"/>
      <c r="C1127" s="7"/>
      <c r="D1127" s="8"/>
      <c r="E1127" s="7"/>
    </row>
    <row r="1128" spans="1:5" x14ac:dyDescent="0.25">
      <c r="A1128" s="7"/>
      <c r="B1128" s="7"/>
      <c r="C1128" s="7"/>
      <c r="D1128" s="8"/>
      <c r="E1128" s="7"/>
    </row>
    <row r="1129" spans="1:5" x14ac:dyDescent="0.25">
      <c r="A1129" s="7"/>
      <c r="B1129" s="7"/>
      <c r="C1129" s="7"/>
      <c r="D1129" s="8"/>
      <c r="E1129" s="7"/>
    </row>
    <row r="1130" spans="1:5" x14ac:dyDescent="0.25">
      <c r="A1130" s="7"/>
      <c r="B1130" s="7"/>
      <c r="C1130" s="7"/>
      <c r="D1130" s="8"/>
      <c r="E1130" s="7"/>
    </row>
    <row r="1131" spans="1:5" x14ac:dyDescent="0.25">
      <c r="A1131" s="7"/>
      <c r="B1131" s="7"/>
      <c r="C1131" s="7"/>
      <c r="D1131" s="8"/>
      <c r="E1131" s="7"/>
    </row>
    <row r="1132" spans="1:5" x14ac:dyDescent="0.25">
      <c r="A1132" s="7"/>
      <c r="B1132" s="7"/>
      <c r="C1132" s="7"/>
      <c r="D1132" s="8"/>
      <c r="E1132" s="7"/>
    </row>
    <row r="1133" spans="1:5" x14ac:dyDescent="0.25">
      <c r="A1133" s="7"/>
      <c r="B1133" s="7"/>
      <c r="C1133" s="7"/>
      <c r="D1133" s="8"/>
      <c r="E1133" s="7"/>
    </row>
    <row r="1134" spans="1:5" x14ac:dyDescent="0.25">
      <c r="A1134" s="7"/>
      <c r="B1134" s="7"/>
      <c r="C1134" s="7"/>
      <c r="D1134" s="8"/>
      <c r="E1134" s="7"/>
    </row>
    <row r="1135" spans="1:5" x14ac:dyDescent="0.25">
      <c r="A1135" s="7"/>
      <c r="B1135" s="7"/>
      <c r="C1135" s="7"/>
      <c r="D1135" s="8"/>
      <c r="E1135" s="7"/>
    </row>
    <row r="1136" spans="1:5" x14ac:dyDescent="0.25">
      <c r="A1136" s="7"/>
      <c r="B1136" s="7"/>
      <c r="C1136" s="7"/>
      <c r="D1136" s="8"/>
      <c r="E1136" s="7"/>
    </row>
    <row r="1137" spans="1:5" x14ac:dyDescent="0.25">
      <c r="A1137" s="7"/>
      <c r="B1137" s="7"/>
      <c r="C1137" s="7"/>
      <c r="D1137" s="8"/>
      <c r="E1137" s="7"/>
    </row>
    <row r="1138" spans="1:5" x14ac:dyDescent="0.25">
      <c r="A1138" s="7"/>
      <c r="B1138" s="7"/>
      <c r="C1138" s="7"/>
      <c r="D1138" s="8"/>
      <c r="E1138" s="7"/>
    </row>
    <row r="1139" spans="1:5" x14ac:dyDescent="0.25">
      <c r="A1139" s="7"/>
      <c r="B1139" s="7"/>
      <c r="C1139" s="7"/>
      <c r="D1139" s="8"/>
      <c r="E1139" s="7"/>
    </row>
    <row r="1140" spans="1:5" x14ac:dyDescent="0.25">
      <c r="A1140" s="7"/>
      <c r="B1140" s="7"/>
      <c r="C1140" s="7"/>
      <c r="D1140" s="8"/>
      <c r="E1140" s="7"/>
    </row>
    <row r="1141" spans="1:5" x14ac:dyDescent="0.25">
      <c r="A1141" s="7"/>
      <c r="B1141" s="7"/>
      <c r="C1141" s="7"/>
      <c r="D1141" s="8"/>
      <c r="E1141" s="7"/>
    </row>
    <row r="1142" spans="1:5" x14ac:dyDescent="0.25">
      <c r="A1142" s="7"/>
      <c r="B1142" s="7"/>
      <c r="C1142" s="7"/>
      <c r="D1142" s="8"/>
      <c r="E1142" s="7"/>
    </row>
    <row r="1143" spans="1:5" x14ac:dyDescent="0.25">
      <c r="A1143" s="7"/>
      <c r="B1143" s="7"/>
      <c r="C1143" s="7"/>
      <c r="D1143" s="8"/>
      <c r="E1143" s="7"/>
    </row>
    <row r="1144" spans="1:5" x14ac:dyDescent="0.25">
      <c r="A1144" s="7"/>
      <c r="B1144" s="7"/>
      <c r="C1144" s="7"/>
      <c r="D1144" s="8"/>
      <c r="E1144" s="7"/>
    </row>
    <row r="1145" spans="1:5" x14ac:dyDescent="0.25">
      <c r="A1145" s="7"/>
      <c r="B1145" s="7"/>
      <c r="C1145" s="7"/>
      <c r="D1145" s="8"/>
      <c r="E1145" s="7"/>
    </row>
    <row r="1146" spans="1:5" x14ac:dyDescent="0.25">
      <c r="A1146" s="7"/>
      <c r="B1146" s="7"/>
      <c r="C1146" s="7"/>
      <c r="D1146" s="8"/>
      <c r="E1146" s="7"/>
    </row>
    <row r="1147" spans="1:5" x14ac:dyDescent="0.25">
      <c r="A1147" s="7"/>
      <c r="B1147" s="7"/>
      <c r="C1147" s="7"/>
      <c r="D1147" s="8"/>
      <c r="E1147" s="7"/>
    </row>
    <row r="1148" spans="1:5" x14ac:dyDescent="0.25">
      <c r="A1148" s="7"/>
      <c r="B1148" s="7"/>
      <c r="C1148" s="7"/>
      <c r="D1148" s="8"/>
      <c r="E1148" s="7"/>
    </row>
    <row r="1149" spans="1:5" x14ac:dyDescent="0.25">
      <c r="A1149" s="7"/>
      <c r="B1149" s="7"/>
      <c r="C1149" s="7"/>
      <c r="D1149" s="8"/>
      <c r="E1149" s="7"/>
    </row>
    <row r="1150" spans="1:5" x14ac:dyDescent="0.25">
      <c r="A1150" s="7"/>
      <c r="B1150" s="7"/>
      <c r="C1150" s="7"/>
      <c r="D1150" s="8"/>
      <c r="E1150" s="7"/>
    </row>
    <row r="1151" spans="1:5" x14ac:dyDescent="0.25">
      <c r="A1151" s="7"/>
      <c r="B1151" s="7"/>
      <c r="C1151" s="7"/>
      <c r="D1151" s="8"/>
      <c r="E1151" s="7"/>
    </row>
    <row r="1152" spans="1:5" x14ac:dyDescent="0.25">
      <c r="A1152" s="7"/>
      <c r="B1152" s="7"/>
      <c r="C1152" s="7"/>
      <c r="D1152" s="8"/>
      <c r="E1152" s="7"/>
    </row>
    <row r="1153" spans="1:5" x14ac:dyDescent="0.25">
      <c r="A1153" s="7"/>
      <c r="B1153" s="7"/>
      <c r="C1153" s="7"/>
      <c r="D1153" s="8"/>
      <c r="E1153" s="7"/>
    </row>
    <row r="1154" spans="1:5" x14ac:dyDescent="0.25">
      <c r="A1154" s="7"/>
      <c r="B1154" s="7"/>
      <c r="C1154" s="7"/>
      <c r="D1154" s="8"/>
      <c r="E1154" s="7"/>
    </row>
    <row r="1155" spans="1:5" x14ac:dyDescent="0.25">
      <c r="A1155" s="7"/>
      <c r="B1155" s="7"/>
      <c r="C1155" s="7"/>
      <c r="D1155" s="8"/>
      <c r="E1155" s="7"/>
    </row>
    <row r="1156" spans="1:5" x14ac:dyDescent="0.25">
      <c r="A1156" s="7"/>
      <c r="B1156" s="7"/>
      <c r="C1156" s="7"/>
      <c r="D1156" s="8"/>
      <c r="E1156" s="7"/>
    </row>
    <row r="1157" spans="1:5" x14ac:dyDescent="0.25">
      <c r="A1157" s="7"/>
      <c r="B1157" s="7"/>
      <c r="C1157" s="7"/>
      <c r="D1157" s="8"/>
      <c r="E1157" s="7"/>
    </row>
    <row r="1158" spans="1:5" x14ac:dyDescent="0.25">
      <c r="A1158" s="7"/>
      <c r="B1158" s="7"/>
      <c r="C1158" s="7"/>
      <c r="D1158" s="8"/>
      <c r="E1158" s="7"/>
    </row>
    <row r="1159" spans="1:5" x14ac:dyDescent="0.25">
      <c r="A1159" s="7"/>
      <c r="B1159" s="7"/>
      <c r="C1159" s="7"/>
      <c r="D1159" s="8"/>
      <c r="E1159" s="7"/>
    </row>
    <row r="1160" spans="1:5" x14ac:dyDescent="0.25">
      <c r="A1160" s="7"/>
      <c r="B1160" s="7"/>
      <c r="C1160" s="7"/>
      <c r="D1160" s="8"/>
      <c r="E1160" s="7"/>
    </row>
    <row r="1161" spans="1:5" x14ac:dyDescent="0.25">
      <c r="A1161" s="7"/>
      <c r="B1161" s="7"/>
      <c r="C1161" s="7"/>
      <c r="D1161" s="8"/>
      <c r="E1161" s="7"/>
    </row>
    <row r="1162" spans="1:5" x14ac:dyDescent="0.25">
      <c r="A1162" s="7"/>
      <c r="B1162" s="7"/>
      <c r="C1162" s="7"/>
      <c r="D1162" s="8"/>
      <c r="E1162" s="7"/>
    </row>
    <row r="1163" spans="1:5" x14ac:dyDescent="0.25">
      <c r="A1163" s="7"/>
      <c r="B1163" s="7"/>
      <c r="C1163" s="7"/>
      <c r="D1163" s="8"/>
      <c r="E1163" s="7"/>
    </row>
    <row r="1164" spans="1:5" x14ac:dyDescent="0.25">
      <c r="A1164" s="7"/>
      <c r="B1164" s="7"/>
      <c r="C1164" s="7"/>
      <c r="D1164" s="8"/>
      <c r="E1164" s="7"/>
    </row>
    <row r="1165" spans="1:5" x14ac:dyDescent="0.25">
      <c r="A1165" s="7"/>
      <c r="B1165" s="7"/>
      <c r="C1165" s="7"/>
      <c r="D1165" s="8"/>
      <c r="E1165" s="7"/>
    </row>
    <row r="1166" spans="1:5" x14ac:dyDescent="0.25">
      <c r="A1166" s="7"/>
      <c r="B1166" s="7"/>
      <c r="C1166" s="7"/>
      <c r="D1166" s="8"/>
      <c r="E1166" s="7"/>
    </row>
    <row r="1167" spans="1:5" x14ac:dyDescent="0.25">
      <c r="A1167" s="7"/>
      <c r="B1167" s="7"/>
      <c r="C1167" s="7"/>
      <c r="D1167" s="8"/>
      <c r="E1167" s="7"/>
    </row>
    <row r="1168" spans="1:5" x14ac:dyDescent="0.25">
      <c r="A1168" s="7"/>
      <c r="B1168" s="7"/>
      <c r="C1168" s="7"/>
      <c r="D1168" s="8"/>
      <c r="E1168" s="7"/>
    </row>
    <row r="1169" spans="1:5" x14ac:dyDescent="0.25">
      <c r="A1169" s="7"/>
      <c r="B1169" s="7"/>
      <c r="C1169" s="7"/>
      <c r="D1169" s="8"/>
      <c r="E1169" s="7"/>
    </row>
    <row r="1170" spans="1:5" x14ac:dyDescent="0.25">
      <c r="A1170" s="7"/>
      <c r="B1170" s="7"/>
      <c r="C1170" s="7"/>
      <c r="D1170" s="8"/>
      <c r="E1170" s="7"/>
    </row>
    <row r="1171" spans="1:5" x14ac:dyDescent="0.25">
      <c r="A1171" s="7"/>
      <c r="B1171" s="7"/>
      <c r="C1171" s="7"/>
      <c r="D1171" s="8"/>
      <c r="E1171" s="7"/>
    </row>
    <row r="1172" spans="1:5" x14ac:dyDescent="0.25">
      <c r="A1172" s="7"/>
      <c r="B1172" s="7"/>
      <c r="C1172" s="7"/>
      <c r="D1172" s="8"/>
      <c r="E1172" s="7"/>
    </row>
    <row r="1173" spans="1:5" x14ac:dyDescent="0.25">
      <c r="A1173" s="7"/>
      <c r="B1173" s="7"/>
      <c r="C1173" s="7"/>
      <c r="D1173" s="8"/>
      <c r="E1173" s="7"/>
    </row>
    <row r="1174" spans="1:5" x14ac:dyDescent="0.25">
      <c r="A1174" s="7"/>
      <c r="B1174" s="7"/>
      <c r="C1174" s="7"/>
      <c r="D1174" s="8"/>
      <c r="E1174" s="7"/>
    </row>
    <row r="1175" spans="1:5" x14ac:dyDescent="0.25">
      <c r="A1175" s="7"/>
      <c r="B1175" s="7"/>
      <c r="C1175" s="7"/>
      <c r="D1175" s="8"/>
      <c r="E1175" s="7"/>
    </row>
    <row r="1176" spans="1:5" x14ac:dyDescent="0.25">
      <c r="A1176" s="7"/>
      <c r="B1176" s="7"/>
      <c r="C1176" s="7"/>
      <c r="D1176" s="8"/>
      <c r="E1176" s="7"/>
    </row>
    <row r="1177" spans="1:5" x14ac:dyDescent="0.25">
      <c r="A1177" s="7"/>
      <c r="B1177" s="7"/>
      <c r="C1177" s="7"/>
      <c r="D1177" s="8"/>
      <c r="E1177" s="7"/>
    </row>
    <row r="1178" spans="1:5" x14ac:dyDescent="0.25">
      <c r="A1178" s="7"/>
      <c r="B1178" s="7"/>
      <c r="C1178" s="7"/>
      <c r="D1178" s="8"/>
      <c r="E1178" s="7"/>
    </row>
    <row r="1179" spans="1:5" x14ac:dyDescent="0.25">
      <c r="A1179" s="7"/>
      <c r="B1179" s="7"/>
      <c r="C1179" s="7"/>
      <c r="D1179" s="8"/>
      <c r="E1179" s="7"/>
    </row>
    <row r="1180" spans="1:5" x14ac:dyDescent="0.25">
      <c r="A1180" s="7"/>
      <c r="B1180" s="7"/>
      <c r="C1180" s="7"/>
      <c r="D1180" s="8"/>
      <c r="E1180" s="7"/>
    </row>
    <row r="1181" spans="1:5" x14ac:dyDescent="0.25">
      <c r="A1181" s="7"/>
      <c r="B1181" s="7"/>
      <c r="C1181" s="7"/>
      <c r="D1181" s="8"/>
      <c r="E1181" s="7"/>
    </row>
    <row r="1182" spans="1:5" x14ac:dyDescent="0.25">
      <c r="A1182" s="7"/>
      <c r="B1182" s="7"/>
      <c r="C1182" s="7"/>
      <c r="D1182" s="8"/>
      <c r="E1182" s="7"/>
    </row>
    <row r="1183" spans="1:5" x14ac:dyDescent="0.25">
      <c r="A1183" s="7"/>
      <c r="B1183" s="7"/>
      <c r="C1183" s="7"/>
      <c r="D1183" s="8"/>
      <c r="E1183" s="7"/>
    </row>
    <row r="1184" spans="1:5" x14ac:dyDescent="0.25">
      <c r="A1184" s="7"/>
      <c r="B1184" s="7"/>
      <c r="C1184" s="7"/>
      <c r="D1184" s="8"/>
      <c r="E1184" s="7"/>
    </row>
    <row r="1185" spans="1:5" x14ac:dyDescent="0.25">
      <c r="A1185" s="7"/>
      <c r="B1185" s="7"/>
      <c r="C1185" s="7"/>
      <c r="D1185" s="8"/>
      <c r="E1185" s="7"/>
    </row>
    <row r="1186" spans="1:5" x14ac:dyDescent="0.25">
      <c r="A1186" s="7"/>
      <c r="B1186" s="7"/>
      <c r="C1186" s="7"/>
      <c r="D1186" s="8"/>
      <c r="E1186" s="7"/>
    </row>
    <row r="1187" spans="1:5" x14ac:dyDescent="0.25">
      <c r="A1187" s="7"/>
      <c r="B1187" s="7"/>
      <c r="C1187" s="7"/>
      <c r="D1187" s="8"/>
      <c r="E1187" s="7"/>
    </row>
    <row r="1188" spans="1:5" x14ac:dyDescent="0.25">
      <c r="A1188" s="7"/>
      <c r="B1188" s="7"/>
      <c r="C1188" s="7"/>
      <c r="D1188" s="8"/>
      <c r="E1188" s="7"/>
    </row>
    <row r="1189" spans="1:5" x14ac:dyDescent="0.25">
      <c r="A1189" s="7"/>
      <c r="B1189" s="7"/>
      <c r="C1189" s="7"/>
      <c r="D1189" s="8"/>
      <c r="E1189" s="7"/>
    </row>
    <row r="1190" spans="1:5" x14ac:dyDescent="0.25">
      <c r="A1190" s="7"/>
      <c r="B1190" s="7"/>
      <c r="C1190" s="7"/>
      <c r="D1190" s="8"/>
      <c r="E1190" s="7"/>
    </row>
    <row r="1191" spans="1:5" x14ac:dyDescent="0.25">
      <c r="A1191" s="7"/>
      <c r="B1191" s="7"/>
      <c r="C1191" s="7"/>
      <c r="D1191" s="8"/>
      <c r="E1191" s="7"/>
    </row>
    <row r="1192" spans="1:5" x14ac:dyDescent="0.25">
      <c r="A1192" s="7"/>
      <c r="B1192" s="7"/>
      <c r="C1192" s="7"/>
      <c r="D1192" s="8"/>
      <c r="E1192" s="7"/>
    </row>
    <row r="1193" spans="1:5" x14ac:dyDescent="0.25">
      <c r="A1193" s="7"/>
      <c r="B1193" s="7"/>
      <c r="C1193" s="7"/>
      <c r="D1193" s="8"/>
      <c r="E1193" s="7"/>
    </row>
    <row r="1194" spans="1:5" x14ac:dyDescent="0.25">
      <c r="A1194" s="7"/>
      <c r="B1194" s="7"/>
      <c r="C1194" s="7"/>
      <c r="D1194" s="8"/>
      <c r="E1194" s="7"/>
    </row>
    <row r="1195" spans="1:5" x14ac:dyDescent="0.25">
      <c r="A1195" s="7"/>
      <c r="B1195" s="7"/>
      <c r="C1195" s="7"/>
      <c r="D1195" s="8"/>
      <c r="E1195" s="7"/>
    </row>
    <row r="1196" spans="1:5" x14ac:dyDescent="0.25">
      <c r="A1196" s="7"/>
      <c r="B1196" s="7"/>
      <c r="C1196" s="7"/>
      <c r="D1196" s="8"/>
      <c r="E1196" s="7"/>
    </row>
    <row r="1197" spans="1:5" x14ac:dyDescent="0.25">
      <c r="A1197" s="7"/>
      <c r="B1197" s="7"/>
      <c r="C1197" s="7"/>
      <c r="D1197" s="8"/>
      <c r="E1197" s="7"/>
    </row>
    <row r="1198" spans="1:5" x14ac:dyDescent="0.25">
      <c r="A1198" s="7"/>
      <c r="B1198" s="7"/>
      <c r="C1198" s="7"/>
      <c r="D1198" s="8"/>
      <c r="E1198" s="7"/>
    </row>
    <row r="1199" spans="1:5" x14ac:dyDescent="0.25">
      <c r="A1199" s="7"/>
      <c r="B1199" s="7"/>
      <c r="C1199" s="7"/>
      <c r="D1199" s="8"/>
      <c r="E1199" s="7"/>
    </row>
    <row r="1200" spans="1:5" x14ac:dyDescent="0.25">
      <c r="A1200" s="7"/>
      <c r="B1200" s="7"/>
      <c r="C1200" s="7"/>
      <c r="D1200" s="8"/>
      <c r="E1200" s="7"/>
    </row>
    <row r="1201" spans="1:5" x14ac:dyDescent="0.25">
      <c r="A1201" s="7"/>
      <c r="B1201" s="7"/>
      <c r="C1201" s="7"/>
      <c r="D1201" s="8"/>
      <c r="E1201" s="7"/>
    </row>
    <row r="1202" spans="1:5" x14ac:dyDescent="0.25">
      <c r="A1202" s="7"/>
      <c r="B1202" s="7"/>
      <c r="C1202" s="7"/>
      <c r="D1202" s="8"/>
      <c r="E1202" s="7"/>
    </row>
    <row r="1203" spans="1:5" x14ac:dyDescent="0.25">
      <c r="A1203" s="7"/>
      <c r="B1203" s="7"/>
      <c r="C1203" s="7"/>
      <c r="D1203" s="8"/>
      <c r="E1203" s="7"/>
    </row>
    <row r="1204" spans="1:5" x14ac:dyDescent="0.25">
      <c r="A1204" s="7"/>
      <c r="B1204" s="7"/>
      <c r="C1204" s="7"/>
      <c r="D1204" s="8"/>
      <c r="E1204" s="7"/>
    </row>
    <row r="1205" spans="1:5" x14ac:dyDescent="0.25">
      <c r="A1205" s="7"/>
      <c r="B1205" s="7"/>
      <c r="C1205" s="7"/>
      <c r="D1205" s="8"/>
      <c r="E1205" s="7"/>
    </row>
    <row r="1206" spans="1:5" x14ac:dyDescent="0.25">
      <c r="A1206" s="7"/>
      <c r="B1206" s="7"/>
      <c r="C1206" s="7"/>
      <c r="D1206" s="8"/>
      <c r="E1206" s="7"/>
    </row>
    <row r="1207" spans="1:5" x14ac:dyDescent="0.25">
      <c r="A1207" s="7"/>
      <c r="B1207" s="7"/>
      <c r="C1207" s="7"/>
      <c r="D1207" s="8"/>
      <c r="E1207" s="7"/>
    </row>
    <row r="1208" spans="1:5" x14ac:dyDescent="0.25">
      <c r="A1208" s="7"/>
      <c r="B1208" s="7"/>
      <c r="C1208" s="7"/>
      <c r="D1208" s="8"/>
      <c r="E1208" s="7"/>
    </row>
    <row r="1209" spans="1:5" x14ac:dyDescent="0.25">
      <c r="A1209" s="7"/>
      <c r="B1209" s="7"/>
      <c r="C1209" s="7"/>
      <c r="D1209" s="8"/>
      <c r="E1209" s="7"/>
    </row>
    <row r="1210" spans="1:5" x14ac:dyDescent="0.25">
      <c r="A1210" s="7"/>
      <c r="B1210" s="7"/>
      <c r="C1210" s="7"/>
      <c r="D1210" s="7"/>
      <c r="E1210" s="7"/>
    </row>
    <row r="1211" spans="1:5" x14ac:dyDescent="0.25">
      <c r="A1211" s="7"/>
      <c r="B1211" s="7"/>
      <c r="C1211" s="7"/>
      <c r="D1211" s="7"/>
      <c r="E1211" s="7"/>
    </row>
    <row r="1212" spans="1:5" x14ac:dyDescent="0.25">
      <c r="A1212" s="7"/>
      <c r="B1212" s="7"/>
      <c r="C1212" s="7"/>
      <c r="D1212" s="7"/>
      <c r="E1212" s="7"/>
    </row>
    <row r="1213" spans="1:5" x14ac:dyDescent="0.25">
      <c r="A1213" s="7"/>
      <c r="B1213" s="7"/>
      <c r="C1213" s="7"/>
      <c r="D1213" s="8"/>
      <c r="E1213" s="7"/>
    </row>
    <row r="1214" spans="1:5" x14ac:dyDescent="0.25">
      <c r="A1214" s="7"/>
      <c r="B1214" s="7"/>
      <c r="C1214" s="7"/>
      <c r="D1214" s="8"/>
      <c r="E1214" s="7"/>
    </row>
    <row r="1215" spans="1:5" x14ac:dyDescent="0.25">
      <c r="A1215" s="7"/>
      <c r="B1215" s="7"/>
      <c r="C1215" s="7"/>
      <c r="D1215" s="8"/>
      <c r="E1215" s="7"/>
    </row>
    <row r="1216" spans="1:5" x14ac:dyDescent="0.25">
      <c r="A1216" s="7"/>
      <c r="B1216" s="7"/>
      <c r="C1216" s="7"/>
      <c r="D1216" s="8"/>
      <c r="E1216" s="7"/>
    </row>
    <row r="1217" spans="1:5" x14ac:dyDescent="0.25">
      <c r="A1217" s="7"/>
      <c r="B1217" s="7"/>
      <c r="C1217" s="7"/>
      <c r="D1217" s="8"/>
      <c r="E1217" s="7"/>
    </row>
    <row r="1218" spans="1:5" x14ac:dyDescent="0.25">
      <c r="A1218" s="7"/>
      <c r="B1218" s="7"/>
      <c r="C1218" s="7"/>
      <c r="D1218" s="8"/>
      <c r="E1218" s="7"/>
    </row>
    <row r="1219" spans="1:5" x14ac:dyDescent="0.25">
      <c r="A1219" s="7"/>
      <c r="B1219" s="7"/>
      <c r="C1219" s="7"/>
      <c r="D1219" s="8"/>
      <c r="E1219" s="7"/>
    </row>
    <row r="1220" spans="1:5" x14ac:dyDescent="0.25">
      <c r="A1220" s="7"/>
      <c r="B1220" s="7"/>
      <c r="C1220" s="7"/>
      <c r="D1220" s="8"/>
      <c r="E1220" s="7"/>
    </row>
    <row r="1221" spans="1:5" x14ac:dyDescent="0.25">
      <c r="A1221" s="7"/>
      <c r="B1221" s="7"/>
      <c r="C1221" s="7"/>
      <c r="D1221" s="8"/>
      <c r="E1221" s="7"/>
    </row>
    <row r="1222" spans="1:5" x14ac:dyDescent="0.25">
      <c r="A1222" s="7"/>
      <c r="B1222" s="7"/>
      <c r="C1222" s="7"/>
      <c r="D1222" s="8"/>
      <c r="E1222" s="7"/>
    </row>
    <row r="1223" spans="1:5" x14ac:dyDescent="0.25">
      <c r="A1223" s="7"/>
      <c r="B1223" s="7"/>
      <c r="C1223" s="7"/>
      <c r="D1223" s="8"/>
      <c r="E1223" s="7"/>
    </row>
    <row r="1224" spans="1:5" x14ac:dyDescent="0.25">
      <c r="A1224" s="7"/>
      <c r="B1224" s="7"/>
      <c r="C1224" s="7"/>
      <c r="D1224" s="8"/>
      <c r="E1224" s="7"/>
    </row>
    <row r="1225" spans="1:5" x14ac:dyDescent="0.25">
      <c r="A1225" s="7"/>
      <c r="B1225" s="7"/>
      <c r="C1225" s="7"/>
      <c r="D1225" s="8"/>
      <c r="E1225" s="7"/>
    </row>
    <row r="1226" spans="1:5" x14ac:dyDescent="0.25">
      <c r="A1226" s="7"/>
      <c r="B1226" s="7"/>
      <c r="C1226" s="7"/>
      <c r="D1226" s="8"/>
      <c r="E1226" s="7"/>
    </row>
    <row r="1227" spans="1:5" x14ac:dyDescent="0.25">
      <c r="A1227" s="7"/>
      <c r="B1227" s="7"/>
      <c r="C1227" s="7"/>
      <c r="D1227" s="8"/>
      <c r="E1227" s="7"/>
    </row>
    <row r="1228" spans="1:5" x14ac:dyDescent="0.25">
      <c r="A1228" s="7"/>
      <c r="B1228" s="7"/>
      <c r="C1228" s="7"/>
      <c r="D1228" s="8"/>
      <c r="E1228" s="7"/>
    </row>
    <row r="1229" spans="1:5" x14ac:dyDescent="0.25">
      <c r="A1229" s="7"/>
      <c r="B1229" s="7"/>
      <c r="C1229" s="7"/>
      <c r="D1229" s="8"/>
      <c r="E1229" s="7"/>
    </row>
    <row r="1230" spans="1:5" x14ac:dyDescent="0.25">
      <c r="A1230" s="7"/>
      <c r="B1230" s="7"/>
      <c r="C1230" s="7"/>
      <c r="D1230" s="8"/>
      <c r="E1230" s="7"/>
    </row>
    <row r="1231" spans="1:5" x14ac:dyDescent="0.25">
      <c r="A1231" s="7"/>
      <c r="B1231" s="7"/>
      <c r="C1231" s="7"/>
      <c r="D1231" s="8"/>
      <c r="E1231" s="7"/>
    </row>
    <row r="1232" spans="1:5" x14ac:dyDescent="0.25">
      <c r="A1232" s="7"/>
      <c r="B1232" s="7"/>
      <c r="C1232" s="7"/>
      <c r="D1232" s="8"/>
      <c r="E1232" s="7"/>
    </row>
    <row r="1233" spans="1:5" x14ac:dyDescent="0.25">
      <c r="A1233" s="7"/>
      <c r="B1233" s="7"/>
      <c r="C1233" s="7"/>
      <c r="D1233" s="8"/>
      <c r="E1233" s="7"/>
    </row>
    <row r="1234" spans="1:5" x14ac:dyDescent="0.25">
      <c r="A1234" s="7"/>
      <c r="B1234" s="7"/>
      <c r="C1234" s="7"/>
      <c r="D1234" s="8"/>
      <c r="E1234" s="7"/>
    </row>
    <row r="1235" spans="1:5" x14ac:dyDescent="0.25">
      <c r="A1235" s="7"/>
      <c r="B1235" s="7"/>
      <c r="C1235" s="7"/>
      <c r="D1235" s="8"/>
      <c r="E1235" s="7"/>
    </row>
    <row r="1236" spans="1:5" x14ac:dyDescent="0.25">
      <c r="A1236" s="7"/>
      <c r="B1236" s="7"/>
      <c r="C1236" s="7"/>
      <c r="D1236" s="8"/>
      <c r="E1236" s="7"/>
    </row>
    <row r="1237" spans="1:5" x14ac:dyDescent="0.25">
      <c r="A1237" s="7"/>
      <c r="B1237" s="7"/>
      <c r="C1237" s="7"/>
      <c r="D1237" s="8"/>
      <c r="E1237" s="7"/>
    </row>
    <row r="1238" spans="1:5" x14ac:dyDescent="0.25">
      <c r="A1238" s="7"/>
      <c r="B1238" s="7"/>
      <c r="C1238" s="7"/>
      <c r="D1238" s="8"/>
      <c r="E1238" s="7"/>
    </row>
    <row r="1239" spans="1:5" x14ac:dyDescent="0.25">
      <c r="A1239" s="7"/>
      <c r="B1239" s="7"/>
      <c r="C1239" s="7"/>
      <c r="D1239" s="8"/>
      <c r="E1239" s="7"/>
    </row>
    <row r="1240" spans="1:5" x14ac:dyDescent="0.25">
      <c r="A1240" s="7"/>
      <c r="B1240" s="7"/>
      <c r="C1240" s="7"/>
      <c r="D1240" s="8"/>
      <c r="E1240" s="7"/>
    </row>
    <row r="1241" spans="1:5" x14ac:dyDescent="0.25">
      <c r="A1241" s="7"/>
      <c r="B1241" s="7"/>
      <c r="C1241" s="7"/>
      <c r="D1241" s="8"/>
      <c r="E1241" s="7"/>
    </row>
    <row r="1242" spans="1:5" x14ac:dyDescent="0.25">
      <c r="A1242" s="7"/>
      <c r="B1242" s="7"/>
      <c r="C1242" s="7"/>
      <c r="D1242" s="8"/>
      <c r="E1242" s="7"/>
    </row>
    <row r="1243" spans="1:5" x14ac:dyDescent="0.25">
      <c r="A1243" s="7"/>
      <c r="B1243" s="7"/>
      <c r="C1243" s="7"/>
      <c r="D1243" s="8"/>
      <c r="E1243" s="7"/>
    </row>
    <row r="1244" spans="1:5" x14ac:dyDescent="0.25">
      <c r="A1244" s="7"/>
      <c r="B1244" s="7"/>
      <c r="C1244" s="7"/>
      <c r="D1244" s="8"/>
      <c r="E1244" s="7"/>
    </row>
    <row r="1245" spans="1:5" x14ac:dyDescent="0.25">
      <c r="A1245" s="7"/>
      <c r="B1245" s="7"/>
      <c r="C1245" s="7"/>
      <c r="D1245" s="8"/>
      <c r="E1245" s="7"/>
    </row>
    <row r="1246" spans="1:5" x14ac:dyDescent="0.25">
      <c r="A1246" s="7"/>
      <c r="B1246" s="7"/>
      <c r="C1246" s="7"/>
      <c r="D1246" s="8"/>
      <c r="E1246" s="7"/>
    </row>
    <row r="1247" spans="1:5" x14ac:dyDescent="0.25">
      <c r="A1247" s="7"/>
      <c r="B1247" s="7"/>
      <c r="C1247" s="7"/>
      <c r="D1247" s="8"/>
      <c r="E1247" s="7"/>
    </row>
    <row r="1248" spans="1:5" x14ac:dyDescent="0.25">
      <c r="A1248" s="7"/>
      <c r="B1248" s="7"/>
      <c r="C1248" s="7"/>
      <c r="D1248" s="8"/>
      <c r="E1248" s="7"/>
    </row>
    <row r="1249" spans="1:5" x14ac:dyDescent="0.25">
      <c r="A1249" s="7"/>
      <c r="B1249" s="7"/>
      <c r="C1249" s="7"/>
      <c r="D1249" s="8"/>
      <c r="E1249" s="7"/>
    </row>
    <row r="1250" spans="1:5" x14ac:dyDescent="0.25">
      <c r="A1250" s="7"/>
      <c r="B1250" s="7"/>
      <c r="C1250" s="7"/>
      <c r="D1250" s="8"/>
      <c r="E1250" s="7"/>
    </row>
    <row r="1251" spans="1:5" x14ac:dyDescent="0.25">
      <c r="A1251" s="7"/>
      <c r="B1251" s="7"/>
      <c r="C1251" s="7"/>
      <c r="D1251" s="8"/>
      <c r="E1251" s="7"/>
    </row>
    <row r="1252" spans="1:5" x14ac:dyDescent="0.25">
      <c r="A1252" s="7"/>
      <c r="B1252" s="7"/>
      <c r="C1252" s="7"/>
      <c r="D1252" s="8"/>
      <c r="E1252" s="7"/>
    </row>
    <row r="1253" spans="1:5" x14ac:dyDescent="0.25">
      <c r="A1253" s="7"/>
      <c r="B1253" s="7"/>
      <c r="C1253" s="7"/>
      <c r="D1253" s="8"/>
      <c r="E1253" s="7"/>
    </row>
    <row r="1254" spans="1:5" x14ac:dyDescent="0.25">
      <c r="A1254" s="7"/>
      <c r="B1254" s="7"/>
      <c r="C1254" s="7"/>
      <c r="D1254" s="8"/>
      <c r="E1254" s="7"/>
    </row>
    <row r="1255" spans="1:5" x14ac:dyDescent="0.25">
      <c r="A1255" s="7"/>
      <c r="B1255" s="7"/>
      <c r="C1255" s="7"/>
      <c r="D1255" s="8"/>
      <c r="E1255" s="7"/>
    </row>
    <row r="1256" spans="1:5" x14ac:dyDescent="0.25">
      <c r="A1256" s="7"/>
      <c r="B1256" s="7"/>
      <c r="C1256" s="7"/>
      <c r="D1256" s="8"/>
      <c r="E1256" s="7"/>
    </row>
    <row r="1257" spans="1:5" x14ac:dyDescent="0.25">
      <c r="A1257" s="7"/>
      <c r="B1257" s="7"/>
      <c r="C1257" s="7"/>
      <c r="D1257" s="8"/>
      <c r="E1257" s="7"/>
    </row>
    <row r="1258" spans="1:5" x14ac:dyDescent="0.25">
      <c r="A1258" s="7"/>
      <c r="B1258" s="7"/>
      <c r="C1258" s="7"/>
      <c r="D1258" s="8"/>
      <c r="E1258" s="7"/>
    </row>
    <row r="1259" spans="1:5" x14ac:dyDescent="0.25">
      <c r="A1259" s="7"/>
      <c r="B1259" s="7"/>
      <c r="C1259" s="7"/>
      <c r="D1259" s="8"/>
      <c r="E1259" s="7"/>
    </row>
    <row r="1260" spans="1:5" x14ac:dyDescent="0.25">
      <c r="A1260" s="7"/>
      <c r="B1260" s="7"/>
      <c r="C1260" s="7"/>
      <c r="D1260" s="8"/>
      <c r="E1260" s="7"/>
    </row>
    <row r="1261" spans="1:5" x14ac:dyDescent="0.25">
      <c r="A1261" s="7"/>
      <c r="B1261" s="7"/>
      <c r="C1261" s="7"/>
      <c r="D1261" s="8"/>
      <c r="E1261" s="7"/>
    </row>
    <row r="1262" spans="1:5" x14ac:dyDescent="0.25">
      <c r="A1262" s="7"/>
      <c r="B1262" s="7"/>
      <c r="C1262" s="7"/>
      <c r="D1262" s="8"/>
      <c r="E1262" s="7"/>
    </row>
    <row r="1263" spans="1:5" x14ac:dyDescent="0.25">
      <c r="A1263" s="7"/>
      <c r="B1263" s="7"/>
      <c r="C1263" s="7"/>
      <c r="D1263" s="8"/>
      <c r="E1263" s="7"/>
    </row>
    <row r="1264" spans="1:5" x14ac:dyDescent="0.25">
      <c r="A1264" s="7"/>
      <c r="B1264" s="7"/>
      <c r="C1264" s="7"/>
      <c r="D1264" s="8"/>
      <c r="E1264" s="7"/>
    </row>
    <row r="1265" spans="1:5" x14ac:dyDescent="0.25">
      <c r="A1265" s="7"/>
      <c r="B1265" s="7"/>
      <c r="C1265" s="7"/>
      <c r="D1265" s="8"/>
      <c r="E1265" s="7"/>
    </row>
    <row r="1266" spans="1:5" x14ac:dyDescent="0.25">
      <c r="A1266" s="7"/>
      <c r="B1266" s="7"/>
      <c r="C1266" s="7"/>
      <c r="D1266" s="8"/>
      <c r="E1266" s="7"/>
    </row>
    <row r="1267" spans="1:5" x14ac:dyDescent="0.25">
      <c r="A1267" s="7"/>
      <c r="B1267" s="7"/>
      <c r="C1267" s="7"/>
      <c r="D1267" s="8"/>
      <c r="E1267" s="7"/>
    </row>
    <row r="1268" spans="1:5" x14ac:dyDescent="0.25">
      <c r="A1268" s="7"/>
      <c r="B1268" s="7"/>
      <c r="C1268" s="7"/>
      <c r="D1268" s="8"/>
      <c r="E1268" s="7"/>
    </row>
    <row r="1269" spans="1:5" x14ac:dyDescent="0.25">
      <c r="A1269" s="7"/>
      <c r="B1269" s="7"/>
      <c r="C1269" s="7"/>
      <c r="D1269" s="8"/>
      <c r="E1269" s="7"/>
    </row>
    <row r="1270" spans="1:5" x14ac:dyDescent="0.25">
      <c r="A1270" s="7"/>
      <c r="B1270" s="7"/>
      <c r="C1270" s="7"/>
      <c r="D1270" s="8"/>
      <c r="E1270" s="7"/>
    </row>
    <row r="1271" spans="1:5" x14ac:dyDescent="0.25">
      <c r="A1271" s="7"/>
      <c r="B1271" s="7"/>
      <c r="C1271" s="7"/>
      <c r="D1271" s="8"/>
      <c r="E1271" s="7"/>
    </row>
    <row r="1272" spans="1:5" x14ac:dyDescent="0.25">
      <c r="A1272" s="7"/>
      <c r="B1272" s="7"/>
      <c r="C1272" s="7"/>
      <c r="D1272" s="8"/>
      <c r="E1272" s="7"/>
    </row>
    <row r="1273" spans="1:5" x14ac:dyDescent="0.25">
      <c r="A1273" s="7"/>
      <c r="B1273" s="7"/>
      <c r="C1273" s="7"/>
      <c r="D1273" s="8"/>
      <c r="E1273" s="7"/>
    </row>
    <row r="1274" spans="1:5" x14ac:dyDescent="0.25">
      <c r="A1274" s="7"/>
      <c r="B1274" s="7"/>
      <c r="C1274" s="7"/>
      <c r="D1274" s="8"/>
      <c r="E1274" s="7"/>
    </row>
    <row r="1275" spans="1:5" x14ac:dyDescent="0.25">
      <c r="A1275" s="7"/>
      <c r="B1275" s="7"/>
      <c r="C1275" s="7"/>
      <c r="D1275" s="8"/>
      <c r="E1275" s="7"/>
    </row>
    <row r="1276" spans="1:5" x14ac:dyDescent="0.25">
      <c r="A1276" s="7"/>
      <c r="B1276" s="7"/>
      <c r="C1276" s="7"/>
      <c r="D1276" s="8"/>
      <c r="E1276" s="7"/>
    </row>
    <row r="1277" spans="1:5" x14ac:dyDescent="0.25">
      <c r="A1277" s="7"/>
      <c r="B1277" s="7"/>
      <c r="C1277" s="7"/>
      <c r="D1277" s="8"/>
      <c r="E1277" s="7"/>
    </row>
    <row r="1278" spans="1:5" x14ac:dyDescent="0.25">
      <c r="A1278" s="7"/>
      <c r="B1278" s="7"/>
      <c r="C1278" s="7"/>
      <c r="D1278" s="8"/>
      <c r="E1278" s="7"/>
    </row>
    <row r="1279" spans="1:5" x14ac:dyDescent="0.25">
      <c r="A1279" s="7"/>
      <c r="B1279" s="7"/>
      <c r="C1279" s="7"/>
      <c r="D1279" s="8"/>
      <c r="E1279" s="7"/>
    </row>
    <row r="1280" spans="1:5" x14ac:dyDescent="0.25">
      <c r="A1280" s="7"/>
      <c r="B1280" s="7"/>
      <c r="C1280" s="7"/>
      <c r="D1280" s="8"/>
      <c r="E1280" s="7"/>
    </row>
    <row r="1281" spans="1:5" x14ac:dyDescent="0.25">
      <c r="A1281" s="7"/>
      <c r="B1281" s="7"/>
      <c r="C1281" s="7"/>
      <c r="D1281" s="8"/>
      <c r="E1281" s="7"/>
    </row>
    <row r="1282" spans="1:5" x14ac:dyDescent="0.25">
      <c r="A1282" s="7"/>
      <c r="B1282" s="7"/>
      <c r="C1282" s="7"/>
      <c r="D1282" s="8"/>
      <c r="E1282" s="7"/>
    </row>
    <row r="1283" spans="1:5" x14ac:dyDescent="0.25">
      <c r="A1283" s="7"/>
      <c r="B1283" s="7"/>
      <c r="C1283" s="7"/>
      <c r="D1283" s="8"/>
      <c r="E1283" s="7"/>
    </row>
    <row r="1284" spans="1:5" x14ac:dyDescent="0.25">
      <c r="A1284" s="7"/>
      <c r="B1284" s="7"/>
      <c r="C1284" s="7"/>
      <c r="D1284" s="8"/>
      <c r="E1284" s="7"/>
    </row>
    <row r="1285" spans="1:5" x14ac:dyDescent="0.25">
      <c r="A1285" s="7"/>
      <c r="B1285" s="7"/>
      <c r="C1285" s="7"/>
      <c r="D1285" s="8"/>
      <c r="E1285" s="7"/>
    </row>
    <row r="1286" spans="1:5" x14ac:dyDescent="0.25">
      <c r="A1286" s="7"/>
      <c r="B1286" s="7"/>
      <c r="C1286" s="7"/>
      <c r="D1286" s="8"/>
      <c r="E1286" s="7"/>
    </row>
    <row r="1287" spans="1:5" x14ac:dyDescent="0.25">
      <c r="A1287" s="7"/>
      <c r="B1287" s="7"/>
      <c r="C1287" s="7"/>
      <c r="D1287" s="8"/>
      <c r="E1287" s="7"/>
    </row>
    <row r="1288" spans="1:5" x14ac:dyDescent="0.25">
      <c r="A1288" s="7"/>
      <c r="B1288" s="7"/>
      <c r="C1288" s="7"/>
      <c r="D1288" s="8"/>
      <c r="E1288" s="7"/>
    </row>
    <row r="1289" spans="1:5" x14ac:dyDescent="0.25">
      <c r="A1289" s="7"/>
      <c r="B1289" s="7"/>
      <c r="C1289" s="7"/>
      <c r="D1289" s="8"/>
      <c r="E1289" s="7"/>
    </row>
    <row r="1290" spans="1:5" x14ac:dyDescent="0.25">
      <c r="A1290" s="7"/>
      <c r="B1290" s="7"/>
      <c r="C1290" s="7"/>
      <c r="D1290" s="8"/>
      <c r="E1290" s="7"/>
    </row>
    <row r="1291" spans="1:5" x14ac:dyDescent="0.25">
      <c r="A1291" s="7"/>
      <c r="B1291" s="7"/>
      <c r="C1291" s="7"/>
      <c r="D1291" s="8"/>
      <c r="E1291" s="7"/>
    </row>
    <row r="1292" spans="1:5" x14ac:dyDescent="0.25">
      <c r="A1292" s="7"/>
      <c r="B1292" s="7"/>
      <c r="C1292" s="7"/>
      <c r="D1292" s="8"/>
      <c r="E1292" s="7"/>
    </row>
    <row r="1293" spans="1:5" x14ac:dyDescent="0.25">
      <c r="A1293" s="7"/>
      <c r="B1293" s="7"/>
      <c r="C1293" s="7"/>
      <c r="D1293" s="8"/>
      <c r="E1293" s="7"/>
    </row>
    <row r="1294" spans="1:5" x14ac:dyDescent="0.25">
      <c r="A1294" s="7"/>
      <c r="B1294" s="7"/>
      <c r="C1294" s="7"/>
      <c r="D1294" s="8"/>
      <c r="E1294" s="7"/>
    </row>
    <row r="1295" spans="1:5" x14ac:dyDescent="0.25">
      <c r="A1295" s="7"/>
      <c r="B1295" s="7"/>
      <c r="C1295" s="7"/>
      <c r="D1295" s="8"/>
      <c r="E1295" s="7"/>
    </row>
    <row r="1296" spans="1:5" x14ac:dyDescent="0.25">
      <c r="A1296" s="7"/>
      <c r="B1296" s="7"/>
      <c r="C1296" s="7"/>
      <c r="D1296" s="8"/>
      <c r="E1296" s="7"/>
    </row>
    <row r="1297" spans="1:5" x14ac:dyDescent="0.25">
      <c r="A1297" s="7"/>
      <c r="B1297" s="7"/>
      <c r="C1297" s="7"/>
      <c r="D1297" s="8"/>
      <c r="E1297" s="7"/>
    </row>
    <row r="1298" spans="1:5" x14ac:dyDescent="0.25">
      <c r="A1298" s="7"/>
      <c r="B1298" s="7"/>
      <c r="C1298" s="7"/>
      <c r="D1298" s="8"/>
      <c r="E1298" s="7"/>
    </row>
    <row r="1299" spans="1:5" x14ac:dyDescent="0.25">
      <c r="A1299" s="7"/>
      <c r="B1299" s="7"/>
      <c r="C1299" s="7"/>
      <c r="D1299" s="8"/>
      <c r="E1299" s="7"/>
    </row>
    <row r="1300" spans="1:5" x14ac:dyDescent="0.25">
      <c r="A1300" s="7"/>
      <c r="B1300" s="7"/>
      <c r="C1300" s="7"/>
      <c r="D1300" s="8"/>
      <c r="E1300" s="7"/>
    </row>
    <row r="1301" spans="1:5" x14ac:dyDescent="0.25">
      <c r="A1301" s="7"/>
      <c r="B1301" s="7"/>
      <c r="C1301" s="7"/>
      <c r="D1301" s="8"/>
      <c r="E1301" s="7"/>
    </row>
    <row r="1302" spans="1:5" x14ac:dyDescent="0.25">
      <c r="A1302" s="7"/>
      <c r="B1302" s="7"/>
      <c r="C1302" s="7"/>
      <c r="D1302" s="8"/>
      <c r="E1302" s="7"/>
    </row>
    <row r="1303" spans="1:5" x14ac:dyDescent="0.25">
      <c r="A1303" s="7"/>
      <c r="B1303" s="7"/>
      <c r="C1303" s="7"/>
      <c r="D1303" s="8"/>
      <c r="E1303" s="7"/>
    </row>
    <row r="1304" spans="1:5" x14ac:dyDescent="0.25">
      <c r="A1304" s="7"/>
      <c r="B1304" s="7"/>
      <c r="C1304" s="7"/>
      <c r="D1304" s="8"/>
      <c r="E1304" s="7"/>
    </row>
    <row r="1305" spans="1:5" x14ac:dyDescent="0.25">
      <c r="A1305" s="7"/>
      <c r="B1305" s="7"/>
      <c r="C1305" s="7"/>
      <c r="D1305" s="8"/>
      <c r="E1305" s="7"/>
    </row>
    <row r="1306" spans="1:5" x14ac:dyDescent="0.25">
      <c r="A1306" s="7"/>
      <c r="B1306" s="7"/>
      <c r="C1306" s="7"/>
      <c r="D1306" s="8"/>
      <c r="E1306" s="7"/>
    </row>
    <row r="1307" spans="1:5" x14ac:dyDescent="0.25">
      <c r="A1307" s="7"/>
      <c r="B1307" s="7"/>
      <c r="C1307" s="7"/>
      <c r="D1307" s="8"/>
      <c r="E1307" s="7"/>
    </row>
    <row r="1308" spans="1:5" x14ac:dyDescent="0.25">
      <c r="A1308" s="7"/>
      <c r="B1308" s="7"/>
      <c r="C1308" s="7"/>
      <c r="D1308" s="8"/>
      <c r="E1308" s="7"/>
    </row>
    <row r="1309" spans="1:5" x14ac:dyDescent="0.25">
      <c r="A1309" s="7"/>
      <c r="B1309" s="7"/>
      <c r="C1309" s="7"/>
      <c r="D1309" s="8"/>
      <c r="E1309" s="7"/>
    </row>
    <row r="1310" spans="1:5" x14ac:dyDescent="0.25">
      <c r="A1310" s="7"/>
      <c r="B1310" s="7"/>
      <c r="C1310" s="7"/>
      <c r="D1310" s="8"/>
      <c r="E1310" s="7"/>
    </row>
    <row r="1311" spans="1:5" x14ac:dyDescent="0.25">
      <c r="A1311" s="7"/>
      <c r="B1311" s="7"/>
      <c r="C1311" s="7"/>
      <c r="D1311" s="8"/>
      <c r="E1311" s="7"/>
    </row>
    <row r="1312" spans="1:5" x14ac:dyDescent="0.25">
      <c r="A1312" s="7"/>
      <c r="B1312" s="7"/>
      <c r="C1312" s="7"/>
      <c r="D1312" s="8"/>
      <c r="E1312" s="7"/>
    </row>
    <row r="1313" spans="1:5" x14ac:dyDescent="0.25">
      <c r="A1313" s="7"/>
      <c r="B1313" s="7"/>
      <c r="C1313" s="7"/>
      <c r="D1313" s="8"/>
      <c r="E1313" s="7"/>
    </row>
    <row r="1314" spans="1:5" x14ac:dyDescent="0.25">
      <c r="A1314" s="7"/>
      <c r="B1314" s="7"/>
      <c r="C1314" s="7"/>
      <c r="D1314" s="8"/>
      <c r="E1314" s="7"/>
    </row>
    <row r="1315" spans="1:5" x14ac:dyDescent="0.25">
      <c r="A1315" s="7"/>
      <c r="B1315" s="7"/>
      <c r="C1315" s="7"/>
      <c r="D1315" s="8"/>
      <c r="E1315" s="7"/>
    </row>
    <row r="1316" spans="1:5" x14ac:dyDescent="0.25">
      <c r="A1316" s="7"/>
      <c r="B1316" s="7"/>
      <c r="C1316" s="7"/>
      <c r="D1316" s="8"/>
      <c r="E1316" s="7"/>
    </row>
    <row r="1317" spans="1:5" x14ac:dyDescent="0.25">
      <c r="A1317" s="7"/>
      <c r="B1317" s="7"/>
      <c r="C1317" s="7"/>
      <c r="D1317" s="8"/>
      <c r="E1317" s="7"/>
    </row>
    <row r="1318" spans="1:5" x14ac:dyDescent="0.25">
      <c r="A1318" s="7"/>
      <c r="B1318" s="7"/>
      <c r="C1318" s="7"/>
      <c r="D1318" s="8"/>
      <c r="E1318" s="7"/>
    </row>
    <row r="1319" spans="1:5" x14ac:dyDescent="0.25">
      <c r="A1319" s="7"/>
      <c r="B1319" s="7"/>
      <c r="C1319" s="7"/>
      <c r="D1319" s="8"/>
      <c r="E1319" s="7"/>
    </row>
    <row r="1320" spans="1:5" x14ac:dyDescent="0.25">
      <c r="A1320" s="7"/>
      <c r="B1320" s="7"/>
      <c r="C1320" s="7"/>
      <c r="D1320" s="8"/>
      <c r="E1320" s="7"/>
    </row>
    <row r="1321" spans="1:5" x14ac:dyDescent="0.25">
      <c r="A1321" s="7"/>
      <c r="B1321" s="7"/>
      <c r="C1321" s="7"/>
      <c r="D1321" s="8"/>
      <c r="E1321" s="7"/>
    </row>
    <row r="1322" spans="1:5" x14ac:dyDescent="0.25">
      <c r="A1322" s="7"/>
      <c r="B1322" s="7"/>
      <c r="C1322" s="7"/>
      <c r="D1322" s="8"/>
      <c r="E1322" s="7"/>
    </row>
    <row r="1323" spans="1:5" x14ac:dyDescent="0.25">
      <c r="A1323" s="7"/>
      <c r="B1323" s="7"/>
      <c r="C1323" s="7"/>
      <c r="D1323" s="8"/>
      <c r="E1323" s="7"/>
    </row>
    <row r="1324" spans="1:5" x14ac:dyDescent="0.25">
      <c r="A1324" s="7"/>
      <c r="B1324" s="7"/>
      <c r="C1324" s="7"/>
      <c r="D1324" s="8"/>
      <c r="E1324" s="7"/>
    </row>
    <row r="1325" spans="1:5" x14ac:dyDescent="0.25">
      <c r="A1325" s="7"/>
      <c r="B1325" s="7"/>
      <c r="C1325" s="7"/>
      <c r="D1325" s="8"/>
      <c r="E1325" s="7"/>
    </row>
    <row r="1326" spans="1:5" x14ac:dyDescent="0.25">
      <c r="A1326" s="7"/>
      <c r="B1326" s="7"/>
      <c r="C1326" s="7"/>
      <c r="D1326" s="8"/>
      <c r="E1326" s="7"/>
    </row>
    <row r="1327" spans="1:5" x14ac:dyDescent="0.25">
      <c r="A1327" s="7"/>
      <c r="B1327" s="7"/>
      <c r="C1327" s="7"/>
      <c r="D1327" s="8"/>
      <c r="E1327" s="7"/>
    </row>
    <row r="1328" spans="1:5" x14ac:dyDescent="0.25">
      <c r="A1328" s="7"/>
      <c r="B1328" s="7"/>
      <c r="C1328" s="7"/>
      <c r="D1328" s="8"/>
      <c r="E1328" s="7"/>
    </row>
    <row r="1329" spans="1:5" x14ac:dyDescent="0.25">
      <c r="A1329" s="7"/>
      <c r="B1329" s="7"/>
      <c r="C1329" s="7"/>
      <c r="D1329" s="8"/>
      <c r="E1329" s="7"/>
    </row>
    <row r="1330" spans="1:5" x14ac:dyDescent="0.25">
      <c r="A1330" s="7"/>
      <c r="B1330" s="7"/>
      <c r="C1330" s="7"/>
      <c r="D1330" s="8"/>
      <c r="E1330" s="7"/>
    </row>
    <row r="1331" spans="1:5" x14ac:dyDescent="0.25">
      <c r="A1331" s="7"/>
      <c r="B1331" s="7"/>
      <c r="C1331" s="7"/>
      <c r="D1331" s="8"/>
      <c r="E1331" s="7"/>
    </row>
    <row r="1332" spans="1:5" x14ac:dyDescent="0.25">
      <c r="A1332" s="7"/>
      <c r="B1332" s="7"/>
      <c r="C1332" s="7"/>
      <c r="D1332" s="8"/>
      <c r="E1332" s="7"/>
    </row>
    <row r="1333" spans="1:5" x14ac:dyDescent="0.25">
      <c r="A1333" s="7"/>
      <c r="B1333" s="7"/>
      <c r="C1333" s="7"/>
      <c r="D1333" s="8"/>
      <c r="E1333" s="7"/>
    </row>
    <row r="1334" spans="1:5" x14ac:dyDescent="0.25">
      <c r="A1334" s="7"/>
      <c r="B1334" s="7"/>
      <c r="C1334" s="7"/>
      <c r="D1334" s="8"/>
      <c r="E1334" s="7"/>
    </row>
    <row r="1335" spans="1:5" x14ac:dyDescent="0.25">
      <c r="A1335" s="7"/>
      <c r="B1335" s="7"/>
      <c r="C1335" s="7"/>
      <c r="D1335" s="8"/>
      <c r="E1335" s="7"/>
    </row>
    <row r="1336" spans="1:5" x14ac:dyDescent="0.25">
      <c r="A1336" s="7"/>
      <c r="B1336" s="7"/>
      <c r="C1336" s="7"/>
      <c r="D1336" s="8"/>
      <c r="E1336" s="7"/>
    </row>
    <row r="1337" spans="1:5" x14ac:dyDescent="0.25">
      <c r="A1337" s="7"/>
      <c r="B1337" s="7"/>
      <c r="C1337" s="7"/>
      <c r="D1337" s="8"/>
      <c r="E1337" s="7"/>
    </row>
    <row r="1338" spans="1:5" x14ac:dyDescent="0.25">
      <c r="A1338" s="7"/>
      <c r="B1338" s="7"/>
      <c r="C1338" s="7"/>
      <c r="D1338" s="8"/>
      <c r="E1338" s="7"/>
    </row>
    <row r="1339" spans="1:5" x14ac:dyDescent="0.25">
      <c r="A1339" s="7"/>
      <c r="B1339" s="7"/>
      <c r="C1339" s="7"/>
      <c r="D1339" s="8"/>
      <c r="E1339" s="7"/>
    </row>
    <row r="1340" spans="1:5" x14ac:dyDescent="0.25">
      <c r="A1340" s="7"/>
      <c r="B1340" s="7"/>
      <c r="C1340" s="7"/>
      <c r="D1340" s="8"/>
      <c r="E1340" s="7"/>
    </row>
    <row r="1341" spans="1:5" x14ac:dyDescent="0.25">
      <c r="A1341" s="7"/>
      <c r="B1341" s="7"/>
      <c r="C1341" s="7"/>
      <c r="D1341" s="8"/>
      <c r="E1341" s="7"/>
    </row>
    <row r="1342" spans="1:5" x14ac:dyDescent="0.25">
      <c r="A1342" s="7"/>
      <c r="B1342" s="7"/>
      <c r="C1342" s="7"/>
      <c r="D1342" s="8"/>
      <c r="E1342" s="7"/>
    </row>
    <row r="1343" spans="1:5" x14ac:dyDescent="0.25">
      <c r="A1343" s="7"/>
      <c r="B1343" s="7"/>
      <c r="C1343" s="7"/>
      <c r="D1343" s="8"/>
      <c r="E1343" s="7"/>
    </row>
    <row r="1344" spans="1:5" x14ac:dyDescent="0.25">
      <c r="A1344" s="7"/>
      <c r="B1344" s="7"/>
      <c r="C1344" s="7"/>
      <c r="D1344" s="8"/>
      <c r="E1344" s="7"/>
    </row>
    <row r="1345" spans="1:5" x14ac:dyDescent="0.25">
      <c r="A1345" s="7"/>
      <c r="B1345" s="7"/>
      <c r="C1345" s="7"/>
      <c r="D1345" s="8"/>
      <c r="E1345" s="7"/>
    </row>
    <row r="1346" spans="1:5" x14ac:dyDescent="0.25">
      <c r="A1346" s="7"/>
      <c r="B1346" s="7"/>
      <c r="C1346" s="7"/>
      <c r="D1346" s="8"/>
      <c r="E1346" s="7"/>
    </row>
    <row r="1347" spans="1:5" x14ac:dyDescent="0.25">
      <c r="A1347" s="7"/>
      <c r="B1347" s="7"/>
      <c r="C1347" s="7"/>
      <c r="D1347" s="8"/>
      <c r="E1347" s="7"/>
    </row>
    <row r="1348" spans="1:5" x14ac:dyDescent="0.25">
      <c r="A1348" s="7"/>
      <c r="B1348" s="7"/>
      <c r="C1348" s="7"/>
      <c r="D1348" s="8"/>
      <c r="E1348" s="7"/>
    </row>
    <row r="1349" spans="1:5" x14ac:dyDescent="0.25">
      <c r="A1349" s="7"/>
      <c r="B1349" s="7"/>
      <c r="C1349" s="7"/>
      <c r="D1349" s="8"/>
      <c r="E1349" s="7"/>
    </row>
    <row r="1350" spans="1:5" x14ac:dyDescent="0.25">
      <c r="A1350" s="7"/>
      <c r="B1350" s="7"/>
      <c r="C1350" s="7"/>
      <c r="D1350" s="8"/>
      <c r="E1350" s="7"/>
    </row>
    <row r="1351" spans="1:5" x14ac:dyDescent="0.25">
      <c r="A1351" s="7"/>
      <c r="B1351" s="7"/>
      <c r="C1351" s="7"/>
      <c r="D1351" s="8"/>
      <c r="E1351" s="7"/>
    </row>
    <row r="1352" spans="1:5" x14ac:dyDescent="0.25">
      <c r="A1352" s="7"/>
      <c r="B1352" s="7"/>
      <c r="C1352" s="7"/>
      <c r="D1352" s="8"/>
      <c r="E1352" s="7"/>
    </row>
    <row r="1353" spans="1:5" x14ac:dyDescent="0.25">
      <c r="A1353" s="7"/>
      <c r="B1353" s="7"/>
      <c r="C1353" s="7"/>
      <c r="D1353" s="8"/>
      <c r="E1353" s="7"/>
    </row>
    <row r="1354" spans="1:5" x14ac:dyDescent="0.25">
      <c r="A1354" s="7"/>
      <c r="B1354" s="7"/>
      <c r="C1354" s="7"/>
      <c r="D1354" s="8"/>
      <c r="E1354" s="7"/>
    </row>
    <row r="1355" spans="1:5" x14ac:dyDescent="0.25">
      <c r="A1355" s="7"/>
      <c r="B1355" s="7"/>
      <c r="C1355" s="7"/>
      <c r="D1355" s="8"/>
      <c r="E1355" s="7"/>
    </row>
    <row r="1356" spans="1:5" x14ac:dyDescent="0.25">
      <c r="A1356" s="7"/>
      <c r="B1356" s="7"/>
      <c r="C1356" s="7"/>
      <c r="D1356" s="8"/>
      <c r="E1356" s="7"/>
    </row>
    <row r="1357" spans="1:5" x14ac:dyDescent="0.25">
      <c r="A1357" s="7"/>
      <c r="B1357" s="7"/>
      <c r="C1357" s="7"/>
      <c r="D1357" s="8"/>
      <c r="E1357" s="7"/>
    </row>
    <row r="1358" spans="1:5" x14ac:dyDescent="0.25">
      <c r="A1358" s="7"/>
      <c r="B1358" s="7"/>
      <c r="C1358" s="7"/>
      <c r="D1358" s="8"/>
      <c r="E1358" s="7"/>
    </row>
    <row r="1359" spans="1:5" x14ac:dyDescent="0.25">
      <c r="A1359" s="7"/>
      <c r="B1359" s="7"/>
      <c r="C1359" s="7"/>
      <c r="D1359" s="8"/>
      <c r="E1359" s="7"/>
    </row>
    <row r="1360" spans="1:5" x14ac:dyDescent="0.25">
      <c r="A1360" s="7"/>
      <c r="B1360" s="7"/>
      <c r="C1360" s="7"/>
      <c r="D1360" s="8"/>
      <c r="E1360" s="7"/>
    </row>
    <row r="1361" spans="1:5" x14ac:dyDescent="0.25">
      <c r="A1361" s="7"/>
      <c r="B1361" s="7"/>
      <c r="C1361" s="7"/>
      <c r="D1361" s="8"/>
      <c r="E1361" s="7"/>
    </row>
    <row r="1362" spans="1:5" x14ac:dyDescent="0.25">
      <c r="A1362" s="7"/>
      <c r="B1362" s="7"/>
      <c r="C1362" s="7"/>
      <c r="D1362" s="8"/>
      <c r="E1362" s="7"/>
    </row>
    <row r="1363" spans="1:5" x14ac:dyDescent="0.25">
      <c r="A1363" s="7"/>
      <c r="B1363" s="7"/>
      <c r="C1363" s="7"/>
      <c r="D1363" s="8"/>
      <c r="E1363" s="7"/>
    </row>
    <row r="1364" spans="1:5" x14ac:dyDescent="0.25">
      <c r="A1364" s="7"/>
      <c r="B1364" s="7"/>
      <c r="C1364" s="7"/>
      <c r="D1364" s="8"/>
      <c r="E1364" s="7"/>
    </row>
    <row r="1365" spans="1:5" x14ac:dyDescent="0.25">
      <c r="A1365" s="7"/>
      <c r="B1365" s="7"/>
      <c r="C1365" s="7"/>
      <c r="D1365" s="8"/>
      <c r="E1365" s="7"/>
    </row>
    <row r="1366" spans="1:5" x14ac:dyDescent="0.25">
      <c r="A1366" s="7"/>
      <c r="B1366" s="7"/>
      <c r="C1366" s="7"/>
      <c r="D1366" s="8"/>
      <c r="E1366" s="7"/>
    </row>
    <row r="1367" spans="1:5" x14ac:dyDescent="0.25">
      <c r="A1367" s="7"/>
      <c r="B1367" s="7"/>
      <c r="C1367" s="7"/>
      <c r="D1367" s="8"/>
      <c r="E1367" s="7"/>
    </row>
    <row r="1368" spans="1:5" x14ac:dyDescent="0.25">
      <c r="A1368" s="7"/>
      <c r="B1368" s="7"/>
      <c r="C1368" s="7"/>
      <c r="D1368" s="8"/>
      <c r="E1368" s="7"/>
    </row>
    <row r="1369" spans="1:5" x14ac:dyDescent="0.25">
      <c r="A1369" s="7"/>
      <c r="B1369" s="7"/>
      <c r="C1369" s="7"/>
      <c r="D1369" s="8"/>
      <c r="E1369" s="7"/>
    </row>
    <row r="1370" spans="1:5" x14ac:dyDescent="0.25">
      <c r="A1370" s="7"/>
      <c r="B1370" s="7"/>
      <c r="C1370" s="7"/>
      <c r="D1370" s="8"/>
      <c r="E1370" s="7"/>
    </row>
    <row r="1371" spans="1:5" x14ac:dyDescent="0.25">
      <c r="A1371" s="7"/>
      <c r="B1371" s="7"/>
      <c r="C1371" s="7"/>
      <c r="D1371" s="8"/>
      <c r="E1371" s="7"/>
    </row>
    <row r="1372" spans="1:5" x14ac:dyDescent="0.25">
      <c r="A1372" s="7"/>
      <c r="B1372" s="7"/>
      <c r="C1372" s="7"/>
      <c r="D1372" s="8"/>
      <c r="E1372" s="7"/>
    </row>
    <row r="1373" spans="1:5" x14ac:dyDescent="0.25">
      <c r="A1373" s="7"/>
      <c r="B1373" s="7"/>
      <c r="C1373" s="7"/>
      <c r="D1373" s="8"/>
      <c r="E1373" s="7"/>
    </row>
    <row r="1374" spans="1:5" x14ac:dyDescent="0.25">
      <c r="A1374" s="7"/>
      <c r="B1374" s="7"/>
      <c r="C1374" s="7"/>
      <c r="D1374" s="8"/>
      <c r="E1374" s="7"/>
    </row>
    <row r="1375" spans="1:5" x14ac:dyDescent="0.25">
      <c r="A1375" s="7"/>
      <c r="B1375" s="7"/>
      <c r="C1375" s="7"/>
      <c r="D1375" s="8"/>
      <c r="E1375" s="7"/>
    </row>
    <row r="1376" spans="1:5" x14ac:dyDescent="0.25">
      <c r="A1376" s="7"/>
      <c r="B1376" s="7"/>
      <c r="C1376" s="7"/>
      <c r="D1376" s="8"/>
      <c r="E1376" s="7"/>
    </row>
    <row r="1377" spans="1:5" x14ac:dyDescent="0.25">
      <c r="A1377" s="7"/>
      <c r="B1377" s="7"/>
      <c r="C1377" s="7"/>
      <c r="D1377" s="8"/>
      <c r="E1377" s="7"/>
    </row>
    <row r="1378" spans="1:5" x14ac:dyDescent="0.25">
      <c r="A1378" s="7"/>
      <c r="B1378" s="7"/>
      <c r="C1378" s="7"/>
      <c r="D1378" s="8"/>
      <c r="E1378" s="7"/>
    </row>
    <row r="1379" spans="1:5" x14ac:dyDescent="0.25">
      <c r="A1379" s="7"/>
      <c r="B1379" s="7"/>
      <c r="C1379" s="7"/>
      <c r="D1379" s="8"/>
      <c r="E1379" s="7"/>
    </row>
    <row r="1380" spans="1:5" x14ac:dyDescent="0.25">
      <c r="A1380" s="7"/>
      <c r="B1380" s="7"/>
      <c r="C1380" s="7"/>
      <c r="D1380" s="8"/>
      <c r="E1380" s="7"/>
    </row>
    <row r="1381" spans="1:5" x14ac:dyDescent="0.25">
      <c r="A1381" s="7"/>
      <c r="B1381" s="7"/>
      <c r="C1381" s="7"/>
      <c r="D1381" s="8"/>
      <c r="E1381" s="7"/>
    </row>
    <row r="1382" spans="1:5" x14ac:dyDescent="0.25">
      <c r="A1382" s="7"/>
      <c r="B1382" s="7"/>
      <c r="C1382" s="7"/>
      <c r="D1382" s="8"/>
      <c r="E1382" s="7"/>
    </row>
    <row r="1383" spans="1:5" x14ac:dyDescent="0.25">
      <c r="A1383" s="7"/>
      <c r="B1383" s="7"/>
      <c r="C1383" s="7"/>
      <c r="D1383" s="8"/>
      <c r="E1383" s="7"/>
    </row>
    <row r="1384" spans="1:5" x14ac:dyDescent="0.25">
      <c r="A1384" s="7"/>
      <c r="B1384" s="7"/>
      <c r="C1384" s="7"/>
      <c r="D1384" s="8"/>
      <c r="E1384" s="7"/>
    </row>
    <row r="1385" spans="1:5" x14ac:dyDescent="0.25">
      <c r="A1385" s="7"/>
      <c r="B1385" s="7"/>
      <c r="C1385" s="7"/>
      <c r="D1385" s="8"/>
      <c r="E1385" s="7"/>
    </row>
    <row r="1386" spans="1:5" x14ac:dyDescent="0.25">
      <c r="A1386" s="7"/>
      <c r="B1386" s="7"/>
      <c r="C1386" s="7"/>
      <c r="D1386" s="8"/>
      <c r="E1386" s="7"/>
    </row>
    <row r="1387" spans="1:5" x14ac:dyDescent="0.25">
      <c r="A1387" s="7"/>
      <c r="B1387" s="7"/>
      <c r="C1387" s="7"/>
      <c r="D1387" s="8"/>
      <c r="E1387" s="7"/>
    </row>
    <row r="1388" spans="1:5" x14ac:dyDescent="0.25">
      <c r="A1388" s="7"/>
      <c r="B1388" s="7"/>
      <c r="C1388" s="7"/>
      <c r="D1388" s="8"/>
      <c r="E1388" s="7"/>
    </row>
    <row r="1389" spans="1:5" x14ac:dyDescent="0.25">
      <c r="A1389" s="7"/>
      <c r="B1389" s="7"/>
      <c r="C1389" s="7"/>
      <c r="D1389" s="8"/>
      <c r="E1389" s="7"/>
    </row>
    <row r="1390" spans="1:5" x14ac:dyDescent="0.25">
      <c r="A1390" s="7"/>
      <c r="B1390" s="7"/>
      <c r="C1390" s="7"/>
      <c r="D1390" s="8"/>
      <c r="E1390" s="7"/>
    </row>
    <row r="1391" spans="1:5" x14ac:dyDescent="0.25">
      <c r="A1391" s="7"/>
      <c r="B1391" s="7"/>
      <c r="C1391" s="7"/>
      <c r="D1391" s="8"/>
      <c r="E1391" s="7"/>
    </row>
    <row r="1392" spans="1:5" x14ac:dyDescent="0.25">
      <c r="A1392" s="7"/>
      <c r="B1392" s="7"/>
      <c r="C1392" s="7"/>
      <c r="D1392" s="8"/>
      <c r="E1392" s="7"/>
    </row>
    <row r="1393" spans="1:5" x14ac:dyDescent="0.25">
      <c r="A1393" s="7"/>
      <c r="B1393" s="7"/>
      <c r="C1393" s="7"/>
      <c r="D1393" s="8"/>
      <c r="E1393" s="7"/>
    </row>
    <row r="1394" spans="1:5" x14ac:dyDescent="0.25">
      <c r="A1394" s="7"/>
      <c r="B1394" s="7"/>
      <c r="C1394" s="7"/>
      <c r="D1394" s="8"/>
      <c r="E1394" s="7"/>
    </row>
    <row r="1395" spans="1:5" x14ac:dyDescent="0.25">
      <c r="A1395" s="7"/>
      <c r="B1395" s="7"/>
      <c r="C1395" s="7"/>
      <c r="D1395" s="8"/>
      <c r="E1395" s="7"/>
    </row>
    <row r="1396" spans="1:5" x14ac:dyDescent="0.25">
      <c r="A1396" s="7"/>
      <c r="B1396" s="7"/>
      <c r="C1396" s="7"/>
      <c r="D1396" s="8"/>
      <c r="E1396" s="7"/>
    </row>
    <row r="1397" spans="1:5" x14ac:dyDescent="0.25">
      <c r="A1397" s="7"/>
      <c r="B1397" s="7"/>
      <c r="C1397" s="7"/>
      <c r="D1397" s="8"/>
      <c r="E1397" s="7"/>
    </row>
    <row r="1398" spans="1:5" x14ac:dyDescent="0.25">
      <c r="A1398" s="7"/>
      <c r="B1398" s="7"/>
      <c r="C1398" s="7"/>
      <c r="D1398" s="8"/>
      <c r="E1398" s="7"/>
    </row>
    <row r="1399" spans="1:5" x14ac:dyDescent="0.25">
      <c r="A1399" s="7"/>
      <c r="B1399" s="7"/>
      <c r="C1399" s="7"/>
      <c r="D1399" s="8"/>
      <c r="E1399" s="7"/>
    </row>
    <row r="1400" spans="1:5" x14ac:dyDescent="0.25">
      <c r="A1400" s="7"/>
      <c r="B1400" s="7"/>
      <c r="C1400" s="7"/>
      <c r="D1400" s="8"/>
      <c r="E1400" s="7"/>
    </row>
    <row r="1401" spans="1:5" x14ac:dyDescent="0.25">
      <c r="A1401" s="7"/>
      <c r="B1401" s="7"/>
      <c r="C1401" s="7"/>
      <c r="D1401" s="8"/>
      <c r="E1401" s="7"/>
    </row>
    <row r="1402" spans="1:5" x14ac:dyDescent="0.25">
      <c r="A1402" s="7"/>
      <c r="B1402" s="7"/>
      <c r="C1402" s="7"/>
      <c r="D1402" s="8"/>
      <c r="E1402" s="7"/>
    </row>
    <row r="1403" spans="1:5" x14ac:dyDescent="0.25">
      <c r="A1403" s="7"/>
      <c r="B1403" s="7"/>
      <c r="C1403" s="7"/>
      <c r="D1403" s="8"/>
      <c r="E1403" s="7"/>
    </row>
    <row r="1404" spans="1:5" x14ac:dyDescent="0.25">
      <c r="A1404" s="7"/>
      <c r="B1404" s="7"/>
      <c r="C1404" s="7"/>
      <c r="D1404" s="8"/>
      <c r="E1404" s="7"/>
    </row>
    <row r="1405" spans="1:5" x14ac:dyDescent="0.25">
      <c r="A1405" s="7"/>
      <c r="B1405" s="7"/>
      <c r="C1405" s="7"/>
      <c r="D1405" s="8"/>
      <c r="E1405" s="7"/>
    </row>
    <row r="1406" spans="1:5" x14ac:dyDescent="0.25">
      <c r="A1406" s="7"/>
      <c r="B1406" s="7"/>
      <c r="C1406" s="7"/>
      <c r="D1406" s="8"/>
      <c r="E1406" s="7"/>
    </row>
    <row r="1407" spans="1:5" x14ac:dyDescent="0.25">
      <c r="A1407" s="7"/>
      <c r="B1407" s="7"/>
      <c r="C1407" s="7"/>
      <c r="D1407" s="8"/>
      <c r="E1407" s="7"/>
    </row>
    <row r="1408" spans="1:5" x14ac:dyDescent="0.25">
      <c r="A1408" s="7"/>
      <c r="B1408" s="7"/>
      <c r="C1408" s="7"/>
      <c r="D1408" s="8"/>
      <c r="E1408" s="7"/>
    </row>
    <row r="1409" spans="1:5" x14ac:dyDescent="0.25">
      <c r="A1409" s="7"/>
      <c r="B1409" s="7"/>
      <c r="C1409" s="7"/>
      <c r="D1409" s="8"/>
      <c r="E1409" s="7"/>
    </row>
    <row r="1410" spans="1:5" x14ac:dyDescent="0.25">
      <c r="A1410" s="7"/>
      <c r="B1410" s="7"/>
      <c r="C1410" s="7"/>
      <c r="D1410" s="8"/>
      <c r="E1410" s="7"/>
    </row>
    <row r="1411" spans="1:5" x14ac:dyDescent="0.25">
      <c r="A1411" s="7"/>
      <c r="B1411" s="7"/>
      <c r="C1411" s="7"/>
      <c r="D1411" s="8"/>
      <c r="E1411" s="7"/>
    </row>
    <row r="1412" spans="1:5" x14ac:dyDescent="0.25">
      <c r="A1412" s="7"/>
      <c r="B1412" s="7"/>
      <c r="C1412" s="7"/>
      <c r="D1412" s="8"/>
      <c r="E1412" s="7"/>
    </row>
    <row r="1413" spans="1:5" x14ac:dyDescent="0.25">
      <c r="A1413" s="7"/>
      <c r="B1413" s="7"/>
      <c r="C1413" s="7"/>
      <c r="D1413" s="8"/>
      <c r="E1413" s="7"/>
    </row>
    <row r="1414" spans="1:5" x14ac:dyDescent="0.25">
      <c r="A1414" s="7"/>
      <c r="B1414" s="7"/>
      <c r="C1414" s="7"/>
      <c r="D1414" s="8"/>
      <c r="E1414" s="7"/>
    </row>
    <row r="1415" spans="1:5" x14ac:dyDescent="0.25">
      <c r="A1415" s="7"/>
      <c r="B1415" s="7"/>
      <c r="C1415" s="7"/>
      <c r="D1415" s="8"/>
      <c r="E1415" s="7"/>
    </row>
    <row r="1416" spans="1:5" x14ac:dyDescent="0.25">
      <c r="A1416" s="7"/>
      <c r="B1416" s="7"/>
      <c r="C1416" s="7"/>
      <c r="D1416" s="8"/>
      <c r="E1416" s="7"/>
    </row>
    <row r="1417" spans="1:5" x14ac:dyDescent="0.25">
      <c r="A1417" s="7"/>
      <c r="B1417" s="7"/>
      <c r="C1417" s="7"/>
      <c r="D1417" s="8"/>
      <c r="E1417" s="7"/>
    </row>
    <row r="1418" spans="1:5" x14ac:dyDescent="0.25">
      <c r="A1418" s="7"/>
      <c r="B1418" s="7"/>
      <c r="C1418" s="7"/>
      <c r="D1418" s="8"/>
      <c r="E1418" s="7"/>
    </row>
    <row r="1419" spans="1:5" x14ac:dyDescent="0.25">
      <c r="A1419" s="7"/>
      <c r="B1419" s="7"/>
      <c r="C1419" s="7"/>
      <c r="D1419" s="8"/>
      <c r="E1419" s="7"/>
    </row>
    <row r="1420" spans="1:5" x14ac:dyDescent="0.25">
      <c r="A1420" s="7"/>
      <c r="B1420" s="7"/>
      <c r="C1420" s="7"/>
      <c r="D1420" s="8"/>
      <c r="E1420" s="7"/>
    </row>
    <row r="1421" spans="1:5" x14ac:dyDescent="0.25">
      <c r="A1421" s="7"/>
      <c r="B1421" s="7"/>
      <c r="C1421" s="7"/>
      <c r="D1421" s="8"/>
      <c r="E1421" s="7"/>
    </row>
    <row r="1422" spans="1:5" x14ac:dyDescent="0.25">
      <c r="A1422" s="7"/>
      <c r="B1422" s="7"/>
      <c r="C1422" s="7"/>
      <c r="D1422" s="8"/>
      <c r="E1422" s="7"/>
    </row>
    <row r="1423" spans="1:5" x14ac:dyDescent="0.25">
      <c r="A1423" s="7"/>
      <c r="B1423" s="7"/>
      <c r="C1423" s="7"/>
      <c r="D1423" s="8"/>
      <c r="E1423" s="7"/>
    </row>
    <row r="1424" spans="1:5" x14ac:dyDescent="0.25">
      <c r="A1424" s="7"/>
      <c r="B1424" s="7"/>
      <c r="C1424" s="7"/>
      <c r="D1424" s="8"/>
      <c r="E1424" s="7"/>
    </row>
    <row r="1425" spans="1:5" x14ac:dyDescent="0.25">
      <c r="A1425" s="7"/>
      <c r="B1425" s="7"/>
      <c r="C1425" s="7"/>
      <c r="D1425" s="8"/>
      <c r="E1425" s="7"/>
    </row>
    <row r="1426" spans="1:5" x14ac:dyDescent="0.25">
      <c r="A1426" s="7"/>
      <c r="B1426" s="7"/>
      <c r="C1426" s="7"/>
      <c r="D1426" s="8"/>
      <c r="E1426" s="7"/>
    </row>
    <row r="1427" spans="1:5" x14ac:dyDescent="0.25">
      <c r="A1427" s="7"/>
      <c r="B1427" s="7"/>
      <c r="C1427" s="7"/>
      <c r="D1427" s="8"/>
      <c r="E1427" s="7"/>
    </row>
    <row r="1428" spans="1:5" x14ac:dyDescent="0.25">
      <c r="A1428" s="7"/>
      <c r="B1428" s="7"/>
      <c r="C1428" s="7"/>
      <c r="D1428" s="8"/>
      <c r="E1428" s="7"/>
    </row>
    <row r="1429" spans="1:5" x14ac:dyDescent="0.25">
      <c r="A1429" s="7"/>
      <c r="B1429" s="7"/>
      <c r="C1429" s="7"/>
      <c r="D1429" s="8"/>
      <c r="E1429" s="7"/>
    </row>
    <row r="1430" spans="1:5" x14ac:dyDescent="0.25">
      <c r="A1430" s="7"/>
      <c r="B1430" s="7"/>
      <c r="C1430" s="7"/>
      <c r="D1430" s="8"/>
      <c r="E1430" s="7"/>
    </row>
    <row r="1431" spans="1:5" x14ac:dyDescent="0.25">
      <c r="A1431" s="7"/>
      <c r="B1431" s="7"/>
      <c r="C1431" s="7"/>
      <c r="D1431" s="8"/>
      <c r="E1431" s="7"/>
    </row>
    <row r="1432" spans="1:5" x14ac:dyDescent="0.25">
      <c r="A1432" s="7"/>
      <c r="B1432" s="7"/>
      <c r="C1432" s="7"/>
      <c r="D1432" s="8"/>
      <c r="E1432" s="7"/>
    </row>
    <row r="1433" spans="1:5" x14ac:dyDescent="0.25">
      <c r="A1433" s="7"/>
      <c r="B1433" s="7"/>
      <c r="C1433" s="7"/>
      <c r="D1433" s="8"/>
      <c r="E1433" s="7"/>
    </row>
    <row r="1434" spans="1:5" x14ac:dyDescent="0.25">
      <c r="A1434" s="7"/>
      <c r="B1434" s="7"/>
      <c r="C1434" s="7"/>
      <c r="D1434" s="8"/>
      <c r="E1434" s="7"/>
    </row>
    <row r="1435" spans="1:5" x14ac:dyDescent="0.25">
      <c r="A1435" s="7"/>
      <c r="B1435" s="7"/>
      <c r="C1435" s="7"/>
      <c r="D1435" s="8"/>
      <c r="E1435" s="7"/>
    </row>
    <row r="1436" spans="1:5" x14ac:dyDescent="0.25">
      <c r="A1436" s="7"/>
      <c r="B1436" s="7"/>
      <c r="C1436" s="7"/>
      <c r="D1436" s="8"/>
      <c r="E1436" s="7"/>
    </row>
    <row r="1437" spans="1:5" x14ac:dyDescent="0.25">
      <c r="A1437" s="7"/>
      <c r="B1437" s="7"/>
      <c r="C1437" s="7"/>
      <c r="D1437" s="8"/>
      <c r="E1437" s="7"/>
    </row>
    <row r="1438" spans="1:5" x14ac:dyDescent="0.25">
      <c r="A1438" s="7"/>
      <c r="B1438" s="7"/>
      <c r="C1438" s="7"/>
      <c r="D1438" s="8"/>
      <c r="E1438" s="7"/>
    </row>
    <row r="1439" spans="1:5" x14ac:dyDescent="0.25">
      <c r="A1439" s="7"/>
      <c r="B1439" s="7"/>
      <c r="C1439" s="7"/>
      <c r="D1439" s="8"/>
      <c r="E1439" s="7"/>
    </row>
    <row r="1440" spans="1:5" x14ac:dyDescent="0.25">
      <c r="A1440" s="7"/>
      <c r="B1440" s="7"/>
      <c r="C1440" s="7"/>
      <c r="D1440" s="8"/>
      <c r="E1440" s="7"/>
    </row>
    <row r="1441" spans="1:5" x14ac:dyDescent="0.25">
      <c r="A1441" s="7"/>
      <c r="B1441" s="7"/>
      <c r="C1441" s="7"/>
      <c r="D1441" s="8"/>
      <c r="E1441" s="7"/>
    </row>
    <row r="1442" spans="1:5" x14ac:dyDescent="0.25">
      <c r="A1442" s="7"/>
      <c r="B1442" s="7"/>
      <c r="C1442" s="7"/>
      <c r="D1442" s="8"/>
      <c r="E1442" s="7"/>
    </row>
    <row r="1443" spans="1:5" x14ac:dyDescent="0.25">
      <c r="A1443" s="7"/>
      <c r="B1443" s="7"/>
      <c r="C1443" s="7"/>
      <c r="D1443" s="8"/>
      <c r="E1443" s="7"/>
    </row>
    <row r="1444" spans="1:5" x14ac:dyDescent="0.25">
      <c r="A1444" s="7"/>
      <c r="B1444" s="7"/>
      <c r="C1444" s="7"/>
      <c r="D1444" s="8"/>
      <c r="E1444" s="7"/>
    </row>
    <row r="1445" spans="1:5" x14ac:dyDescent="0.25">
      <c r="A1445" s="7"/>
      <c r="B1445" s="7"/>
      <c r="C1445" s="7"/>
      <c r="D1445" s="8"/>
      <c r="E1445" s="7"/>
    </row>
    <row r="1446" spans="1:5" x14ac:dyDescent="0.25">
      <c r="A1446" s="7"/>
      <c r="B1446" s="7"/>
      <c r="C1446" s="7"/>
      <c r="D1446" s="8"/>
      <c r="E1446" s="7"/>
    </row>
    <row r="1447" spans="1:5" x14ac:dyDescent="0.25">
      <c r="A1447" s="7"/>
      <c r="B1447" s="7"/>
      <c r="C1447" s="7"/>
      <c r="D1447" s="8"/>
      <c r="E1447" s="7"/>
    </row>
    <row r="1448" spans="1:5" x14ac:dyDescent="0.25">
      <c r="A1448" s="7"/>
      <c r="B1448" s="7"/>
      <c r="C1448" s="7"/>
      <c r="D1448" s="8"/>
      <c r="E1448" s="7"/>
    </row>
    <row r="1449" spans="1:5" x14ac:dyDescent="0.25">
      <c r="A1449" s="7"/>
      <c r="B1449" s="7"/>
      <c r="C1449" s="7"/>
      <c r="D1449" s="8"/>
      <c r="E1449" s="7"/>
    </row>
    <row r="1450" spans="1:5" x14ac:dyDescent="0.25">
      <c r="A1450" s="7"/>
      <c r="B1450" s="7"/>
      <c r="C1450" s="7"/>
      <c r="D1450" s="8"/>
      <c r="E1450" s="7"/>
    </row>
    <row r="1451" spans="1:5" x14ac:dyDescent="0.25">
      <c r="A1451" s="7"/>
      <c r="B1451" s="7"/>
      <c r="C1451" s="7"/>
      <c r="D1451" s="8"/>
      <c r="E1451" s="7"/>
    </row>
    <row r="1452" spans="1:5" x14ac:dyDescent="0.25">
      <c r="A1452" s="7"/>
      <c r="B1452" s="7"/>
      <c r="C1452" s="7"/>
      <c r="D1452" s="8"/>
      <c r="E1452" s="7"/>
    </row>
    <row r="1453" spans="1:5" x14ac:dyDescent="0.25">
      <c r="A1453" s="7"/>
      <c r="B1453" s="7"/>
      <c r="C1453" s="7"/>
      <c r="D1453" s="8"/>
      <c r="E1453" s="7"/>
    </row>
    <row r="1454" spans="1:5" x14ac:dyDescent="0.25">
      <c r="A1454" s="7"/>
      <c r="B1454" s="7"/>
      <c r="C1454" s="7"/>
      <c r="D1454" s="7"/>
      <c r="E1454" s="7"/>
    </row>
    <row r="1455" spans="1:5" x14ac:dyDescent="0.25">
      <c r="A1455" s="7"/>
      <c r="B1455" s="7"/>
      <c r="C1455" s="7"/>
      <c r="D1455" s="7"/>
      <c r="E1455" s="7"/>
    </row>
    <row r="1456" spans="1:5" x14ac:dyDescent="0.25">
      <c r="A1456" s="7"/>
      <c r="B1456" s="7"/>
      <c r="C1456" s="7"/>
      <c r="D1456" s="7"/>
      <c r="E1456" s="7"/>
    </row>
    <row r="1457" spans="1:5" x14ac:dyDescent="0.25">
      <c r="A1457" s="7"/>
      <c r="B1457" s="7"/>
      <c r="C1457" s="7"/>
      <c r="D1457" s="7"/>
      <c r="E1457" s="7"/>
    </row>
    <row r="1458" spans="1:5" x14ac:dyDescent="0.25">
      <c r="A1458" s="7"/>
      <c r="B1458" s="7"/>
      <c r="C1458" s="7"/>
      <c r="D1458" s="7"/>
      <c r="E1458" s="7"/>
    </row>
    <row r="1459" spans="1:5" x14ac:dyDescent="0.25">
      <c r="A1459" s="7"/>
      <c r="B1459" s="7"/>
      <c r="C1459" s="7"/>
      <c r="D1459" s="7"/>
      <c r="E1459" s="7"/>
    </row>
    <row r="1460" spans="1:5" x14ac:dyDescent="0.25">
      <c r="A1460" s="7"/>
      <c r="B1460" s="7"/>
      <c r="C1460" s="7"/>
      <c r="D1460" s="7"/>
      <c r="E1460" s="7"/>
    </row>
    <row r="1461" spans="1:5" x14ac:dyDescent="0.25">
      <c r="A1461" s="7"/>
      <c r="B1461" s="7"/>
      <c r="C1461" s="7"/>
      <c r="D1461" s="7"/>
      <c r="E1461" s="7"/>
    </row>
    <row r="1462" spans="1:5" x14ac:dyDescent="0.25">
      <c r="A1462" s="7"/>
      <c r="B1462" s="7"/>
      <c r="C1462" s="7"/>
      <c r="D1462" s="7"/>
      <c r="E1462" s="7"/>
    </row>
    <row r="1463" spans="1:5" x14ac:dyDescent="0.25">
      <c r="A1463" s="7"/>
      <c r="B1463" s="7"/>
    </row>
    <row r="1464" spans="1:5" x14ac:dyDescent="0.25">
      <c r="A1464" s="7"/>
      <c r="B1464" s="7"/>
    </row>
    <row r="1465" spans="1:5" x14ac:dyDescent="0.25">
      <c r="A1465" s="7"/>
      <c r="B1465" s="7"/>
    </row>
    <row r="1466" spans="1:5" x14ac:dyDescent="0.25">
      <c r="A1466" s="7"/>
      <c r="B1466" s="7"/>
    </row>
    <row r="1467" spans="1:5" x14ac:dyDescent="0.25">
      <c r="A1467" s="7"/>
      <c r="B1467" s="7"/>
    </row>
    <row r="1468" spans="1:5" x14ac:dyDescent="0.25">
      <c r="A1468" s="7"/>
      <c r="B1468" s="7"/>
    </row>
    <row r="1469" spans="1:5" x14ac:dyDescent="0.25">
      <c r="A1469" s="7"/>
      <c r="B1469" s="7"/>
    </row>
    <row r="1470" spans="1:5" x14ac:dyDescent="0.25">
      <c r="A1470" s="7"/>
      <c r="B1470" s="7"/>
    </row>
    <row r="1471" spans="1:5" x14ac:dyDescent="0.25">
      <c r="A1471" s="7"/>
      <c r="B1471" s="7"/>
    </row>
    <row r="1472" spans="1:5" x14ac:dyDescent="0.25">
      <c r="A1472" s="7"/>
      <c r="B1472" s="7"/>
    </row>
    <row r="1473" spans="1:2" x14ac:dyDescent="0.25">
      <c r="A1473" s="7"/>
      <c r="B1473" s="7"/>
    </row>
    <row r="1474" spans="1:2" x14ac:dyDescent="0.25">
      <c r="A1474" s="7"/>
      <c r="B1474" s="7"/>
    </row>
    <row r="1475" spans="1:2" x14ac:dyDescent="0.25">
      <c r="A1475" s="7"/>
      <c r="B1475" s="7"/>
    </row>
    <row r="1476" spans="1:2" x14ac:dyDescent="0.25">
      <c r="A1476" s="7"/>
      <c r="B1476" s="7"/>
    </row>
    <row r="1477" spans="1:2" x14ac:dyDescent="0.25">
      <c r="A1477" s="7"/>
      <c r="B1477" s="7"/>
    </row>
    <row r="1478" spans="1:2" x14ac:dyDescent="0.25">
      <c r="A1478" s="7"/>
      <c r="B1478" s="7"/>
    </row>
    <row r="1479" spans="1:2" x14ac:dyDescent="0.25">
      <c r="A1479" s="7"/>
      <c r="B1479" s="7"/>
    </row>
    <row r="1480" spans="1:2" x14ac:dyDescent="0.25">
      <c r="A1480" s="7"/>
      <c r="B1480" s="7"/>
    </row>
    <row r="1481" spans="1:2" x14ac:dyDescent="0.25">
      <c r="A1481" s="7"/>
      <c r="B1481" s="7"/>
    </row>
    <row r="1482" spans="1:2" x14ac:dyDescent="0.25">
      <c r="A1482" s="7"/>
      <c r="B1482" s="7"/>
    </row>
    <row r="1483" spans="1:2" x14ac:dyDescent="0.25">
      <c r="A1483" s="7"/>
      <c r="B1483" s="7"/>
    </row>
    <row r="1484" spans="1:2" x14ac:dyDescent="0.25">
      <c r="A1484" s="7"/>
      <c r="B1484" s="7"/>
    </row>
    <row r="1485" spans="1:2" x14ac:dyDescent="0.25">
      <c r="A1485" s="7"/>
      <c r="B1485" s="7"/>
    </row>
    <row r="1486" spans="1:2" x14ac:dyDescent="0.25">
      <c r="A1486" s="7"/>
    </row>
    <row r="1487" spans="1:2" x14ac:dyDescent="0.25">
      <c r="A1487" s="7"/>
    </row>
    <row r="1488" spans="1:2" x14ac:dyDescent="0.25">
      <c r="A1488" s="7"/>
    </row>
    <row r="1489" spans="1:1" x14ac:dyDescent="0.25">
      <c r="A1489" s="7"/>
    </row>
    <row r="1490" spans="1:1" x14ac:dyDescent="0.25">
      <c r="A1490" s="7"/>
    </row>
    <row r="1491" spans="1:1" x14ac:dyDescent="0.25">
      <c r="A1491" s="7"/>
    </row>
    <row r="1492" spans="1:1" x14ac:dyDescent="0.25">
      <c r="A1492" s="7"/>
    </row>
    <row r="1493" spans="1:1" x14ac:dyDescent="0.25">
      <c r="A1493" s="7"/>
    </row>
    <row r="1494" spans="1:1" x14ac:dyDescent="0.25">
      <c r="A1494" s="7"/>
    </row>
    <row r="1495" spans="1:1" x14ac:dyDescent="0.25">
      <c r="A1495" s="7"/>
    </row>
    <row r="1496" spans="1:1" x14ac:dyDescent="0.25">
      <c r="A1496" s="7"/>
    </row>
    <row r="1497" spans="1:1" x14ac:dyDescent="0.25">
      <c r="A1497" s="7"/>
    </row>
    <row r="1498" spans="1:1" x14ac:dyDescent="0.25">
      <c r="A1498" s="7"/>
    </row>
    <row r="1499" spans="1:1" x14ac:dyDescent="0.25">
      <c r="A1499" s="7"/>
    </row>
    <row r="1500" spans="1:1" x14ac:dyDescent="0.25">
      <c r="A1500" s="7"/>
    </row>
    <row r="1501" spans="1:1" x14ac:dyDescent="0.25">
      <c r="A1501" s="7"/>
    </row>
    <row r="1502" spans="1:1" x14ac:dyDescent="0.25">
      <c r="A1502" s="7"/>
    </row>
    <row r="1503" spans="1:1" x14ac:dyDescent="0.25">
      <c r="A1503" s="7"/>
    </row>
    <row r="1504" spans="1:1" x14ac:dyDescent="0.25">
      <c r="A1504" s="7"/>
    </row>
    <row r="1505" spans="1:1" x14ac:dyDescent="0.25">
      <c r="A1505" s="7"/>
    </row>
    <row r="1506" spans="1:1" x14ac:dyDescent="0.25">
      <c r="A1506" s="7"/>
    </row>
    <row r="1507" spans="1:1" x14ac:dyDescent="0.25">
      <c r="A1507" s="7"/>
    </row>
    <row r="1508" spans="1:1" x14ac:dyDescent="0.25">
      <c r="A1508" s="7"/>
    </row>
    <row r="1509" spans="1:1" x14ac:dyDescent="0.25">
      <c r="A1509" s="7"/>
    </row>
    <row r="1510" spans="1:1" x14ac:dyDescent="0.25">
      <c r="A1510" s="7"/>
    </row>
    <row r="1511" spans="1:1" x14ac:dyDescent="0.25">
      <c r="A1511" s="7"/>
    </row>
    <row r="1512" spans="1:1" x14ac:dyDescent="0.25">
      <c r="A1512" s="7"/>
    </row>
    <row r="1513" spans="1:1" x14ac:dyDescent="0.25">
      <c r="A1513" s="7"/>
    </row>
    <row r="1514" spans="1:1" x14ac:dyDescent="0.25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25" defaultRowHeight="15.75" x14ac:dyDescent="0.25"/>
  <cols>
    <col min="2" max="2" width="33.5" customWidth="1"/>
    <col min="3" max="3" width="21.5" customWidth="1"/>
    <col min="4" max="4" width="40.875" customWidth="1"/>
    <col min="5" max="5" width="22.75" customWidth="1"/>
    <col min="6" max="6" width="16.75" bestFit="1" customWidth="1"/>
  </cols>
  <sheetData>
    <row r="2" spans="2:5" x14ac:dyDescent="0.25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25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25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25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25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25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25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25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25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25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25">
      <c r="B13" t="s">
        <v>770</v>
      </c>
      <c r="C13" t="s">
        <v>759</v>
      </c>
      <c r="D13" t="s">
        <v>776</v>
      </c>
      <c r="E13" s="10"/>
    </row>
    <row r="14" spans="2:5" hidden="1" x14ac:dyDescent="0.25">
      <c r="B14" t="s">
        <v>770</v>
      </c>
      <c r="C14" t="s">
        <v>759</v>
      </c>
      <c r="D14" t="s">
        <v>777</v>
      </c>
      <c r="E14" s="10"/>
    </row>
    <row r="15" spans="2:5" hidden="1" x14ac:dyDescent="0.25">
      <c r="B15" t="s">
        <v>770</v>
      </c>
      <c r="C15" t="s">
        <v>759</v>
      </c>
      <c r="D15" t="s">
        <v>778</v>
      </c>
      <c r="E15" s="10"/>
    </row>
    <row r="16" spans="2:5" hidden="1" x14ac:dyDescent="0.25">
      <c r="B16" t="s">
        <v>770</v>
      </c>
      <c r="C16" t="s">
        <v>759</v>
      </c>
      <c r="D16" t="s">
        <v>779</v>
      </c>
      <c r="E16" s="10"/>
    </row>
    <row r="17" spans="2:7" hidden="1" x14ac:dyDescent="0.25">
      <c r="B17" t="s">
        <v>770</v>
      </c>
      <c r="C17" t="s">
        <v>759</v>
      </c>
      <c r="D17" t="s">
        <v>780</v>
      </c>
      <c r="E17" s="10"/>
    </row>
    <row r="18" spans="2:7" hidden="1" x14ac:dyDescent="0.25">
      <c r="B18" t="s">
        <v>770</v>
      </c>
      <c r="C18" t="s">
        <v>759</v>
      </c>
      <c r="D18" t="s">
        <v>781</v>
      </c>
      <c r="E18" s="10"/>
    </row>
    <row r="19" spans="2:7" hidden="1" x14ac:dyDescent="0.25">
      <c r="B19" t="s">
        <v>770</v>
      </c>
      <c r="C19" t="s">
        <v>759</v>
      </c>
      <c r="D19" t="s">
        <v>782</v>
      </c>
      <c r="E19" s="10"/>
    </row>
    <row r="20" spans="2:7" hidden="1" x14ac:dyDescent="0.25">
      <c r="B20" t="s">
        <v>770</v>
      </c>
      <c r="C20" t="s">
        <v>759</v>
      </c>
      <c r="D20" t="s">
        <v>783</v>
      </c>
      <c r="E20" s="10"/>
    </row>
    <row r="21" spans="2:7" hidden="1" x14ac:dyDescent="0.25">
      <c r="B21" t="s">
        <v>770</v>
      </c>
      <c r="C21" t="s">
        <v>759</v>
      </c>
      <c r="D21" t="s">
        <v>784</v>
      </c>
      <c r="E21" s="10"/>
    </row>
    <row r="22" spans="2:7" hidden="1" x14ac:dyDescent="0.25">
      <c r="B22" t="s">
        <v>770</v>
      </c>
      <c r="C22" t="s">
        <v>759</v>
      </c>
      <c r="D22" t="s">
        <v>785</v>
      </c>
      <c r="E22" s="10"/>
    </row>
    <row r="23" spans="2:7" hidden="1" x14ac:dyDescent="0.25">
      <c r="B23" t="s">
        <v>770</v>
      </c>
      <c r="C23" t="s">
        <v>759</v>
      </c>
      <c r="D23" t="s">
        <v>786</v>
      </c>
      <c r="E23" s="10"/>
    </row>
    <row r="24" spans="2:7" x14ac:dyDescent="0.25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25">
      <c r="B25" t="s">
        <v>771</v>
      </c>
      <c r="C25" t="s">
        <v>759</v>
      </c>
      <c r="D25" t="s">
        <v>788</v>
      </c>
      <c r="E25" s="10"/>
    </row>
    <row r="26" spans="2:7" hidden="1" x14ac:dyDescent="0.25">
      <c r="B26" t="s">
        <v>771</v>
      </c>
      <c r="C26" t="s">
        <v>759</v>
      </c>
      <c r="D26" t="s">
        <v>789</v>
      </c>
      <c r="E26" s="10"/>
    </row>
    <row r="27" spans="2:7" hidden="1" x14ac:dyDescent="0.25">
      <c r="B27" t="s">
        <v>771</v>
      </c>
      <c r="C27" t="s">
        <v>759</v>
      </c>
      <c r="D27" t="s">
        <v>790</v>
      </c>
      <c r="E27" s="10"/>
    </row>
    <row r="28" spans="2:7" hidden="1" x14ac:dyDescent="0.25">
      <c r="B28" t="s">
        <v>771</v>
      </c>
      <c r="C28" t="s">
        <v>759</v>
      </c>
      <c r="D28" t="s">
        <v>791</v>
      </c>
      <c r="E28" s="10"/>
    </row>
    <row r="29" spans="2:7" hidden="1" x14ac:dyDescent="0.25">
      <c r="B29" t="s">
        <v>771</v>
      </c>
      <c r="C29" t="s">
        <v>759</v>
      </c>
      <c r="D29" t="s">
        <v>792</v>
      </c>
      <c r="E29" s="10"/>
    </row>
    <row r="30" spans="2:7" hidden="1" x14ac:dyDescent="0.25">
      <c r="B30" t="s">
        <v>771</v>
      </c>
      <c r="C30" t="s">
        <v>759</v>
      </c>
      <c r="D30" t="s">
        <v>793</v>
      </c>
      <c r="E30" s="10"/>
    </row>
    <row r="31" spans="2:7" hidden="1" x14ac:dyDescent="0.25">
      <c r="B31" t="s">
        <v>771</v>
      </c>
      <c r="C31" t="s">
        <v>759</v>
      </c>
      <c r="D31" t="s">
        <v>794</v>
      </c>
      <c r="E31" s="10"/>
    </row>
    <row r="32" spans="2:7" hidden="1" x14ac:dyDescent="0.25">
      <c r="B32" t="s">
        <v>771</v>
      </c>
      <c r="C32" t="s">
        <v>759</v>
      </c>
      <c r="D32" t="s">
        <v>795</v>
      </c>
      <c r="E32" s="10"/>
    </row>
    <row r="33" spans="2:7" hidden="1" x14ac:dyDescent="0.25">
      <c r="B33" t="s">
        <v>771</v>
      </c>
      <c r="C33" t="s">
        <v>759</v>
      </c>
      <c r="D33" t="s">
        <v>796</v>
      </c>
      <c r="E33" s="10"/>
    </row>
    <row r="34" spans="2:7" hidden="1" x14ac:dyDescent="0.25">
      <c r="B34" t="s">
        <v>771</v>
      </c>
      <c r="C34" t="s">
        <v>759</v>
      </c>
      <c r="D34" t="s">
        <v>797</v>
      </c>
      <c r="E34" s="10"/>
    </row>
    <row r="35" spans="2:7" hidden="1" x14ac:dyDescent="0.25">
      <c r="B35" t="s">
        <v>771</v>
      </c>
      <c r="C35" t="s">
        <v>759</v>
      </c>
      <c r="D35" t="s">
        <v>798</v>
      </c>
      <c r="E35" s="10"/>
    </row>
    <row r="36" spans="2:7" x14ac:dyDescent="0.25">
      <c r="B36" t="s">
        <v>772</v>
      </c>
      <c r="C36" t="s">
        <v>759</v>
      </c>
      <c r="D36" t="s">
        <v>799</v>
      </c>
      <c r="E36" s="10">
        <f>SUM(computations!D645:D744)</f>
        <v>216371711.69781089</v>
      </c>
      <c r="G36" s="10">
        <f>E7+E5+E9</f>
        <v>226186346.58814651</v>
      </c>
    </row>
    <row r="37" spans="2:7" hidden="1" x14ac:dyDescent="0.25">
      <c r="B37" t="s">
        <v>772</v>
      </c>
      <c r="C37" t="s">
        <v>759</v>
      </c>
      <c r="D37" t="s">
        <v>801</v>
      </c>
      <c r="E37" s="10"/>
    </row>
    <row r="38" spans="2:7" hidden="1" x14ac:dyDescent="0.25">
      <c r="B38" t="s">
        <v>772</v>
      </c>
      <c r="C38" t="s">
        <v>759</v>
      </c>
      <c r="D38" t="s">
        <v>800</v>
      </c>
      <c r="E38" s="10"/>
    </row>
    <row r="39" spans="2:7" hidden="1" x14ac:dyDescent="0.25">
      <c r="B39" t="s">
        <v>772</v>
      </c>
      <c r="C39" t="s">
        <v>759</v>
      </c>
      <c r="D39" t="s">
        <v>802</v>
      </c>
      <c r="E39" s="10"/>
    </row>
    <row r="40" spans="2:7" hidden="1" x14ac:dyDescent="0.25">
      <c r="B40" t="s">
        <v>772</v>
      </c>
      <c r="C40" t="s">
        <v>759</v>
      </c>
      <c r="D40" t="s">
        <v>803</v>
      </c>
      <c r="E40" s="10"/>
    </row>
    <row r="41" spans="2:7" x14ac:dyDescent="0.25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25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25">
      <c r="B43" t="s">
        <v>773</v>
      </c>
      <c r="C43" t="s">
        <v>773</v>
      </c>
      <c r="D43" t="s">
        <v>773</v>
      </c>
      <c r="E43" s="10">
        <f>E24+E36+E41</f>
        <v>938768901.17011666</v>
      </c>
    </row>
    <row r="44" spans="2:7" x14ac:dyDescent="0.25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25">
      <c r="B45" t="s">
        <v>773</v>
      </c>
      <c r="C45" t="s">
        <v>773</v>
      </c>
      <c r="D45" t="s">
        <v>805</v>
      </c>
      <c r="E45">
        <f>E43/1000000000</f>
        <v>0.93876890117011669</v>
      </c>
    </row>
    <row r="56" spans="2:6" x14ac:dyDescent="0.25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2026-04-18T12:25:15Z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