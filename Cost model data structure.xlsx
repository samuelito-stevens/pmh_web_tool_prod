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st\OneDrive\Documents\Work\Projects\PMH web tool\Thailand\"/>
    </mc:Choice>
  </mc:AlternateContent>
  <xr:revisionPtr revIDLastSave="0" documentId="13_ncr:1_{5C5DA72D-ED9E-4D0C-9D81-C7F3DF753288}" xr6:coauthVersionLast="47" xr6:coauthVersionMax="47" xr10:uidLastSave="{00000000-0000-0000-0000-000000000000}"/>
  <bookViews>
    <workbookView xWindow="-120" yWindow="-120" windowWidth="29040" windowHeight="15720" xr2:uid="{0D2E9C17-1371-9741-AFE8-B54FBA3315B4}"/>
  </bookViews>
  <sheets>
    <sheet name="inputs" sheetId="1" r:id="rId1"/>
    <sheet name="computations" sheetId="2" r:id="rId2"/>
    <sheet name="outputs" sheetId="3" r:id="rId3"/>
  </sheets>
  <externalReferences>
    <externalReference r:id="rId4"/>
  </externalReferences>
  <definedNames>
    <definedName name="birth1">'[1]Admin Population'!$C$16</definedName>
    <definedName name="hrs_supervision_after_first_yr">'[1]Admin Training &amp; supervision'!$H$5</definedName>
    <definedName name="MMR">'[1]Admin Population'!$C$12</definedName>
    <definedName name="no_screened_pos_midwives_AN">'[1]Admin Population'!$C$40</definedName>
    <definedName name="No_visits_antenatal_period">'[1]Admin Screening &amp; treatment'!$C$6</definedName>
    <definedName name="Probability_of_still_birth">'[1]Admin Population'!$C$11</definedName>
    <definedName name="prop_accept_treatment">'[1]Admin Population'!$C$63</definedName>
    <definedName name="prop_access_clinics_AN">'[1]Admin Population'!$C$23</definedName>
    <definedName name="prop_screened_pos_year_1_AN">'[1]Admin Population'!$C$42</definedName>
    <definedName name="prop_screened_year_1">'[1]Admin Population'!$C$28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128" i="2"/>
  <c r="D149" i="2" l="1"/>
  <c r="D745" i="2" s="1"/>
  <c r="D150" i="2"/>
  <c r="D355" i="2" s="1"/>
  <c r="D500" i="2" s="1"/>
  <c r="D746" i="2" l="1"/>
  <c r="E22" i="1" l="1"/>
  <c r="E23" i="1" s="1"/>
  <c r="E21" i="1"/>
  <c r="E30" i="1"/>
  <c r="E80" i="1"/>
  <c r="E81" i="1"/>
  <c r="E84" i="1"/>
  <c r="E85" i="1"/>
  <c r="E83" i="1"/>
  <c r="E82" i="1"/>
  <c r="E698" i="2"/>
  <c r="E676" i="2"/>
  <c r="E720" i="2"/>
  <c r="E719" i="2"/>
  <c r="E674" i="2"/>
  <c r="E723" i="2"/>
  <c r="E725" i="2"/>
  <c r="E705" i="2"/>
  <c r="E160" i="2"/>
  <c r="E428" i="2"/>
  <c r="E689" i="2"/>
  <c r="E717" i="2"/>
  <c r="E679" i="2"/>
  <c r="E739" i="2"/>
  <c r="E678" i="2"/>
  <c r="E715" i="2"/>
  <c r="E670" i="2"/>
  <c r="E681" i="2"/>
  <c r="E702" i="2"/>
  <c r="E686" i="2"/>
  <c r="E673" i="2"/>
  <c r="E728" i="2"/>
  <c r="E716" i="2"/>
  <c r="E691" i="2"/>
  <c r="E711" i="2"/>
  <c r="E721" i="2"/>
  <c r="E731" i="2"/>
  <c r="E680" i="2"/>
  <c r="E729" i="2"/>
  <c r="E738" i="2"/>
  <c r="E734" i="2"/>
  <c r="E730" i="2"/>
  <c r="E687" i="2"/>
  <c r="E744" i="2"/>
  <c r="E735" i="2"/>
  <c r="E732" i="2"/>
  <c r="E692" i="2"/>
  <c r="E710" i="2"/>
  <c r="E712" i="2"/>
  <c r="E707" i="2"/>
  <c r="E709" i="2"/>
  <c r="E733" i="2"/>
  <c r="E685" i="2"/>
  <c r="E695" i="2"/>
  <c r="E714" i="2"/>
  <c r="E736" i="2"/>
  <c r="E743" i="2"/>
  <c r="E355" i="2"/>
  <c r="E737" i="2"/>
  <c r="E700" i="2"/>
  <c r="E699" i="2"/>
  <c r="E684" i="2"/>
  <c r="E151" i="2"/>
  <c r="E693" i="2"/>
  <c r="E697" i="2"/>
  <c r="E704" i="2"/>
  <c r="E741" i="2"/>
  <c r="E675" i="2"/>
  <c r="E696" i="2"/>
  <c r="E682" i="2"/>
  <c r="E677" i="2"/>
  <c r="E706" i="2"/>
  <c r="E740" i="2"/>
  <c r="E2" i="2"/>
  <c r="E708" i="2"/>
  <c r="E683" i="2"/>
  <c r="E726" i="2"/>
  <c r="E672" i="2"/>
  <c r="E688" i="2"/>
  <c r="E713" i="2"/>
  <c r="E718" i="2"/>
  <c r="E703" i="2"/>
  <c r="E701" i="2"/>
  <c r="E690" i="2"/>
  <c r="E722" i="2"/>
  <c r="E742" i="2"/>
  <c r="E724" i="2"/>
  <c r="E694" i="2"/>
  <c r="E727" i="2"/>
  <c r="E671" i="2"/>
  <c r="D3" i="2" l="1"/>
  <c r="D50" i="2" l="1"/>
  <c r="D158" i="2"/>
  <c r="D277" i="2" s="1"/>
  <c r="D278" i="2" s="1"/>
  <c r="D279" i="2" s="1"/>
  <c r="D280" i="2" s="1"/>
  <c r="D151" i="2"/>
  <c r="D159" i="2"/>
  <c r="D316" i="2" s="1"/>
  <c r="D317" i="2" s="1"/>
  <c r="D318" i="2" s="1"/>
  <c r="D319" i="2" s="1"/>
  <c r="D152" i="2"/>
  <c r="D747" i="2" s="1"/>
  <c r="D153" i="2"/>
  <c r="D748" i="2" s="1"/>
  <c r="D154" i="2"/>
  <c r="D749" i="2" s="1"/>
  <c r="D155" i="2"/>
  <c r="D156" i="2"/>
  <c r="D157" i="2"/>
  <c r="D238" i="2" s="1"/>
  <c r="D239" i="2" s="1"/>
  <c r="D240" i="2" s="1"/>
  <c r="D241" i="2" s="1"/>
  <c r="D4" i="2"/>
  <c r="D16" i="2" s="1"/>
  <c r="D14" i="2"/>
  <c r="D15" i="2"/>
  <c r="D87" i="2"/>
  <c r="D124" i="2" s="1"/>
  <c r="D26" i="2"/>
  <c r="D63" i="2" s="1"/>
  <c r="D100" i="2" s="1"/>
  <c r="D27" i="2"/>
  <c r="D38" i="2"/>
  <c r="D137" i="2" s="1"/>
  <c r="D39" i="2"/>
  <c r="D138" i="2" s="1"/>
  <c r="D126" i="2" l="1"/>
  <c r="D160" i="2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750" i="2"/>
  <c r="D320" i="2"/>
  <c r="D464" i="2"/>
  <c r="D609" i="2" s="1"/>
  <c r="D53" i="2"/>
  <c r="D90" i="2" s="1"/>
  <c r="D392" i="2"/>
  <c r="D537" i="2" s="1"/>
  <c r="D242" i="2"/>
  <c r="D281" i="2"/>
  <c r="D428" i="2"/>
  <c r="D573" i="2" s="1"/>
  <c r="D199" i="2"/>
  <c r="D200" i="2" s="1"/>
  <c r="D201" i="2" s="1"/>
  <c r="D202" i="2" s="1"/>
  <c r="D751" i="2"/>
  <c r="D125" i="2"/>
  <c r="D51" i="2"/>
  <c r="D88" i="2" s="1"/>
  <c r="E9" i="3"/>
  <c r="E8" i="3"/>
  <c r="D5" i="2"/>
  <c r="D41" i="2" s="1"/>
  <c r="D28" i="2"/>
  <c r="D65" i="2" s="1"/>
  <c r="D102" i="2" s="1"/>
  <c r="D40" i="2"/>
  <c r="D139" i="2" s="1"/>
  <c r="D76" i="2"/>
  <c r="D113" i="2" s="1"/>
  <c r="D75" i="2"/>
  <c r="D112" i="2" s="1"/>
  <c r="D52" i="2"/>
  <c r="D89" i="2" s="1"/>
  <c r="D64" i="2"/>
  <c r="D101" i="2" s="1"/>
  <c r="D203" i="2" l="1"/>
  <c r="D356" i="2"/>
  <c r="D501" i="2" s="1"/>
  <c r="D321" i="2"/>
  <c r="D465" i="2"/>
  <c r="D610" i="2" s="1"/>
  <c r="D645" i="2"/>
  <c r="D175" i="2"/>
  <c r="D393" i="2"/>
  <c r="D538" i="2" s="1"/>
  <c r="D243" i="2"/>
  <c r="D78" i="2"/>
  <c r="D115" i="2" s="1"/>
  <c r="D140" i="2"/>
  <c r="D282" i="2"/>
  <c r="D429" i="2"/>
  <c r="D574" i="2" s="1"/>
  <c r="D127" i="2"/>
  <c r="E41" i="3"/>
  <c r="D17" i="2"/>
  <c r="D29" i="2"/>
  <c r="D66" i="2" s="1"/>
  <c r="D103" i="2" s="1"/>
  <c r="D77" i="2"/>
  <c r="D114" i="2" s="1"/>
  <c r="D6" i="2"/>
  <c r="D30" i="2" s="1"/>
  <c r="D67" i="2" s="1"/>
  <c r="D104" i="2" s="1"/>
  <c r="D394" i="2" l="1"/>
  <c r="D539" i="2" s="1"/>
  <c r="D244" i="2"/>
  <c r="D646" i="2"/>
  <c r="D176" i="2"/>
  <c r="D54" i="2"/>
  <c r="D91" i="2" s="1"/>
  <c r="D128" i="2"/>
  <c r="D283" i="2"/>
  <c r="D430" i="2"/>
  <c r="D575" i="2" s="1"/>
  <c r="D322" i="2"/>
  <c r="D466" i="2"/>
  <c r="D611" i="2" s="1"/>
  <c r="D204" i="2"/>
  <c r="D357" i="2"/>
  <c r="D502" i="2" s="1"/>
  <c r="D18" i="2"/>
  <c r="D7" i="2"/>
  <c r="D31" i="2" s="1"/>
  <c r="D68" i="2" s="1"/>
  <c r="D105" i="2" s="1"/>
  <c r="D42" i="2"/>
  <c r="D79" i="2" l="1"/>
  <c r="D116" i="2" s="1"/>
  <c r="D141" i="2"/>
  <c r="D177" i="2"/>
  <c r="D647" i="2"/>
  <c r="D284" i="2"/>
  <c r="D431" i="2"/>
  <c r="D576" i="2" s="1"/>
  <c r="D55" i="2"/>
  <c r="D92" i="2" s="1"/>
  <c r="D129" i="2"/>
  <c r="D205" i="2"/>
  <c r="D358" i="2"/>
  <c r="D503" i="2" s="1"/>
  <c r="D395" i="2"/>
  <c r="D540" i="2" s="1"/>
  <c r="D245" i="2"/>
  <c r="D323" i="2"/>
  <c r="D467" i="2"/>
  <c r="D612" i="2" s="1"/>
  <c r="D8" i="2"/>
  <c r="D32" i="2" s="1"/>
  <c r="D69" i="2" s="1"/>
  <c r="D106" i="2" s="1"/>
  <c r="D19" i="2"/>
  <c r="D43" i="2"/>
  <c r="D324" i="2" l="1"/>
  <c r="D468" i="2"/>
  <c r="D613" i="2" s="1"/>
  <c r="D246" i="2"/>
  <c r="D396" i="2"/>
  <c r="D541" i="2" s="1"/>
  <c r="D648" i="2"/>
  <c r="D178" i="2"/>
  <c r="D56" i="2"/>
  <c r="D93" i="2" s="1"/>
  <c r="D130" i="2"/>
  <c r="D432" i="2"/>
  <c r="D577" i="2" s="1"/>
  <c r="D285" i="2"/>
  <c r="D80" i="2"/>
  <c r="D117" i="2" s="1"/>
  <c r="D142" i="2"/>
  <c r="D359" i="2"/>
  <c r="D504" i="2" s="1"/>
  <c r="D206" i="2"/>
  <c r="D9" i="2"/>
  <c r="D10" i="2" s="1"/>
  <c r="D34" i="2" s="1"/>
  <c r="D71" i="2" s="1"/>
  <c r="D108" i="2" s="1"/>
  <c r="D20" i="2"/>
  <c r="D44" i="2"/>
  <c r="D433" i="2" l="1"/>
  <c r="D578" i="2" s="1"/>
  <c r="D286" i="2"/>
  <c r="D81" i="2"/>
  <c r="D118" i="2" s="1"/>
  <c r="D143" i="2"/>
  <c r="D325" i="2"/>
  <c r="D469" i="2"/>
  <c r="D614" i="2" s="1"/>
  <c r="D57" i="2"/>
  <c r="D94" i="2" s="1"/>
  <c r="D131" i="2"/>
  <c r="D360" i="2"/>
  <c r="D505" i="2" s="1"/>
  <c r="D207" i="2"/>
  <c r="D649" i="2"/>
  <c r="D179" i="2"/>
  <c r="D397" i="2"/>
  <c r="D542" i="2" s="1"/>
  <c r="D247" i="2"/>
  <c r="D45" i="2"/>
  <c r="D22" i="2"/>
  <c r="D11" i="2"/>
  <c r="D35" i="2" s="1"/>
  <c r="D72" i="2" s="1"/>
  <c r="D109" i="2" s="1"/>
  <c r="D21" i="2"/>
  <c r="D33" i="2"/>
  <c r="D70" i="2" s="1"/>
  <c r="D107" i="2" s="1"/>
  <c r="D46" i="2"/>
  <c r="D208" i="2" l="1"/>
  <c r="D361" i="2"/>
  <c r="D506" i="2" s="1"/>
  <c r="D434" i="2"/>
  <c r="D579" i="2" s="1"/>
  <c r="D287" i="2"/>
  <c r="D59" i="2"/>
  <c r="D96" i="2" s="1"/>
  <c r="D133" i="2"/>
  <c r="D82" i="2"/>
  <c r="D119" i="2" s="1"/>
  <c r="D144" i="2"/>
  <c r="D248" i="2"/>
  <c r="D398" i="2"/>
  <c r="D543" i="2" s="1"/>
  <c r="D470" i="2"/>
  <c r="D615" i="2" s="1"/>
  <c r="D326" i="2"/>
  <c r="D83" i="2"/>
  <c r="D120" i="2" s="1"/>
  <c r="D145" i="2"/>
  <c r="D650" i="2"/>
  <c r="D180" i="2"/>
  <c r="D58" i="2"/>
  <c r="D95" i="2" s="1"/>
  <c r="D132" i="2"/>
  <c r="D47" i="2"/>
  <c r="D12" i="2"/>
  <c r="D36" i="2" s="1"/>
  <c r="D73" i="2" s="1"/>
  <c r="D110" i="2" s="1"/>
  <c r="D23" i="2"/>
  <c r="D249" i="2" l="1"/>
  <c r="D399" i="2"/>
  <c r="D544" i="2" s="1"/>
  <c r="D209" i="2"/>
  <c r="D362" i="2"/>
  <c r="D507" i="2" s="1"/>
  <c r="D651" i="2"/>
  <c r="D181" i="2"/>
  <c r="D60" i="2"/>
  <c r="D97" i="2" s="1"/>
  <c r="D134" i="2"/>
  <c r="D327" i="2"/>
  <c r="D471" i="2"/>
  <c r="D616" i="2" s="1"/>
  <c r="D288" i="2"/>
  <c r="D435" i="2"/>
  <c r="D580" i="2" s="1"/>
  <c r="D84" i="2"/>
  <c r="D121" i="2" s="1"/>
  <c r="D146" i="2"/>
  <c r="D13" i="2"/>
  <c r="D49" i="2" s="1"/>
  <c r="D24" i="2"/>
  <c r="D48" i="2"/>
  <c r="D61" i="2" l="1"/>
  <c r="D98" i="2" s="1"/>
  <c r="D135" i="2"/>
  <c r="D86" i="2"/>
  <c r="D123" i="2" s="1"/>
  <c r="D148" i="2"/>
  <c r="D652" i="2"/>
  <c r="D182" i="2"/>
  <c r="D289" i="2"/>
  <c r="D436" i="2"/>
  <c r="D581" i="2" s="1"/>
  <c r="D210" i="2"/>
  <c r="D363" i="2"/>
  <c r="D508" i="2" s="1"/>
  <c r="D85" i="2"/>
  <c r="D122" i="2" s="1"/>
  <c r="E7" i="3" s="1"/>
  <c r="D147" i="2"/>
  <c r="D472" i="2"/>
  <c r="D617" i="2" s="1"/>
  <c r="D328" i="2"/>
  <c r="D400" i="2"/>
  <c r="D545" i="2" s="1"/>
  <c r="D250" i="2"/>
  <c r="D37" i="2"/>
  <c r="D74" i="2" s="1"/>
  <c r="D111" i="2" s="1"/>
  <c r="D25" i="2"/>
  <c r="E584" i="2"/>
  <c r="E637" i="2"/>
  <c r="E472" i="2"/>
  <c r="E76" i="2"/>
  <c r="E10" i="2"/>
  <c r="E260" i="2"/>
  <c r="E409" i="2"/>
  <c r="E616" i="2"/>
  <c r="E98" i="2"/>
  <c r="E186" i="2"/>
  <c r="E495" i="2"/>
  <c r="E341" i="2"/>
  <c r="E47" i="2"/>
  <c r="E212" i="2"/>
  <c r="E119" i="2"/>
  <c r="E430" i="2"/>
  <c r="E336" i="2"/>
  <c r="E18" i="2"/>
  <c r="E276" i="2"/>
  <c r="E75" i="2"/>
  <c r="E506" i="2"/>
  <c r="E517" i="2"/>
  <c r="E407" i="2"/>
  <c r="E545" i="2"/>
  <c r="E224" i="2"/>
  <c r="E624" i="2"/>
  <c r="E350" i="2"/>
  <c r="E296" i="2"/>
  <c r="E183" i="2"/>
  <c r="E400" i="2"/>
  <c r="E307" i="2"/>
  <c r="E163" i="2"/>
  <c r="E570" i="2"/>
  <c r="E401" i="2"/>
  <c r="E261" i="2"/>
  <c r="E115" i="2"/>
  <c r="E29" i="2"/>
  <c r="E182" i="2"/>
  <c r="E349" i="2"/>
  <c r="E385" i="2"/>
  <c r="E638" i="2"/>
  <c r="E67" i="2"/>
  <c r="E22" i="2"/>
  <c r="E654" i="2"/>
  <c r="E437" i="2"/>
  <c r="E265" i="2"/>
  <c r="E403" i="2"/>
  <c r="E207" i="2"/>
  <c r="E455" i="2"/>
  <c r="E598" i="2"/>
  <c r="E399" i="2"/>
  <c r="E39" i="2"/>
  <c r="E368" i="2"/>
  <c r="E516" i="2"/>
  <c r="E197" i="2"/>
  <c r="E144" i="2"/>
  <c r="E99" i="2"/>
  <c r="E429" i="2"/>
  <c r="E529" i="2"/>
  <c r="E567" i="2"/>
  <c r="E275" i="2"/>
  <c r="E124" i="2"/>
  <c r="E35" i="2"/>
  <c r="E521" i="2"/>
  <c r="E590" i="2"/>
  <c r="E554" i="2"/>
  <c r="E245" i="2"/>
  <c r="E274" i="2"/>
  <c r="E104" i="2"/>
  <c r="E82" i="2"/>
  <c r="E313" i="2"/>
  <c r="E431" i="2"/>
  <c r="E178" i="2"/>
  <c r="E8" i="2"/>
  <c r="E70" i="2"/>
  <c r="E44" i="2"/>
  <c r="E617" i="2"/>
  <c r="E146" i="2"/>
  <c r="E181" i="2"/>
  <c r="E56" i="2"/>
  <c r="E302" i="2"/>
  <c r="E398" i="2"/>
  <c r="E80" i="2"/>
  <c r="E129" i="2"/>
  <c r="E214" i="2"/>
  <c r="E227" i="2"/>
  <c r="E308" i="2"/>
  <c r="E471" i="2"/>
  <c r="E292" i="2"/>
  <c r="E58" i="2"/>
  <c r="E330" i="2"/>
  <c r="E384" i="2"/>
  <c r="E402" i="2"/>
  <c r="E622" i="2"/>
  <c r="E636" i="2"/>
  <c r="E526" i="2"/>
  <c r="E150" i="2"/>
  <c r="E57" i="2"/>
  <c r="E290" i="2"/>
  <c r="E106" i="2"/>
  <c r="E334" i="2"/>
  <c r="E572" i="2"/>
  <c r="E169" i="2"/>
  <c r="E250" i="2"/>
  <c r="E97" i="2"/>
  <c r="E639" i="2"/>
  <c r="E43" i="2"/>
  <c r="E116" i="2"/>
  <c r="E218" i="2"/>
  <c r="E134" i="2"/>
  <c r="E27" i="2"/>
  <c r="E501" i="2"/>
  <c r="E578" i="2"/>
  <c r="E438" i="2"/>
  <c r="E606" i="2"/>
  <c r="E651" i="2"/>
  <c r="E303" i="2"/>
  <c r="E457" i="2"/>
  <c r="E535" i="2"/>
  <c r="E201" i="2"/>
  <c r="E291" i="2"/>
  <c r="E592" i="2"/>
  <c r="E346" i="2"/>
  <c r="E425" i="2"/>
  <c r="E188" i="2"/>
  <c r="E231" i="2"/>
  <c r="E435" i="2"/>
  <c r="E240" i="2"/>
  <c r="E354" i="2"/>
  <c r="E83" i="2"/>
  <c r="E397" i="2"/>
  <c r="E643" i="2"/>
  <c r="E492" i="2"/>
  <c r="E625" i="2"/>
  <c r="E571" i="2"/>
  <c r="E63" i="2"/>
  <c r="E630" i="2"/>
  <c r="E280" i="2"/>
  <c r="E520" i="2"/>
  <c r="E582" i="2"/>
  <c r="E477" i="2"/>
  <c r="E658" i="2"/>
  <c r="E488" i="2"/>
  <c r="E549" i="2"/>
  <c r="E374" i="2"/>
  <c r="E198" i="2"/>
  <c r="E494" i="2"/>
  <c r="E596" i="2"/>
  <c r="E376" i="2"/>
  <c r="E410" i="2"/>
  <c r="E464" i="2"/>
  <c r="E498" i="2"/>
  <c r="E427" i="2"/>
  <c r="E540" i="2"/>
  <c r="E131" i="2"/>
  <c r="E288" i="2"/>
  <c r="E663" i="2"/>
  <c r="E243" i="2"/>
  <c r="E523" i="2"/>
  <c r="E81" i="2"/>
  <c r="E594" i="2"/>
  <c r="E440" i="2"/>
  <c r="E40" i="2"/>
  <c r="E620" i="2"/>
  <c r="E269" i="2"/>
  <c r="E462" i="2"/>
  <c r="E112" i="2"/>
  <c r="E202" i="2"/>
  <c r="E5" i="2"/>
  <c r="E138" i="2"/>
  <c r="E585" i="2"/>
  <c r="E26" i="2"/>
  <c r="E277" i="2"/>
  <c r="E78" i="2"/>
  <c r="E531" i="2"/>
  <c r="E610" i="2"/>
  <c r="E434" i="2"/>
  <c r="E641" i="2"/>
  <c r="E64" i="2"/>
  <c r="E558" i="2"/>
  <c r="E174" i="2"/>
  <c r="E282" i="2"/>
  <c r="E587" i="2"/>
  <c r="E534" i="2"/>
  <c r="E406" i="2"/>
  <c r="E656" i="2"/>
  <c r="E454" i="2"/>
  <c r="E238" i="2"/>
  <c r="E339" i="2"/>
  <c r="E486" i="2"/>
  <c r="E460" i="2"/>
  <c r="E623" i="2"/>
  <c r="E615" i="2"/>
  <c r="E125" i="2"/>
  <c r="E646" i="2"/>
  <c r="E337" i="2"/>
  <c r="E123" i="2"/>
  <c r="E159" i="2"/>
  <c r="E148" i="2"/>
  <c r="E127" i="2"/>
  <c r="E101" i="2"/>
  <c r="E652" i="2"/>
  <c r="E391" i="2"/>
  <c r="E184" i="2"/>
  <c r="E621" i="2"/>
  <c r="E559" i="2"/>
  <c r="E537" i="2"/>
  <c r="E271" i="2"/>
  <c r="E153" i="2"/>
  <c r="E267" i="2"/>
  <c r="E665" i="2"/>
  <c r="E441" i="2"/>
  <c r="E439" i="2"/>
  <c r="E107" i="2"/>
  <c r="E279" i="2"/>
  <c r="E316" i="2"/>
  <c r="E264" i="2"/>
  <c r="E416" i="2"/>
  <c r="E168" i="2"/>
  <c r="E629" i="2"/>
  <c r="E527" i="2"/>
  <c r="E436" i="2"/>
  <c r="E226" i="2"/>
  <c r="E185" i="2"/>
  <c r="E661" i="2"/>
  <c r="E387" i="2"/>
  <c r="E225" i="2"/>
  <c r="E601" i="2"/>
  <c r="E659" i="2"/>
  <c r="E650" i="2"/>
  <c r="E751" i="2"/>
  <c r="E155" i="2"/>
  <c r="E23" i="2"/>
  <c r="E484" i="2"/>
  <c r="E176" i="2"/>
  <c r="E371" i="2"/>
  <c r="E158" i="2"/>
  <c r="E351" i="2"/>
  <c r="E611" i="2"/>
  <c r="E381" i="2"/>
  <c r="E581" i="2"/>
  <c r="E343" i="2"/>
  <c r="E553" i="2"/>
  <c r="E142" i="2"/>
  <c r="E229" i="2"/>
  <c r="E367" i="2"/>
  <c r="E205" i="2"/>
  <c r="E314" i="2"/>
  <c r="E395" i="2"/>
  <c r="E593" i="2"/>
  <c r="E69" i="2"/>
  <c r="E373" i="2"/>
  <c r="E241" i="2"/>
  <c r="E204" i="2"/>
  <c r="E389" i="2"/>
  <c r="E120" i="2"/>
  <c r="E88" i="2"/>
  <c r="E542" i="2"/>
  <c r="E221" i="2"/>
  <c r="E525" i="2"/>
  <c r="E415" i="2"/>
  <c r="E347" i="2"/>
  <c r="E242" i="2"/>
  <c r="E363" i="2"/>
  <c r="E538" i="2"/>
  <c r="E375" i="2"/>
  <c r="E278" i="2"/>
  <c r="E614" i="2"/>
  <c r="E396" i="2"/>
  <c r="E543" i="2"/>
  <c r="E66" i="2"/>
  <c r="E404" i="2"/>
  <c r="E445" i="2"/>
  <c r="E502" i="2"/>
  <c r="E62" i="2"/>
  <c r="E566" i="2"/>
  <c r="E666" i="2"/>
  <c r="E469" i="2"/>
  <c r="E192" i="2"/>
  <c r="E217" i="2"/>
  <c r="E309" i="2"/>
  <c r="E528" i="2"/>
  <c r="E74" i="2"/>
  <c r="E342" i="2"/>
  <c r="E607" i="2"/>
  <c r="E162" i="2"/>
  <c r="E576" i="2"/>
  <c r="E24" i="2"/>
  <c r="E321" i="2"/>
  <c r="E600" i="2"/>
  <c r="E19" i="2"/>
  <c r="E613" i="2"/>
  <c r="E71" i="2"/>
  <c r="E476" i="2"/>
  <c r="E233" i="2"/>
  <c r="E255" i="2"/>
  <c r="E508" i="2"/>
  <c r="E248" i="2"/>
  <c r="E595" i="2"/>
  <c r="E479" i="2"/>
  <c r="E322" i="2"/>
  <c r="E149" i="2"/>
  <c r="E36" i="2"/>
  <c r="E86" i="2"/>
  <c r="E609" i="2"/>
  <c r="E141" i="2"/>
  <c r="E315" i="2"/>
  <c r="E662" i="2"/>
  <c r="E451" i="2"/>
  <c r="E748" i="2"/>
  <c r="E390" i="2"/>
  <c r="E11" i="2"/>
  <c r="E286" i="2"/>
  <c r="E87" i="2"/>
  <c r="E323" i="2"/>
  <c r="E122" i="2"/>
  <c r="E364" i="2"/>
  <c r="E7" i="2"/>
  <c r="E295" i="2"/>
  <c r="E605" i="2"/>
  <c r="E750" i="2"/>
  <c r="E306" i="2"/>
  <c r="E418" i="2"/>
  <c r="E166" i="2"/>
  <c r="E190" i="2"/>
  <c r="E165" i="2"/>
  <c r="E299" i="2"/>
  <c r="E193" i="2"/>
  <c r="E524" i="2"/>
  <c r="E154" i="2"/>
  <c r="E547" i="2"/>
  <c r="E602" i="2"/>
  <c r="E132" i="2"/>
  <c r="E359" i="2"/>
  <c r="E317" i="2"/>
  <c r="E382" i="2"/>
  <c r="E577" i="2"/>
  <c r="E586" i="2"/>
  <c r="E503" i="2"/>
  <c r="E563" i="2"/>
  <c r="E215" i="2"/>
  <c r="E362" i="2"/>
  <c r="E235" i="2"/>
  <c r="E28" i="2"/>
  <c r="E555" i="2"/>
  <c r="E46" i="2"/>
  <c r="E3" i="2"/>
  <c r="E393" i="2"/>
  <c r="E511" i="2"/>
  <c r="E458" i="2"/>
  <c r="E333" i="2"/>
  <c r="E348" i="2"/>
  <c r="E450" i="2"/>
  <c r="E421" i="2"/>
  <c r="E411" i="2"/>
  <c r="E6" i="2"/>
  <c r="E747" i="2"/>
  <c r="E627" i="2"/>
  <c r="E171" i="2"/>
  <c r="E574" i="2"/>
  <c r="E386" i="2"/>
  <c r="E110" i="2"/>
  <c r="E256" i="2"/>
  <c r="E45" i="2"/>
  <c r="E187" i="2"/>
  <c r="E522" i="2"/>
  <c r="E4" i="2"/>
  <c r="E589" i="2"/>
  <c r="E505" i="2"/>
  <c r="E575" i="2"/>
  <c r="E497" i="2"/>
  <c r="E173" i="2"/>
  <c r="E139" i="2"/>
  <c r="E541" i="2"/>
  <c r="E481" i="2"/>
  <c r="E499" i="2"/>
  <c r="E297" i="2"/>
  <c r="E130" i="2"/>
  <c r="E467" i="2"/>
  <c r="E72" i="2"/>
  <c r="E357" i="2"/>
  <c r="E133" i="2"/>
  <c r="E208" i="2"/>
  <c r="E211" i="2"/>
  <c r="E145" i="2"/>
  <c r="E270" i="2"/>
  <c r="E597" i="2"/>
  <c r="E15" i="2"/>
  <c r="E102" i="2"/>
  <c r="E378" i="2"/>
  <c r="E504" i="2"/>
  <c r="E298" i="2"/>
  <c r="E206" i="2"/>
  <c r="E412" i="2"/>
  <c r="E634" i="2"/>
  <c r="E244" i="2"/>
  <c r="E311" i="2"/>
  <c r="E304" i="2"/>
  <c r="E361" i="2"/>
  <c r="E220" i="2"/>
  <c r="E210" i="2"/>
  <c r="E95" i="2"/>
  <c r="E143" i="2"/>
  <c r="E111" i="2"/>
  <c r="E21" i="2"/>
  <c r="E135" i="2"/>
  <c r="E394" i="2"/>
  <c r="E466" i="2"/>
  <c r="E532" i="2"/>
  <c r="E546" i="2"/>
  <c r="E203" i="2"/>
  <c r="E377" i="2"/>
  <c r="E383" i="2"/>
  <c r="E552" i="2"/>
  <c r="E468" i="2"/>
  <c r="E41" i="2"/>
  <c r="E12" i="2"/>
  <c r="E136" i="2"/>
  <c r="E53" i="2"/>
  <c r="E366" i="2"/>
  <c r="E619" i="2"/>
  <c r="E548" i="2"/>
  <c r="E405" i="2"/>
  <c r="E114" i="2"/>
  <c r="E745" i="2"/>
  <c r="E157" i="2"/>
  <c r="E293" i="2"/>
  <c r="E200" i="2"/>
  <c r="E121" i="2"/>
  <c r="E20" i="2"/>
  <c r="E603" i="2"/>
  <c r="E263" i="2"/>
  <c r="E300" i="2"/>
  <c r="E556" i="2"/>
  <c r="E170" i="2"/>
  <c r="E105" i="2"/>
  <c r="E91" i="2"/>
  <c r="E42" i="2"/>
  <c r="E746" i="2"/>
  <c r="E312" i="2"/>
  <c r="E247" i="2"/>
  <c r="E338" i="2"/>
  <c r="E13" i="2"/>
  <c r="E319" i="2"/>
  <c r="E179" i="2"/>
  <c r="E667" i="2"/>
  <c r="E507" i="2"/>
  <c r="E453" i="2"/>
  <c r="E608" i="2"/>
  <c r="E216" i="2"/>
  <c r="E189" i="2"/>
  <c r="E423" i="2"/>
  <c r="E236" i="2"/>
  <c r="E177" i="2"/>
  <c r="E422" i="2"/>
  <c r="E335" i="2"/>
  <c r="E633" i="2"/>
  <c r="E483" i="2"/>
  <c r="E628" i="2"/>
  <c r="E310" i="2"/>
  <c r="E281" i="2"/>
  <c r="E294" i="2"/>
  <c r="E213" i="2"/>
  <c r="E360" i="2"/>
  <c r="E353" i="2"/>
  <c r="E493" i="2"/>
  <c r="E655" i="2"/>
  <c r="E513" i="2"/>
  <c r="E325" i="2"/>
  <c r="E252" i="2"/>
  <c r="E249" i="2"/>
  <c r="E38" i="2"/>
  <c r="E626" i="2"/>
  <c r="E414" i="2"/>
  <c r="E318" i="2"/>
  <c r="E50" i="2"/>
  <c r="E496" i="2"/>
  <c r="E461" i="2"/>
  <c r="E565" i="2"/>
  <c r="E644" i="2"/>
  <c r="E194" i="2"/>
  <c r="E14" i="2"/>
  <c r="E266" i="2"/>
  <c r="E175" i="2"/>
  <c r="E89" i="2"/>
  <c r="E140" i="2"/>
  <c r="E561" i="2"/>
  <c r="E118" i="2"/>
  <c r="E544" i="2"/>
  <c r="E449" i="2"/>
  <c r="E258" i="2"/>
  <c r="E268" i="2"/>
  <c r="E237" i="2"/>
  <c r="E345" i="2"/>
  <c r="E49" i="2"/>
  <c r="E25" i="2"/>
  <c r="E113" i="2"/>
  <c r="E209" i="2"/>
  <c r="E379" i="2"/>
  <c r="E60" i="2"/>
  <c r="E550" i="2"/>
  <c r="E327" i="2"/>
  <c r="E519" i="2"/>
  <c r="E426" i="2"/>
  <c r="E65" i="2"/>
  <c r="E433" i="2"/>
  <c r="E482" i="2"/>
  <c r="E640" i="2"/>
  <c r="E79" i="2"/>
  <c r="E137" i="2"/>
  <c r="E324" i="2"/>
  <c r="E90" i="2"/>
  <c r="E52" i="2"/>
  <c r="E152" i="2"/>
  <c r="E392" i="2"/>
  <c r="E253" i="2"/>
  <c r="E569" i="2"/>
  <c r="E196" i="2"/>
  <c r="E533" i="2"/>
  <c r="E9" i="2"/>
  <c r="E37" i="2"/>
  <c r="E530" i="2"/>
  <c r="E452" i="2"/>
  <c r="E444" i="2"/>
  <c r="E230" i="2"/>
  <c r="E557" i="2"/>
  <c r="E668" i="2"/>
  <c r="E223" i="2"/>
  <c r="E599" i="2"/>
  <c r="E365" i="2"/>
  <c r="E16" i="2"/>
  <c r="E232" i="2"/>
  <c r="E648" i="2"/>
  <c r="E92" i="2"/>
  <c r="E573" i="2"/>
  <c r="E332" i="2"/>
  <c r="E191" i="2"/>
  <c r="E228" i="2"/>
  <c r="E518" i="2"/>
  <c r="E591" i="2"/>
  <c r="E262" i="2"/>
  <c r="E664" i="2"/>
  <c r="E356" i="2"/>
  <c r="E749" i="2"/>
  <c r="E84" i="2"/>
  <c r="E109" i="2"/>
  <c r="E289" i="2"/>
  <c r="E369" i="2"/>
  <c r="E459" i="2"/>
  <c r="E68" i="2"/>
  <c r="E331" i="2"/>
  <c r="E246" i="2"/>
  <c r="E329" i="2"/>
  <c r="E560" i="2"/>
  <c r="E417" i="2"/>
  <c r="E257" i="2"/>
  <c r="E283" i="2"/>
  <c r="E669" i="2"/>
  <c r="E370" i="2"/>
  <c r="E199" i="2"/>
  <c r="E77" i="2"/>
  <c r="E17" i="2"/>
  <c r="E305" i="2"/>
  <c r="E509" i="2"/>
  <c r="E536" i="2"/>
  <c r="E195" i="2"/>
  <c r="E512" i="2"/>
  <c r="E473" i="2"/>
  <c r="E618" i="2"/>
  <c r="E61" i="2"/>
  <c r="E489" i="2"/>
  <c r="E358" i="2"/>
  <c r="E254" i="2"/>
  <c r="E480" i="2"/>
  <c r="E328" i="2"/>
  <c r="E485" i="2"/>
  <c r="E352" i="2"/>
  <c r="E48" i="2"/>
  <c r="E583" i="2"/>
  <c r="E470" i="2"/>
  <c r="E239" i="2"/>
  <c r="E463" i="2"/>
  <c r="E500" i="2"/>
  <c r="E103" i="2"/>
  <c r="E320" i="2"/>
  <c r="E147" i="2"/>
  <c r="E51" i="2"/>
  <c r="E167" i="2"/>
  <c r="E491" i="2"/>
  <c r="E635" i="2"/>
  <c r="E514" i="2"/>
  <c r="E30" i="2"/>
  <c r="E180" i="2"/>
  <c r="E301" i="2"/>
  <c r="E474" i="2"/>
  <c r="E117" i="2"/>
  <c r="E632" i="2"/>
  <c r="E579" i="2"/>
  <c r="E446" i="2"/>
  <c r="E100" i="2"/>
  <c r="E442" i="2"/>
  <c r="E31" i="2"/>
  <c r="E631" i="2"/>
  <c r="E59" i="2"/>
  <c r="E604" i="2"/>
  <c r="E73" i="2"/>
  <c r="E465" i="2"/>
  <c r="E564" i="2"/>
  <c r="E647" i="2"/>
  <c r="E93" i="2"/>
  <c r="E539" i="2"/>
  <c r="E340" i="2"/>
  <c r="E108" i="2"/>
  <c r="E413" i="2"/>
  <c r="E478" i="2"/>
  <c r="E448" i="2"/>
  <c r="E285" i="2"/>
  <c r="E657" i="2"/>
  <c r="E234" i="2"/>
  <c r="E660" i="2"/>
  <c r="E568" i="2"/>
  <c r="E510" i="2"/>
  <c r="E32" i="2"/>
  <c r="E55" i="2"/>
  <c r="E34" i="2"/>
  <c r="E156" i="2"/>
  <c r="E380" i="2"/>
  <c r="E372" i="2"/>
  <c r="E551" i="2"/>
  <c r="E251" i="2"/>
  <c r="E222" i="2"/>
  <c r="E490" i="2"/>
  <c r="E85" i="2"/>
  <c r="E420" i="2"/>
  <c r="E326" i="2"/>
  <c r="E33" i="2"/>
  <c r="E447" i="2"/>
  <c r="E588" i="2"/>
  <c r="E172" i="2"/>
  <c r="E475" i="2"/>
  <c r="E515" i="2"/>
  <c r="E284" i="2"/>
  <c r="E287" i="2"/>
  <c r="E653" i="2"/>
  <c r="E432" i="2"/>
  <c r="E388" i="2"/>
  <c r="E96" i="2"/>
  <c r="E161" i="2"/>
  <c r="E612" i="2"/>
  <c r="E562" i="2"/>
  <c r="E164" i="2"/>
  <c r="E443" i="2"/>
  <c r="E424" i="2"/>
  <c r="E259" i="2"/>
  <c r="E54" i="2"/>
  <c r="E645" i="2"/>
  <c r="E642" i="2"/>
  <c r="E487" i="2"/>
  <c r="E344" i="2"/>
  <c r="E94" i="2"/>
  <c r="E272" i="2"/>
  <c r="E408" i="2"/>
  <c r="E456" i="2"/>
  <c r="E580" i="2"/>
  <c r="E273" i="2"/>
  <c r="E649" i="2"/>
  <c r="E219" i="2"/>
  <c r="E419" i="2"/>
  <c r="E126" i="2"/>
  <c r="E6" i="3" l="1"/>
  <c r="D401" i="2"/>
  <c r="D546" i="2" s="1"/>
  <c r="D251" i="2"/>
  <c r="D290" i="2"/>
  <c r="D437" i="2"/>
  <c r="D582" i="2" s="1"/>
  <c r="D329" i="2"/>
  <c r="D473" i="2"/>
  <c r="D618" i="2" s="1"/>
  <c r="D183" i="2"/>
  <c r="D653" i="2"/>
  <c r="D62" i="2"/>
  <c r="D99" i="2" s="1"/>
  <c r="D136" i="2"/>
  <c r="E10" i="3" s="1"/>
  <c r="D211" i="2"/>
  <c r="D364" i="2"/>
  <c r="D509" i="2" s="1"/>
  <c r="E5" i="3"/>
  <c r="E4" i="3"/>
  <c r="E11" i="3"/>
  <c r="G42" i="3" s="1"/>
  <c r="D330" i="2" l="1"/>
  <c r="D474" i="2"/>
  <c r="D619" i="2" s="1"/>
  <c r="D212" i="2"/>
  <c r="D365" i="2"/>
  <c r="D510" i="2" s="1"/>
  <c r="D291" i="2"/>
  <c r="D438" i="2"/>
  <c r="D583" i="2" s="1"/>
  <c r="D184" i="2"/>
  <c r="D654" i="2"/>
  <c r="D402" i="2"/>
  <c r="D547" i="2" s="1"/>
  <c r="D252" i="2"/>
  <c r="E56" i="3"/>
  <c r="E42" i="3"/>
  <c r="E44" i="3" s="1"/>
  <c r="G36" i="3"/>
  <c r="D185" i="2" l="1"/>
  <c r="D655" i="2"/>
  <c r="D439" i="2"/>
  <c r="D584" i="2" s="1"/>
  <c r="D292" i="2"/>
  <c r="D695" i="2"/>
  <c r="D213" i="2"/>
  <c r="D366" i="2"/>
  <c r="D511" i="2" s="1"/>
  <c r="D403" i="2"/>
  <c r="D548" i="2" s="1"/>
  <c r="D253" i="2"/>
  <c r="D670" i="2"/>
  <c r="D720" i="2"/>
  <c r="D331" i="2"/>
  <c r="D475" i="2"/>
  <c r="D620" i="2" s="1"/>
  <c r="D214" i="2" l="1"/>
  <c r="D367" i="2"/>
  <c r="D440" i="2"/>
  <c r="D585" i="2" s="1"/>
  <c r="D696" i="2"/>
  <c r="D293" i="2"/>
  <c r="D721" i="2"/>
  <c r="D332" i="2"/>
  <c r="D476" i="2"/>
  <c r="D621" i="2" s="1"/>
  <c r="D671" i="2"/>
  <c r="D254" i="2"/>
  <c r="D404" i="2"/>
  <c r="D549" i="2" s="1"/>
  <c r="D656" i="2"/>
  <c r="D186" i="2"/>
  <c r="D333" i="2" l="1"/>
  <c r="D477" i="2"/>
  <c r="D622" i="2" s="1"/>
  <c r="D722" i="2"/>
  <c r="D657" i="2"/>
  <c r="D187" i="2"/>
  <c r="D697" i="2"/>
  <c r="D441" i="2"/>
  <c r="D586" i="2" s="1"/>
  <c r="D294" i="2"/>
  <c r="D405" i="2"/>
  <c r="D550" i="2" s="1"/>
  <c r="D255" i="2"/>
  <c r="D672" i="2"/>
  <c r="D512" i="2"/>
  <c r="D368" i="2"/>
  <c r="D513" i="2" s="1"/>
  <c r="D215" i="2"/>
  <c r="D442" i="2" l="1"/>
  <c r="D587" i="2" s="1"/>
  <c r="D295" i="2"/>
  <c r="D698" i="2"/>
  <c r="D188" i="2"/>
  <c r="D658" i="2"/>
  <c r="D216" i="2"/>
  <c r="D369" i="2"/>
  <c r="D514" i="2" s="1"/>
  <c r="D256" i="2"/>
  <c r="D673" i="2"/>
  <c r="D406" i="2"/>
  <c r="D551" i="2" s="1"/>
  <c r="D723" i="2"/>
  <c r="D334" i="2"/>
  <c r="D478" i="2"/>
  <c r="D623" i="2" s="1"/>
  <c r="D217" i="2" l="1"/>
  <c r="D370" i="2"/>
  <c r="D515" i="2" s="1"/>
  <c r="D724" i="2"/>
  <c r="D335" i="2"/>
  <c r="D479" i="2"/>
  <c r="D624" i="2" s="1"/>
  <c r="D659" i="2"/>
  <c r="D189" i="2"/>
  <c r="D257" i="2"/>
  <c r="D407" i="2"/>
  <c r="D552" i="2" s="1"/>
  <c r="D674" i="2"/>
  <c r="D296" i="2"/>
  <c r="D443" i="2"/>
  <c r="D588" i="2" s="1"/>
  <c r="D699" i="2"/>
  <c r="D297" i="2" l="1"/>
  <c r="D444" i="2"/>
  <c r="D589" i="2" s="1"/>
  <c r="D700" i="2"/>
  <c r="D408" i="2"/>
  <c r="D553" i="2" s="1"/>
  <c r="D258" i="2"/>
  <c r="D675" i="2"/>
  <c r="D371" i="2"/>
  <c r="D516" i="2" s="1"/>
  <c r="D218" i="2"/>
  <c r="D336" i="2"/>
  <c r="D480" i="2"/>
  <c r="D625" i="2" s="1"/>
  <c r="D725" i="2"/>
  <c r="D660" i="2"/>
  <c r="D190" i="2"/>
  <c r="D661" i="2" l="1"/>
  <c r="D191" i="2"/>
  <c r="D409" i="2"/>
  <c r="D554" i="2" s="1"/>
  <c r="D259" i="2"/>
  <c r="D676" i="2"/>
  <c r="D481" i="2"/>
  <c r="D626" i="2" s="1"/>
  <c r="D726" i="2"/>
  <c r="D337" i="2"/>
  <c r="D298" i="2"/>
  <c r="D445" i="2"/>
  <c r="D590" i="2" s="1"/>
  <c r="D701" i="2"/>
  <c r="D219" i="2"/>
  <c r="D372" i="2"/>
  <c r="D338" i="2" l="1"/>
  <c r="D482" i="2"/>
  <c r="D627" i="2" s="1"/>
  <c r="D727" i="2"/>
  <c r="D517" i="2"/>
  <c r="D220" i="2"/>
  <c r="D373" i="2"/>
  <c r="D518" i="2" s="1"/>
  <c r="D410" i="2"/>
  <c r="D555" i="2" s="1"/>
  <c r="D260" i="2"/>
  <c r="D677" i="2"/>
  <c r="D192" i="2"/>
  <c r="D662" i="2"/>
  <c r="D299" i="2"/>
  <c r="D446" i="2"/>
  <c r="D591" i="2" s="1"/>
  <c r="D702" i="2"/>
  <c r="D703" i="2" l="1"/>
  <c r="D300" i="2"/>
  <c r="D447" i="2"/>
  <c r="D592" i="2" s="1"/>
  <c r="D221" i="2"/>
  <c r="D374" i="2"/>
  <c r="D519" i="2" s="1"/>
  <c r="D193" i="2"/>
  <c r="D663" i="2"/>
  <c r="D411" i="2"/>
  <c r="D556" i="2" s="1"/>
  <c r="D261" i="2"/>
  <c r="D678" i="2"/>
  <c r="D728" i="2"/>
  <c r="D339" i="2"/>
  <c r="D483" i="2"/>
  <c r="D628" i="2" s="1"/>
  <c r="D375" i="2" l="1"/>
  <c r="D520" i="2" s="1"/>
  <c r="D222" i="2"/>
  <c r="D664" i="2"/>
  <c r="D194" i="2"/>
  <c r="D729" i="2"/>
  <c r="D340" i="2"/>
  <c r="D484" i="2"/>
  <c r="D629" i="2" s="1"/>
  <c r="D448" i="2"/>
  <c r="D593" i="2" s="1"/>
  <c r="D704" i="2"/>
  <c r="D301" i="2"/>
  <c r="D412" i="2"/>
  <c r="D557" i="2" s="1"/>
  <c r="D262" i="2"/>
  <c r="D679" i="2"/>
  <c r="D341" i="2" l="1"/>
  <c r="D485" i="2"/>
  <c r="D630" i="2" s="1"/>
  <c r="D730" i="2"/>
  <c r="D680" i="2"/>
  <c r="D413" i="2"/>
  <c r="D558" i="2" s="1"/>
  <c r="D263" i="2"/>
  <c r="D665" i="2"/>
  <c r="D195" i="2"/>
  <c r="D449" i="2"/>
  <c r="D594" i="2" s="1"/>
  <c r="D705" i="2"/>
  <c r="D302" i="2"/>
  <c r="D376" i="2"/>
  <c r="D521" i="2" s="1"/>
  <c r="D223" i="2"/>
  <c r="D196" i="2" l="1"/>
  <c r="D666" i="2"/>
  <c r="D264" i="2"/>
  <c r="D681" i="2"/>
  <c r="D414" i="2"/>
  <c r="D559" i="2" s="1"/>
  <c r="D224" i="2"/>
  <c r="D377" i="2"/>
  <c r="D522" i="2" s="1"/>
  <c r="D450" i="2"/>
  <c r="D595" i="2" s="1"/>
  <c r="D303" i="2"/>
  <c r="D706" i="2"/>
  <c r="D731" i="2"/>
  <c r="D342" i="2"/>
  <c r="D486" i="2"/>
  <c r="D631" i="2" s="1"/>
  <c r="D732" i="2" l="1"/>
  <c r="D343" i="2"/>
  <c r="D487" i="2"/>
  <c r="D632" i="2" s="1"/>
  <c r="D225" i="2"/>
  <c r="D378" i="2"/>
  <c r="D523" i="2" s="1"/>
  <c r="D265" i="2"/>
  <c r="D415" i="2"/>
  <c r="D560" i="2" s="1"/>
  <c r="D682" i="2"/>
  <c r="D304" i="2"/>
  <c r="D451" i="2"/>
  <c r="D596" i="2" s="1"/>
  <c r="D707" i="2"/>
  <c r="D667" i="2"/>
  <c r="D197" i="2"/>
  <c r="D668" i="2" l="1"/>
  <c r="D198" i="2"/>
  <c r="D669" i="2" s="1"/>
  <c r="D416" i="2"/>
  <c r="D561" i="2" s="1"/>
  <c r="D266" i="2"/>
  <c r="D683" i="2"/>
  <c r="D226" i="2"/>
  <c r="D379" i="2"/>
  <c r="D524" i="2" s="1"/>
  <c r="D344" i="2"/>
  <c r="D488" i="2"/>
  <c r="D633" i="2" s="1"/>
  <c r="D733" i="2"/>
  <c r="D452" i="2"/>
  <c r="D597" i="2" s="1"/>
  <c r="D708" i="2"/>
  <c r="D305" i="2"/>
  <c r="D417" i="2" l="1"/>
  <c r="D562" i="2" s="1"/>
  <c r="D267" i="2"/>
  <c r="D684" i="2"/>
  <c r="D345" i="2"/>
  <c r="D489" i="2"/>
  <c r="D634" i="2" s="1"/>
  <c r="D734" i="2"/>
  <c r="D306" i="2"/>
  <c r="D453" i="2"/>
  <c r="D598" i="2" s="1"/>
  <c r="D709" i="2"/>
  <c r="D227" i="2"/>
  <c r="D380" i="2"/>
  <c r="D525" i="2" s="1"/>
  <c r="D307" i="2" l="1"/>
  <c r="D710" i="2"/>
  <c r="D454" i="2"/>
  <c r="D599" i="2" s="1"/>
  <c r="D346" i="2"/>
  <c r="D490" i="2"/>
  <c r="D635" i="2" s="1"/>
  <c r="D735" i="2"/>
  <c r="D228" i="2"/>
  <c r="D381" i="2"/>
  <c r="D526" i="2" s="1"/>
  <c r="D418" i="2"/>
  <c r="D563" i="2" s="1"/>
  <c r="D268" i="2"/>
  <c r="D685" i="2"/>
  <c r="D229" i="2" l="1"/>
  <c r="D382" i="2"/>
  <c r="D527" i="2" s="1"/>
  <c r="D491" i="2"/>
  <c r="D636" i="2" s="1"/>
  <c r="D736" i="2"/>
  <c r="D347" i="2"/>
  <c r="D419" i="2"/>
  <c r="D564" i="2" s="1"/>
  <c r="D269" i="2"/>
  <c r="D686" i="2"/>
  <c r="D308" i="2"/>
  <c r="D455" i="2"/>
  <c r="D600" i="2" s="1"/>
  <c r="D711" i="2"/>
  <c r="D420" i="2" l="1"/>
  <c r="D565" i="2" s="1"/>
  <c r="D270" i="2"/>
  <c r="D687" i="2"/>
  <c r="D737" i="2"/>
  <c r="D348" i="2"/>
  <c r="D492" i="2"/>
  <c r="D637" i="2" s="1"/>
  <c r="D456" i="2"/>
  <c r="D601" i="2" s="1"/>
  <c r="D712" i="2"/>
  <c r="D309" i="2"/>
  <c r="D383" i="2"/>
  <c r="D528" i="2" s="1"/>
  <c r="D230" i="2"/>
  <c r="D457" i="2" l="1"/>
  <c r="D602" i="2" s="1"/>
  <c r="D713" i="2"/>
  <c r="D310" i="2"/>
  <c r="D349" i="2"/>
  <c r="D493" i="2"/>
  <c r="D638" i="2" s="1"/>
  <c r="D738" i="2"/>
  <c r="D384" i="2"/>
  <c r="D529" i="2" s="1"/>
  <c r="D231" i="2"/>
  <c r="D421" i="2"/>
  <c r="D566" i="2" s="1"/>
  <c r="D271" i="2"/>
  <c r="D688" i="2"/>
  <c r="D458" i="2" l="1"/>
  <c r="D603" i="2" s="1"/>
  <c r="D311" i="2"/>
  <c r="D714" i="2"/>
  <c r="D232" i="2"/>
  <c r="D385" i="2"/>
  <c r="D530" i="2" s="1"/>
  <c r="D494" i="2"/>
  <c r="D639" i="2" s="1"/>
  <c r="D739" i="2"/>
  <c r="D350" i="2"/>
  <c r="D272" i="2"/>
  <c r="D689" i="2"/>
  <c r="D422" i="2"/>
  <c r="D567" i="2" s="1"/>
  <c r="D233" i="2" l="1"/>
  <c r="D386" i="2"/>
  <c r="D531" i="2" s="1"/>
  <c r="D740" i="2"/>
  <c r="D351" i="2"/>
  <c r="D495" i="2"/>
  <c r="D640" i="2" s="1"/>
  <c r="D312" i="2"/>
  <c r="D459" i="2"/>
  <c r="D604" i="2" s="1"/>
  <c r="D715" i="2"/>
  <c r="D273" i="2"/>
  <c r="D423" i="2"/>
  <c r="D568" i="2" s="1"/>
  <c r="D690" i="2"/>
  <c r="D313" i="2" l="1"/>
  <c r="D460" i="2"/>
  <c r="D605" i="2" s="1"/>
  <c r="D716" i="2"/>
  <c r="D352" i="2"/>
  <c r="D496" i="2"/>
  <c r="D641" i="2" s="1"/>
  <c r="D741" i="2"/>
  <c r="D424" i="2"/>
  <c r="D569" i="2" s="1"/>
  <c r="D274" i="2"/>
  <c r="D691" i="2"/>
  <c r="D234" i="2"/>
  <c r="D387" i="2"/>
  <c r="D532" i="2" s="1"/>
  <c r="D692" i="2" l="1"/>
  <c r="D425" i="2"/>
  <c r="D570" i="2" s="1"/>
  <c r="D275" i="2"/>
  <c r="D353" i="2"/>
  <c r="D497" i="2"/>
  <c r="D642" i="2" s="1"/>
  <c r="D742" i="2"/>
  <c r="D235" i="2"/>
  <c r="D388" i="2"/>
  <c r="D533" i="2" s="1"/>
  <c r="D314" i="2"/>
  <c r="D461" i="2"/>
  <c r="D606" i="2" s="1"/>
  <c r="D717" i="2"/>
  <c r="D236" i="2" l="1"/>
  <c r="D389" i="2"/>
  <c r="D534" i="2" s="1"/>
  <c r="D354" i="2"/>
  <c r="D743" i="2"/>
  <c r="D498" i="2"/>
  <c r="D643" i="2" s="1"/>
  <c r="D426" i="2"/>
  <c r="D571" i="2" s="1"/>
  <c r="D693" i="2"/>
  <c r="D276" i="2"/>
  <c r="D462" i="2"/>
  <c r="D607" i="2" s="1"/>
  <c r="D315" i="2"/>
  <c r="D718" i="2"/>
  <c r="D463" i="2" l="1"/>
  <c r="D608" i="2" s="1"/>
  <c r="D719" i="2"/>
  <c r="D427" i="2"/>
  <c r="D572" i="2" s="1"/>
  <c r="D694" i="2"/>
  <c r="D744" i="2"/>
  <c r="E36" i="3" s="1"/>
  <c r="D499" i="2"/>
  <c r="D237" i="2"/>
  <c r="D391" i="2" s="1"/>
  <c r="D536" i="2" s="1"/>
  <c r="D390" i="2"/>
  <c r="D535" i="2" s="1"/>
  <c r="D644" i="2" l="1"/>
  <c r="E24" i="3" s="1"/>
  <c r="E43" i="3" s="1"/>
  <c r="E45" i="3" s="1"/>
  <c r="E12" i="3"/>
</calcChain>
</file>

<file path=xl/sharedStrings.xml><?xml version="1.0" encoding="utf-8"?>
<sst xmlns="http://schemas.openxmlformats.org/spreadsheetml/2006/main" count="3498" uniqueCount="1057">
  <si>
    <t>Section</t>
  </si>
  <si>
    <t>Subsection</t>
  </si>
  <si>
    <t>Variable name</t>
  </si>
  <si>
    <t>Is Tunable By User?</t>
  </si>
  <si>
    <t>Min range</t>
  </si>
  <si>
    <t>Max range</t>
  </si>
  <si>
    <t>Unit</t>
  </si>
  <si>
    <t>Default Value</t>
  </si>
  <si>
    <t>Comments (note on the value, source of the default, etc.)</t>
  </si>
  <si>
    <t>No</t>
  </si>
  <si>
    <t>Yes</t>
  </si>
  <si>
    <t>Variable Name</t>
  </si>
  <si>
    <t>must be unique</t>
  </si>
  <si>
    <t>Formula</t>
  </si>
  <si>
    <t>optional</t>
  </si>
  <si>
    <t>only if tunable</t>
  </si>
  <si>
    <t>Mother impact</t>
  </si>
  <si>
    <t>Cohort</t>
  </si>
  <si>
    <t xml:space="preserve">With ongoing mental health problems </t>
  </si>
  <si>
    <t xml:space="preserve">Disability Adjusted Life Years </t>
  </si>
  <si>
    <t>Duration of perinatal mental health problems</t>
  </si>
  <si>
    <t>Yrs</t>
  </si>
  <si>
    <t>Disability weight for moderate depression</t>
  </si>
  <si>
    <t xml:space="preserve">Disability weight for severe depression </t>
  </si>
  <si>
    <t>Disability weight for moderate anxiety</t>
  </si>
  <si>
    <t>Years of Life Lost</t>
  </si>
  <si>
    <t>Number</t>
  </si>
  <si>
    <t>Percentage</t>
  </si>
  <si>
    <t>Weight</t>
  </si>
  <si>
    <t>Rate</t>
  </si>
  <si>
    <t>Weight for valuing DALY with GDP per capita</t>
  </si>
  <si>
    <t>Disability Adjusted Life Years</t>
  </si>
  <si>
    <t>Children impact</t>
  </si>
  <si>
    <t>Mortality probability (women aged 15 to 39yrs)</t>
  </si>
  <si>
    <t xml:space="preserve">Mortality probability during / after birth </t>
  </si>
  <si>
    <t>Number of women antenatal period</t>
  </si>
  <si>
    <t>Number of women postnatal period</t>
  </si>
  <si>
    <t>Number of women Year + 1</t>
  </si>
  <si>
    <t>Number of women Year + 2</t>
  </si>
  <si>
    <t>Number of women Year + 3</t>
  </si>
  <si>
    <t>Number of women Year + 4</t>
  </si>
  <si>
    <t>Number of women Year + 5</t>
  </si>
  <si>
    <t>Number of women Year + 6</t>
  </si>
  <si>
    <t>Number of women Year + 7</t>
  </si>
  <si>
    <t>Number of women Year + 8</t>
  </si>
  <si>
    <t>Number of women Year + 9</t>
  </si>
  <si>
    <t>Number of women Year + 10</t>
  </si>
  <si>
    <t xml:space="preserve">Women with moderate depression </t>
  </si>
  <si>
    <t xml:space="preserve">Number women moderately depressed antenatal </t>
  </si>
  <si>
    <t xml:space="preserve">Number women moderately depressed postnatal </t>
  </si>
  <si>
    <t>Number women moderately depressed Year +1</t>
  </si>
  <si>
    <t>Number women moderately depressed Year +2</t>
  </si>
  <si>
    <t>Number women moderately depressed Year +3</t>
  </si>
  <si>
    <t>Number women moderately depressed Year +4</t>
  </si>
  <si>
    <t>Number women moderately depressed Year +5</t>
  </si>
  <si>
    <t>Number women moderately depressed Year +6</t>
  </si>
  <si>
    <t>Number women moderately depressed Year +7</t>
  </si>
  <si>
    <t>Number women moderately depressed Year +8</t>
  </si>
  <si>
    <t>Number women moderately depressed Year +9</t>
  </si>
  <si>
    <t xml:space="preserve">Women with severe depression </t>
  </si>
  <si>
    <t>Prevalence postnatal depression (moderate or severe)</t>
  </si>
  <si>
    <t xml:space="preserve">Number women severely depressed antenatal </t>
  </si>
  <si>
    <t xml:space="preserve">Number women severly depressed postnatal </t>
  </si>
  <si>
    <t>Women with anxiety</t>
  </si>
  <si>
    <t>Number women anxious antenatal</t>
  </si>
  <si>
    <t>Number women anxious postnatal</t>
  </si>
  <si>
    <t>DALYs women moderately depresssed antenatal</t>
  </si>
  <si>
    <t>DALYs women moderately depresssed postnatal</t>
  </si>
  <si>
    <t>Discount rate +1</t>
  </si>
  <si>
    <t>DALYs women severely depresssed postnatal</t>
  </si>
  <si>
    <t>DALYs women severely depresssed Year +1</t>
  </si>
  <si>
    <t>DALYs women severely depresssed antenatal</t>
  </si>
  <si>
    <t>DALYs women anxious antenatal</t>
  </si>
  <si>
    <t>DALYs women anxious postnatal</t>
  </si>
  <si>
    <t>DALYs women anxious Year +1</t>
  </si>
  <si>
    <t>DALYs women anxious Year +2</t>
  </si>
  <si>
    <t>DALYs women anxious Year +3</t>
  </si>
  <si>
    <t>DALYs women anxious Year +4</t>
  </si>
  <si>
    <t>DALYs women anxious Year +5</t>
  </si>
  <si>
    <t>DALYs women anxious Year +6</t>
  </si>
  <si>
    <t>DALYs women anxious Year +7</t>
  </si>
  <si>
    <t>DALYs women anxious Year +8</t>
  </si>
  <si>
    <t>DALYs women anxious Year +9</t>
  </si>
  <si>
    <t>DALYs women anxious Year +10</t>
  </si>
  <si>
    <t>DALYs in USD</t>
  </si>
  <si>
    <t>DALYs women moderately depresssed antenatal, in USD</t>
  </si>
  <si>
    <t>DALYs women moderately depresssed postnatal, in USD</t>
  </si>
  <si>
    <t>DALYs women severely depresssed antenatal, in USD</t>
  </si>
  <si>
    <t>DALYs women severely depresssed postnatal, in USD</t>
  </si>
  <si>
    <t>DALYs women severely depresssed Year +1, in USD</t>
  </si>
  <si>
    <t>DALYs women anxious antenatal, in USD</t>
  </si>
  <si>
    <t>DALYs women anxious postnatal, in USD</t>
  </si>
  <si>
    <t>DALYs women anxious Year +1, in USD</t>
  </si>
  <si>
    <t>DALYs women anxious Year +2, in USD</t>
  </si>
  <si>
    <t>DALYs women anxious Year +3, in USD</t>
  </si>
  <si>
    <t>DALYs women anxious Year +4, in USD</t>
  </si>
  <si>
    <t>DALYs women anxious Year +5, in USD</t>
  </si>
  <si>
    <t>DALYs women anxious Year +6, in USD</t>
  </si>
  <si>
    <t>DALYs women anxious Year +7, in USD</t>
  </si>
  <si>
    <t>DALYs women anxious Year +8, in USD</t>
  </si>
  <si>
    <t>DALYs women anxious Year +9, in USD</t>
  </si>
  <si>
    <t>DALYs women anxious Year +10, in USD</t>
  </si>
  <si>
    <t>Discounting</t>
  </si>
  <si>
    <t xml:space="preserve">Mortality </t>
  </si>
  <si>
    <t>Mortality</t>
  </si>
  <si>
    <t>Probability</t>
  </si>
  <si>
    <t>GDP per capita (all)</t>
  </si>
  <si>
    <t xml:space="preserve">Women committing suicide </t>
  </si>
  <si>
    <t>Years of Life Lost due to suicide</t>
  </si>
  <si>
    <t>Suicide rate ante- and postnatal period (per 100,000)</t>
  </si>
  <si>
    <t>Number women moderately depressed Year +10</t>
  </si>
  <si>
    <t>Number women severly depressed Year +1</t>
  </si>
  <si>
    <t>Number women severly depressed Year +2</t>
  </si>
  <si>
    <t>Number women severly depressed Year +3</t>
  </si>
  <si>
    <t>Number women severly depressed Year +4</t>
  </si>
  <si>
    <t>Number women severly depressed Year +5</t>
  </si>
  <si>
    <t>Number women severly depressed Year +6</t>
  </si>
  <si>
    <t>Number women severly depressed Year +7</t>
  </si>
  <si>
    <t>Number women severly depressed Year +8</t>
  </si>
  <si>
    <t>Number women severly depressed Year +9</t>
  </si>
  <si>
    <t>Number women severly depressed Year +10</t>
  </si>
  <si>
    <t>Number women anxious Year +1</t>
  </si>
  <si>
    <t>Number women anxious Year +2</t>
  </si>
  <si>
    <t>Number women anxious Year +3</t>
  </si>
  <si>
    <t>Number women anxious Year +4</t>
  </si>
  <si>
    <t>Number women anxious Year +5</t>
  </si>
  <si>
    <t>Number women anxious Year +6</t>
  </si>
  <si>
    <t>Number women anxious Year +7</t>
  </si>
  <si>
    <t>Number women anxious Year +8</t>
  </si>
  <si>
    <t>Number women anxious Year +9</t>
  </si>
  <si>
    <t>Number women anxious Year +10</t>
  </si>
  <si>
    <t>Income loss women anxiety antenatal</t>
  </si>
  <si>
    <t>Income loss women anxiety postnatal</t>
  </si>
  <si>
    <t>Income loss women anxiety Year +1</t>
  </si>
  <si>
    <t>Income loss women anxiety Year +2</t>
  </si>
  <si>
    <t>Income loss women anxiety Year +3</t>
  </si>
  <si>
    <t>Income loss women anxiety Year +4</t>
  </si>
  <si>
    <t>Income loss women anxiety Year +5</t>
  </si>
  <si>
    <t>Income loss women anxiety Year +6</t>
  </si>
  <si>
    <t>Income loss women anxiety Year +7</t>
  </si>
  <si>
    <t>Income loss women anxiety Year +8</t>
  </si>
  <si>
    <t>Income loss women anxiety Year +9</t>
  </si>
  <si>
    <t>Income loss women anxiety Year +10</t>
  </si>
  <si>
    <t>Formula expanded</t>
  </si>
  <si>
    <t>Proportion of antenatal depression that is moderate depression</t>
  </si>
  <si>
    <t>Proportion of antenatal depression that is severe depression</t>
  </si>
  <si>
    <t>Proportion of postnatal depression that is moderate depression</t>
  </si>
  <si>
    <t>Proportion of postnatal depression that is severe depression</t>
  </si>
  <si>
    <t xml:space="preserve">Prevalence / probability ongoing depression </t>
  </si>
  <si>
    <t>Value for quality of life loss</t>
  </si>
  <si>
    <t>Number women committing suicide ante- and postnatal</t>
  </si>
  <si>
    <t>DALYs women moderately depresssed Year +1</t>
  </si>
  <si>
    <t>DALYs women moderately depresssed Year +2</t>
  </si>
  <si>
    <t>DALYs women committing suicide ante and postnatal</t>
  </si>
  <si>
    <t>DALYs women severely depresssed Year +2, in USD</t>
  </si>
  <si>
    <t>DALYs women severely depresssed Year +3, in USD</t>
  </si>
  <si>
    <t>DALYs women severely depresssed Year +4, in USD</t>
  </si>
  <si>
    <t>DALYs women severely depresssed Year +5, in USD</t>
  </si>
  <si>
    <t>DALYs women severely depresssed Year +6, in USD</t>
  </si>
  <si>
    <t>DALYs women severely depresssed Year +7, in USD</t>
  </si>
  <si>
    <t>DALYs women severely depresssed Year +8, in USD</t>
  </si>
  <si>
    <t>DALYs women severely depresssed Year +9, in USD</t>
  </si>
  <si>
    <t>DALYs women severely depresssed Year +10, in USD</t>
  </si>
  <si>
    <t>DALYs women moderately depresssed Year +1, in USD</t>
  </si>
  <si>
    <t>DALYs women severely depresssed Year +2</t>
  </si>
  <si>
    <t>DALYs women severely depresssed Year +3</t>
  </si>
  <si>
    <t>DALYs women moderately depresssed Year +3</t>
  </si>
  <si>
    <t>DALYs women moderately depresssed Year +4</t>
  </si>
  <si>
    <t>DALYs women moderately depresssed Year +5</t>
  </si>
  <si>
    <t>DALYs women moderately depresssed Year +6</t>
  </si>
  <si>
    <t>DALYs women moderately depresssed Year +7</t>
  </si>
  <si>
    <t>DALYs women moderately depresssed Year +8</t>
  </si>
  <si>
    <t>DALYs women moderately depresssed Year +9</t>
  </si>
  <si>
    <t>DALYs women moderately depresssed Year +10</t>
  </si>
  <si>
    <t>DALYs women severely depresssed Year +4</t>
  </si>
  <si>
    <t>DALYs women severely depresssed Year +5</t>
  </si>
  <si>
    <t>DALYs women severely depresssed Year +6</t>
  </si>
  <si>
    <t>DALYs women severely depresssed Year +7</t>
  </si>
  <si>
    <t>DALYs women severely depresssed Year +8</t>
  </si>
  <si>
    <t>DALYs women severely depresssed Year +9</t>
  </si>
  <si>
    <t>DALYs women severely depresssed Year +10</t>
  </si>
  <si>
    <t>DALYs women moderately depresssed Year +2, in USD</t>
  </si>
  <si>
    <t>DALYs women moderately depresssed Year +3, in USD</t>
  </si>
  <si>
    <t>DALYs women moderately depresssed Year +4, in USD</t>
  </si>
  <si>
    <t>DALYs women moderately depresssed Year +5, in USD</t>
  </si>
  <si>
    <t>DALYs women moderately depresssed Year +6, in USD</t>
  </si>
  <si>
    <t>DALYs women moderately depresssed Year +7, in USD</t>
  </si>
  <si>
    <t>DALYs women moderately depresssed Year +8, in USD</t>
  </si>
  <si>
    <t>DALYs women moderately depresssed Year +9, in USD</t>
  </si>
  <si>
    <t>DALYs women moderately depresssed Year +10, in USD</t>
  </si>
  <si>
    <t>DALYs discounted</t>
  </si>
  <si>
    <t>Income loss depression discounted</t>
  </si>
  <si>
    <t>Income loss anxiety discounted</t>
  </si>
  <si>
    <t>Years for calculating child impact</t>
  </si>
  <si>
    <t>Life year 1</t>
  </si>
  <si>
    <t>Life year 2</t>
  </si>
  <si>
    <t>Life year 3</t>
  </si>
  <si>
    <t>Life year 4</t>
  </si>
  <si>
    <t>Life year 5</t>
  </si>
  <si>
    <t>Life year 6</t>
  </si>
  <si>
    <t>Life year 7</t>
  </si>
  <si>
    <t>Life year 8</t>
  </si>
  <si>
    <t>Life year 9</t>
  </si>
  <si>
    <t>Life year 10</t>
  </si>
  <si>
    <t>Life year 11</t>
  </si>
  <si>
    <t>Life year 12</t>
  </si>
  <si>
    <t>Life year 13</t>
  </si>
  <si>
    <t>Life year 14</t>
  </si>
  <si>
    <t>Life year 15</t>
  </si>
  <si>
    <t>Life year 16</t>
  </si>
  <si>
    <t>Life year 17</t>
  </si>
  <si>
    <t>Life year 18</t>
  </si>
  <si>
    <t>Life year 19</t>
  </si>
  <si>
    <t>Life year 20</t>
  </si>
  <si>
    <t>Life year 21</t>
  </si>
  <si>
    <t>Life year 22</t>
  </si>
  <si>
    <t>Life year 23</t>
  </si>
  <si>
    <t>Life year 24</t>
  </si>
  <si>
    <t>Life year 25</t>
  </si>
  <si>
    <t>Life year 26</t>
  </si>
  <si>
    <t>Life year 27</t>
  </si>
  <si>
    <t>Life year 28</t>
  </si>
  <si>
    <t>Life year 29</t>
  </si>
  <si>
    <t>Life year 30</t>
  </si>
  <si>
    <t>Life year 31</t>
  </si>
  <si>
    <t>Life year 32</t>
  </si>
  <si>
    <t>Life year 33</t>
  </si>
  <si>
    <t>Life year 34</t>
  </si>
  <si>
    <t>Life year 35</t>
  </si>
  <si>
    <t>Life year 36</t>
  </si>
  <si>
    <t>Life year 37</t>
  </si>
  <si>
    <t>Life year 38</t>
  </si>
  <si>
    <t>Life year 39</t>
  </si>
  <si>
    <t>Life year 40</t>
  </si>
  <si>
    <t>Year</t>
  </si>
  <si>
    <t xml:space="preserve">Quality Adjusted Life Years </t>
  </si>
  <si>
    <t>we can't derive this</t>
  </si>
  <si>
    <t>Income decrement depression women per year, in USD</t>
  </si>
  <si>
    <t>Income decrement anxiety women per year, in USD</t>
  </si>
  <si>
    <t>Mothers impact</t>
  </si>
  <si>
    <t>Mothers + children impact</t>
  </si>
  <si>
    <t>Health utility weight for moderate depression</t>
  </si>
  <si>
    <t xml:space="preserve">Health utility weight for severe depression </t>
  </si>
  <si>
    <t>Exchange rate Thai Bat USD</t>
  </si>
  <si>
    <t>Exchange rate</t>
  </si>
  <si>
    <t>e.g., Calculated by muliplying birth rate w population</t>
  </si>
  <si>
    <t>Still birth rate (per 1,000)</t>
  </si>
  <si>
    <t>Health utility weight for moderate anxiety</t>
  </si>
  <si>
    <t>Exposure</t>
  </si>
  <si>
    <t>Valuing quality of life loss, in USD</t>
  </si>
  <si>
    <t>Valuing productivity loss, in USD</t>
  </si>
  <si>
    <t>GDP per capita</t>
  </si>
  <si>
    <t>Number of additional children outcome 1 Age 0 - 1</t>
  </si>
  <si>
    <t>Prevalence of perinatal mental health condition impacting on child outcome 1 PRTB</t>
  </si>
  <si>
    <t>Prevalence of perinatal mental health condition impacting on child outcome 3 HOSP</t>
  </si>
  <si>
    <t>Prevalence of perinatal mental health condition impacting on child outcome 5 ASTH</t>
  </si>
  <si>
    <t>Prevalence of perinatal mental health condition impacting on child outcome 4 DIARRH</t>
  </si>
  <si>
    <t>Prevalence of perinatal mental health condition impacting on child outcome 6 LRTI</t>
  </si>
  <si>
    <t>Prevalence of perinatal mental health condition impacting on child outcome 7 STUNT</t>
  </si>
  <si>
    <t>Prevalence of perinatal mental health condition impacting on child outcome 8 WAST</t>
  </si>
  <si>
    <t>Prevalence of perinatal mental health condition impacting on child outcome 9 CD</t>
  </si>
  <si>
    <t>Prevalence of perinatal mental health condition impacting on child outcome 10 AD</t>
  </si>
  <si>
    <t>Prevalence of perinatal mental health condition impacting on child outcome 11 ED</t>
  </si>
  <si>
    <t>PRTB = pre-term birth</t>
  </si>
  <si>
    <t>LBW = low birth weight</t>
  </si>
  <si>
    <t>HOSP = hospitalisation</t>
  </si>
  <si>
    <t>DIARRH = diarrhoea</t>
  </si>
  <si>
    <t>ASTH = asthma/ severe recurring wheezing</t>
  </si>
  <si>
    <t>LRTI = lower respiratory tract infections</t>
  </si>
  <si>
    <t>STUNT = stunting</t>
  </si>
  <si>
    <t>WAST = wasting</t>
  </si>
  <si>
    <t>CD = conduct disorder</t>
  </si>
  <si>
    <t>AD = attention disorder</t>
  </si>
  <si>
    <t>ED = emotional disorder</t>
  </si>
  <si>
    <t>Prevalence of perinatal mental health condition impacting on child outcome 2 LBW</t>
  </si>
  <si>
    <t>Disability weight outcome 5 ASTH</t>
  </si>
  <si>
    <t>Income decrement outcomes 9 to 11</t>
  </si>
  <si>
    <t>QALYs loss lifetime total outcome 2 LBW</t>
  </si>
  <si>
    <t>DALYs lifetime total outcome 2 LBW</t>
  </si>
  <si>
    <t>Number of additional children outcome 2 Age 0 - 1</t>
  </si>
  <si>
    <t>Number of additional children outcome 3 Age 0 - 1</t>
  </si>
  <si>
    <t>Number of additional children outcome 4 Age 0 -1</t>
  </si>
  <si>
    <t>Number of additional children outcome 5 Age 0 - 1</t>
  </si>
  <si>
    <t>Number of additional children outcome 6 Age 0 - 1</t>
  </si>
  <si>
    <t>Number of additional children outcome 7 Age 0 - 1</t>
  </si>
  <si>
    <t>Number of additional children outcome 8 Age 0 - 1</t>
  </si>
  <si>
    <t>Number of additional children outcome 9 Age 0 - 1</t>
  </si>
  <si>
    <t>Number of additional children outcome 10 Age 0 - 1</t>
  </si>
  <si>
    <t>Number of additional children outcome 11 Age 0 - 1</t>
  </si>
  <si>
    <t xml:space="preserve">Children 0 to 1 with problems due to exposure </t>
  </si>
  <si>
    <t xml:space="preserve">Children 1 onwards with problems due to exposure </t>
  </si>
  <si>
    <t>Number of additional children outcome 7 Age 2</t>
  </si>
  <si>
    <t>Number of additional children outcome 7 Age 3</t>
  </si>
  <si>
    <t>Number of additional children outcome 7 Age 4</t>
  </si>
  <si>
    <t>Number of additional children outcome 7 Age 5</t>
  </si>
  <si>
    <t>Number of additional children outcome 7 Age 6</t>
  </si>
  <si>
    <t>Number of additional children outcome 7 Age 7</t>
  </si>
  <si>
    <t>Number of additional children outcome 7 Age 8</t>
  </si>
  <si>
    <t>Number of additional children outcome 7 Age 9</t>
  </si>
  <si>
    <t>Number of additional children outcome 7 Age 10</t>
  </si>
  <si>
    <t>Number of additional children outcome 7 Age 11</t>
  </si>
  <si>
    <t>Number of additional children outcome 7 Age 12</t>
  </si>
  <si>
    <t>Number of additional children outcome 7 Age 13</t>
  </si>
  <si>
    <t>Number of additional children outcome 7 Age 14</t>
  </si>
  <si>
    <t>Number of additional children outcome 7 Age 15</t>
  </si>
  <si>
    <t>Number of additional children outcome 7 Age 16</t>
  </si>
  <si>
    <t>Number of additional children outcome 7 Age 17</t>
  </si>
  <si>
    <t>Number of additional children outcome 7 Age 18</t>
  </si>
  <si>
    <t>Number of additional children outcome 7 Age 19</t>
  </si>
  <si>
    <t>Number of additional children outcome 7 Age 20</t>
  </si>
  <si>
    <t>Number of additional children outcome 7 Age 21</t>
  </si>
  <si>
    <t>Number of additional children outcome 7 Age 22</t>
  </si>
  <si>
    <t>Number of additional children outcome 7 Age 23</t>
  </si>
  <si>
    <t>Number of additional children outcome 7 Age 24</t>
  </si>
  <si>
    <t>Number of additional children outcome 7 Age 25</t>
  </si>
  <si>
    <t>Number of additional children outcome 7 Age 26</t>
  </si>
  <si>
    <t>Number of additional children outcome 7 Age 27</t>
  </si>
  <si>
    <t>Number of additional children outcome 7 Age 28</t>
  </si>
  <si>
    <t>Number of additional children outcome 7 Age 29</t>
  </si>
  <si>
    <t>Number of additional children outcome 7 Age 30</t>
  </si>
  <si>
    <t>Number of additional children outcome 7 Age 31</t>
  </si>
  <si>
    <t>Number of additional children outcome 7 Age 32</t>
  </si>
  <si>
    <t>Number of additional children outcome 7 Age 33</t>
  </si>
  <si>
    <t>Number of additional children outcome 7 Age 34</t>
  </si>
  <si>
    <t>Number of additional children outcome 7 Age 35</t>
  </si>
  <si>
    <t>Number of additional children outcome 7 Age 36</t>
  </si>
  <si>
    <t>Number of additional children outcome 7 Age 37</t>
  </si>
  <si>
    <t>Number of additional children outcome 7 Age 38</t>
  </si>
  <si>
    <t>Number of additional children outcome 7 Age 39</t>
  </si>
  <si>
    <t>Number of additional children outcome 7 Age 40</t>
  </si>
  <si>
    <t>Number of additional children outcome 8 Age 2</t>
  </si>
  <si>
    <t>Number of additional children outcome 8 Age 3</t>
  </si>
  <si>
    <t>Number of additional children outcome 8 Age 4</t>
  </si>
  <si>
    <t>Number of additional children outcome 8 Age 5</t>
  </si>
  <si>
    <t>Number of additional children outcome 8 Age 6</t>
  </si>
  <si>
    <t>Number of additional children outcome 8 Age 7</t>
  </si>
  <si>
    <t>Number of additional children outcome 8 Age 8</t>
  </si>
  <si>
    <t>Number of additional children outcome 8 Age 9</t>
  </si>
  <si>
    <t>Number of additional children outcome 8 Age 10</t>
  </si>
  <si>
    <t>Number of additional children outcome 8 Age 11</t>
  </si>
  <si>
    <t>Number of additional children outcome 8 Age 12</t>
  </si>
  <si>
    <t>Number of additional children outcome 8 Age 13</t>
  </si>
  <si>
    <t>Number of additional children outcome 8 Age 14</t>
  </si>
  <si>
    <t>Number of additional children outcome 8 Age 15</t>
  </si>
  <si>
    <t>Number of additional children outcome 8 Age 16</t>
  </si>
  <si>
    <t>Number of additional children outcome 8 Age 17</t>
  </si>
  <si>
    <t>Number of additional children outcome 8 Age 18</t>
  </si>
  <si>
    <t>Number of additional children outcome 8 Age 19</t>
  </si>
  <si>
    <t>Number of additional children outcome 8 Age 20</t>
  </si>
  <si>
    <t>Number of additional children outcome 8 Age 21</t>
  </si>
  <si>
    <t>Number of additional children outcome 8 Age 22</t>
  </si>
  <si>
    <t>Number of additional children outcome 8 Age 23</t>
  </si>
  <si>
    <t>Number of additional children outcome 8 Age 24</t>
  </si>
  <si>
    <t>Number of additional children outcome 8 Age 25</t>
  </si>
  <si>
    <t>Number of additional children outcome 8 Age 26</t>
  </si>
  <si>
    <t>Number of additional children outcome 8 Age 27</t>
  </si>
  <si>
    <t>Number of additional children outcome 8 Age 28</t>
  </si>
  <si>
    <t>Number of additional children outcome 8 Age 29</t>
  </si>
  <si>
    <t>Number of additional children outcome 8 Age 30</t>
  </si>
  <si>
    <t>Number of additional children outcome 8 Age 31</t>
  </si>
  <si>
    <t>Number of additional children outcome 8 Age 32</t>
  </si>
  <si>
    <t>Number of additional children outcome 8 Age 33</t>
  </si>
  <si>
    <t>Number of additional children outcome 8 Age 34</t>
  </si>
  <si>
    <t>Number of additional children outcome 8 Age 35</t>
  </si>
  <si>
    <t>Number of additional children outcome 8 Age 36</t>
  </si>
  <si>
    <t>Number of additional children outcome 8 Age 37</t>
  </si>
  <si>
    <t>Number of additional children outcome 8 Age 38</t>
  </si>
  <si>
    <t>Number of additional children outcome 8 Age 39</t>
  </si>
  <si>
    <t>Number of additional children outcome 8 Age 40</t>
  </si>
  <si>
    <t>Number of additional children outcome 9 Age 2</t>
  </si>
  <si>
    <t>Number of additional children outcome 9 Age 3</t>
  </si>
  <si>
    <t>Number of additional children outcome 9 Age 4</t>
  </si>
  <si>
    <t>Number of additional children outcome 9 Age 5</t>
  </si>
  <si>
    <t>Number of additional children outcome 9 Age 6</t>
  </si>
  <si>
    <t>Number of additional children outcome 9 Age 7</t>
  </si>
  <si>
    <t>Number of additional children outcome 9 Age 8</t>
  </si>
  <si>
    <t>Number of additional children outcome 9 Age 9</t>
  </si>
  <si>
    <t>Number of additional children outcome 9 Age 10</t>
  </si>
  <si>
    <t>Number of additional children outcome 9 Age 11</t>
  </si>
  <si>
    <t>Number of additional children outcome 9 Age 12</t>
  </si>
  <si>
    <t>Number of additional children outcome 9 Age 13</t>
  </si>
  <si>
    <t>Number of additional children outcome 9 Age 14</t>
  </si>
  <si>
    <t>Number of additional children outcome 9 Age 15</t>
  </si>
  <si>
    <t>Number of additional children outcome 9 Age 16</t>
  </si>
  <si>
    <t>Number of additional children outcome 9 Age 17</t>
  </si>
  <si>
    <t>Number of additional children outcome 9 Age 18</t>
  </si>
  <si>
    <t>Number of additional children outcome 9 Age 19</t>
  </si>
  <si>
    <t>Number of additional children outcome 9 Age 20</t>
  </si>
  <si>
    <t>Number of additional children outcome 9 Age 21</t>
  </si>
  <si>
    <t>Number of additional children outcome 9 Age 22</t>
  </si>
  <si>
    <t>Number of additional children outcome 9 Age 23</t>
  </si>
  <si>
    <t>Number of additional children outcome 9 Age 24</t>
  </si>
  <si>
    <t>Number of additional children outcome 9 Age 25</t>
  </si>
  <si>
    <t>Number of additional children outcome 9 Age 26</t>
  </si>
  <si>
    <t>Number of additional children outcome 9 Age 27</t>
  </si>
  <si>
    <t>Number of additional children outcome 9 Age 28</t>
  </si>
  <si>
    <t>Number of additional children outcome 9 Age 29</t>
  </si>
  <si>
    <t>Number of additional children outcome 9 Age 30</t>
  </si>
  <si>
    <t>Number of additional children outcome 9 Age 31</t>
  </si>
  <si>
    <t>Number of additional children outcome 9 Age 32</t>
  </si>
  <si>
    <t>Number of additional children outcome 9 Age 33</t>
  </si>
  <si>
    <t>Number of additional children outcome 9 Age 34</t>
  </si>
  <si>
    <t>Number of additional children outcome 9 Age 35</t>
  </si>
  <si>
    <t>Number of additional children outcome 9 Age 36</t>
  </si>
  <si>
    <t>Number of additional children outcome 9 Age 37</t>
  </si>
  <si>
    <t>Number of additional children outcome 9 Age 38</t>
  </si>
  <si>
    <t>Number of additional children outcome 9 Age 39</t>
  </si>
  <si>
    <t>Number of additional children outcome 9 Age 40</t>
  </si>
  <si>
    <t>Number of additional children outcome 10 Age 2</t>
  </si>
  <si>
    <t>Number of additional children outcome 10 Age 3</t>
  </si>
  <si>
    <t>Number of additional children outcome 10 Age 4</t>
  </si>
  <si>
    <t>Number of additional children outcome 10 Age 5</t>
  </si>
  <si>
    <t>Number of additional children outcome 10 Age 6</t>
  </si>
  <si>
    <t>Number of additional children outcome 10 Age 7</t>
  </si>
  <si>
    <t>Number of additional children outcome 10 Age 8</t>
  </si>
  <si>
    <t>Number of additional children outcome 10 Age 9</t>
  </si>
  <si>
    <t>Number of additional children outcome 10 Age 10</t>
  </si>
  <si>
    <t>Number of additional children outcome 10 Age 11</t>
  </si>
  <si>
    <t>Number of additional children outcome 10 Age 12</t>
  </si>
  <si>
    <t>Number of additional children outcome 10 Age 13</t>
  </si>
  <si>
    <t>Number of additional children outcome 10 Age 14</t>
  </si>
  <si>
    <t>Number of additional children outcome 10 Age 15</t>
  </si>
  <si>
    <t>Number of additional children outcome 10 Age 16</t>
  </si>
  <si>
    <t>Number of additional children outcome 10 Age 17</t>
  </si>
  <si>
    <t>Number of additional children outcome 10 Age 18</t>
  </si>
  <si>
    <t>Number of additional children outcome 10 Age 19</t>
  </si>
  <si>
    <t>Number of additional children outcome 10 Age 20</t>
  </si>
  <si>
    <t>Number of additional children outcome 10 Age 21</t>
  </si>
  <si>
    <t>Number of additional children outcome 10 Age 22</t>
  </si>
  <si>
    <t>Number of additional children outcome 10 Age 23</t>
  </si>
  <si>
    <t>Number of additional children outcome 10 Age 24</t>
  </si>
  <si>
    <t>Number of additional children outcome 10 Age 25</t>
  </si>
  <si>
    <t>Number of additional children outcome 10 Age 26</t>
  </si>
  <si>
    <t>Number of additional children outcome 10 Age 27</t>
  </si>
  <si>
    <t>Number of additional children outcome 10 Age 28</t>
  </si>
  <si>
    <t>Number of additional children outcome 10 Age 29</t>
  </si>
  <si>
    <t>Number of additional children outcome 10 Age 30</t>
  </si>
  <si>
    <t>Number of additional children outcome 10 Age 31</t>
  </si>
  <si>
    <t>Number of additional children outcome 10 Age 32</t>
  </si>
  <si>
    <t>Number of additional children outcome 10 Age 33</t>
  </si>
  <si>
    <t>Number of additional children outcome 10 Age 34</t>
  </si>
  <si>
    <t>Number of additional children outcome 10 Age 35</t>
  </si>
  <si>
    <t>Number of additional children outcome 10 Age 36</t>
  </si>
  <si>
    <t>Number of additional children outcome 10 Age 37</t>
  </si>
  <si>
    <t>Number of additional children outcome 10 Age 38</t>
  </si>
  <si>
    <t>Number of additional children outcome 10 Age 39</t>
  </si>
  <si>
    <t>Number of additional children outcome 10 Age 40</t>
  </si>
  <si>
    <t>Number of additional children outcome 11 Age 2</t>
  </si>
  <si>
    <t>Number of additional children outcome 11 Age 3</t>
  </si>
  <si>
    <t>Number of additional children outcome 11 Age 4</t>
  </si>
  <si>
    <t>Number of additional children outcome 11 Age 5</t>
  </si>
  <si>
    <t>Number of additional children outcome 11 Age 6</t>
  </si>
  <si>
    <t>Number of additional children outcome 11 Age 7</t>
  </si>
  <si>
    <t>Number of additional children outcome 11 Age 8</t>
  </si>
  <si>
    <t>Number of additional children outcome 11 Age 9</t>
  </si>
  <si>
    <t>Number of additional children outcome 11 Age 10</t>
  </si>
  <si>
    <t>Number of additional children outcome 11 Age 11</t>
  </si>
  <si>
    <t>Number of additional children outcome 11 Age 12</t>
  </si>
  <si>
    <t>Number of additional children outcome 11 Age 13</t>
  </si>
  <si>
    <t>Number of additional children outcome 11 Age 14</t>
  </si>
  <si>
    <t>Number of additional children outcome 11 Age 15</t>
  </si>
  <si>
    <t>Number of additional children outcome 11 Age 16</t>
  </si>
  <si>
    <t>Number of additional children outcome 11 Age 17</t>
  </si>
  <si>
    <t>Number of additional children outcome 11 Age 18</t>
  </si>
  <si>
    <t>Number of additional children outcome 11 Age 19</t>
  </si>
  <si>
    <t>Number of additional children outcome 11 Age 20</t>
  </si>
  <si>
    <t>Number of additional children outcome 11 Age 21</t>
  </si>
  <si>
    <t>Number of additional children outcome 11 Age 22</t>
  </si>
  <si>
    <t>Number of additional children outcome 11 Age 23</t>
  </si>
  <si>
    <t>Number of additional children outcome 11 Age 24</t>
  </si>
  <si>
    <t>Number of additional children outcome 11 Age 25</t>
  </si>
  <si>
    <t>Number of additional children outcome 11 Age 26</t>
  </si>
  <si>
    <t>Number of additional children outcome 11 Age 27</t>
  </si>
  <si>
    <t>Number of additional children outcome 11 Age 28</t>
  </si>
  <si>
    <t>Number of additional children outcome 11 Age 29</t>
  </si>
  <si>
    <t>Number of additional children outcome 11 Age 30</t>
  </si>
  <si>
    <t>Number of additional children outcome 11 Age 31</t>
  </si>
  <si>
    <t>Number of additional children outcome 11 Age 32</t>
  </si>
  <si>
    <t>Number of additional children outcome 11 Age 33</t>
  </si>
  <si>
    <t>Number of additional children outcome 11 Age 34</t>
  </si>
  <si>
    <t>Number of additional children outcome 11 Age 35</t>
  </si>
  <si>
    <t>Number of additional children outcome 11 Age 36</t>
  </si>
  <si>
    <t>Number of additional children outcome 11 Age 37</t>
  </si>
  <si>
    <t>Number of additional children outcome 11 Age 38</t>
  </si>
  <si>
    <t>Number of additional children outcome 11 Age 39</t>
  </si>
  <si>
    <t>Number of additional children outcome 11 Age 40</t>
  </si>
  <si>
    <t>refers to short-term costs in 1st year per average child with that problem (i.e. reflects a probabilty that child is being treated fore the problem)</t>
  </si>
  <si>
    <t>Health utility weight (HUW) outcome 5 ASTH</t>
  </si>
  <si>
    <t>Health utility weight outcome 6 LRTI</t>
  </si>
  <si>
    <t>Health utility weight outcome 8 WAST</t>
  </si>
  <si>
    <t>Health utility weight outcome 9 CD</t>
  </si>
  <si>
    <t>Health utility weight outcome 10 AD</t>
  </si>
  <si>
    <t>Health utility weight outcome 11 ED</t>
  </si>
  <si>
    <t>Disability weight outcome 6 LRTI</t>
  </si>
  <si>
    <t>DALYs children outcome 2 LBW Lifetime</t>
  </si>
  <si>
    <t xml:space="preserve">Children impact </t>
  </si>
  <si>
    <t>DALYs children  outcome 8 Age 5</t>
  </si>
  <si>
    <t>DALYs children  outcome 8 Age 6</t>
  </si>
  <si>
    <t>DALYs children  outcome 8 Age 7</t>
  </si>
  <si>
    <t>DALYs children  outcome 8 Age 8</t>
  </si>
  <si>
    <t>DALYs children  outcome 8 Age 9</t>
  </si>
  <si>
    <t>DALYs children  outcome 8 Age 10</t>
  </si>
  <si>
    <t>DALYs children  outcome 8 Age 11</t>
  </si>
  <si>
    <t>DALYs children  outcome 8 Age 12</t>
  </si>
  <si>
    <t>DALYs children  outcome 8 Age 13</t>
  </si>
  <si>
    <t>DALYs children  outcome 8 Age 14</t>
  </si>
  <si>
    <t>DALYs children  outcome 8 Age 15</t>
  </si>
  <si>
    <t>DALYs children  outcome 8 Age 16</t>
  </si>
  <si>
    <t>DALYs children  outcome 8 Age 17</t>
  </si>
  <si>
    <t>DALYs children  outcome 8 Age 18</t>
  </si>
  <si>
    <t>DALYs children  outcome 8 Age 19</t>
  </si>
  <si>
    <t>DALYs children  outcome 8 Age 20</t>
  </si>
  <si>
    <t>DALYs children  outcome 8 Age 21</t>
  </si>
  <si>
    <t>DALYs children  outcome 8 Age 22</t>
  </si>
  <si>
    <t>DALYs children  outcome 8 Age 23</t>
  </si>
  <si>
    <t>DALYs children  outcome 8 Age 24</t>
  </si>
  <si>
    <t>DALYs children  outcome 8 Age 25</t>
  </si>
  <si>
    <t>DALYs children  outcome 8 Age 26</t>
  </si>
  <si>
    <t>DALYs children  outcome 8 Age 27</t>
  </si>
  <si>
    <t>DALYs children  outcome 8 Age 28</t>
  </si>
  <si>
    <t>DALYs children  outcome 8 Age 29</t>
  </si>
  <si>
    <t>DALYs children  outcome 8 Age 30</t>
  </si>
  <si>
    <t>DALYs children  outcome 8 Age 31</t>
  </si>
  <si>
    <t>DALYs children  outcome 8 Age 32</t>
  </si>
  <si>
    <t>DALYs children  outcome 8 Age 33</t>
  </si>
  <si>
    <t>DALYs children  outcome 8 Age 34</t>
  </si>
  <si>
    <t>DALYs children  outcome 8 Age 35</t>
  </si>
  <si>
    <t>DALYs children  outcome 8 Age 36</t>
  </si>
  <si>
    <t>DALYs children  outcome 8 Age 37</t>
  </si>
  <si>
    <t>DALYs children  outcome 8 Age 38</t>
  </si>
  <si>
    <t>DALYs children  outcome 8 Age 39</t>
  </si>
  <si>
    <t>DALYs children  outcome 8 Age 40</t>
  </si>
  <si>
    <t>Income loss children outcome 7 Age 16</t>
  </si>
  <si>
    <t>Income loss children outcome 7 Age 17</t>
  </si>
  <si>
    <t>Income loss children outcome 7 Age 18</t>
  </si>
  <si>
    <t>Income loss children outcome 7 Age 19</t>
  </si>
  <si>
    <t>Income loss children outcome 7 Age 20</t>
  </si>
  <si>
    <t>Income loss children outcome 7 Age 21</t>
  </si>
  <si>
    <t>Income loss children outcome 7 Age 22</t>
  </si>
  <si>
    <t>Income loss children outcome 7 Age 23</t>
  </si>
  <si>
    <t>Income loss children outcome 7 Age 24</t>
  </si>
  <si>
    <t>Income loss children outcome 7 Age 25</t>
  </si>
  <si>
    <t>Income loss children outcome 7 Age 26</t>
  </si>
  <si>
    <t>Income loss children outcome 7 Age 27</t>
  </si>
  <si>
    <t>Income loss children outcome 7 Age 28</t>
  </si>
  <si>
    <t>Income loss children outcome 7 Age 29</t>
  </si>
  <si>
    <t>Income loss children outcome 7 Age 30</t>
  </si>
  <si>
    <t>Income loss children outcome 7 Age 31</t>
  </si>
  <si>
    <t>Income loss children outcome 7 Age 32</t>
  </si>
  <si>
    <t>Income loss children outcome 7 Age 33</t>
  </si>
  <si>
    <t>Income loss children outcome 7 Age 34</t>
  </si>
  <si>
    <t>Income loss children outcome 7 Age 35</t>
  </si>
  <si>
    <t>Income loss children outcome 7 Age 36</t>
  </si>
  <si>
    <t>Income loss children outcome 7 Age 37</t>
  </si>
  <si>
    <t>Income loss children outcome 7 Age 38</t>
  </si>
  <si>
    <t>Income loss children outcome 7 Age 39</t>
  </si>
  <si>
    <t>Income loss children outcome 7 Age 40</t>
  </si>
  <si>
    <t>DALYs children  outcome 9 Age 5</t>
  </si>
  <si>
    <t>DALYs children  outcome 9 Age 6</t>
  </si>
  <si>
    <t>DALYs children  outcome 9 Age 7</t>
  </si>
  <si>
    <t>DALYs children  outcome 9 Age 8</t>
  </si>
  <si>
    <t>DALYs children  outcome 9 Age 9</t>
  </si>
  <si>
    <t>DALYs children  outcome 9 Age 10</t>
  </si>
  <si>
    <t>DALYs children  outcome 9 Age 11</t>
  </si>
  <si>
    <t>DALYs children  outcome 9 Age 12</t>
  </si>
  <si>
    <t>DALYs children  outcome 9 Age 13</t>
  </si>
  <si>
    <t>DALYs children  outcome 9 Age 14</t>
  </si>
  <si>
    <t>DALYs children  outcome 9 Age 15</t>
  </si>
  <si>
    <t>DALYs children  outcome 9 Age 16</t>
  </si>
  <si>
    <t>DALYs children  outcome 9 Age 17</t>
  </si>
  <si>
    <t>DALYs children  outcome 9 Age 18</t>
  </si>
  <si>
    <t>DALYs children  outcome 9 Age 19</t>
  </si>
  <si>
    <t>DALYs children  outcome 9 Age 20</t>
  </si>
  <si>
    <t>DALYs children  outcome 9 Age 21</t>
  </si>
  <si>
    <t>DALYs children  outcome 9 Age 22</t>
  </si>
  <si>
    <t>DALYs children  outcome 9 Age 23</t>
  </si>
  <si>
    <t>DALYs children  outcome 9 Age 24</t>
  </si>
  <si>
    <t>DALYs children  outcome 9 Age 25</t>
  </si>
  <si>
    <t>DALYs children  outcome 9 Age 26</t>
  </si>
  <si>
    <t>DALYs children  outcome 9 Age 27</t>
  </si>
  <si>
    <t>DALYs children  outcome 9 Age 28</t>
  </si>
  <si>
    <t>DALYs children  outcome 9 Age 29</t>
  </si>
  <si>
    <t>DALYs children  outcome 9 Age 30</t>
  </si>
  <si>
    <t>DALYs children  outcome 9 Age 31</t>
  </si>
  <si>
    <t>DALYs children  outcome 9 Age 32</t>
  </si>
  <si>
    <t>DALYs children  outcome 9 Age 33</t>
  </si>
  <si>
    <t>DALYs children  outcome 9 Age 34</t>
  </si>
  <si>
    <t>DALYs children  outcome 9 Age 35</t>
  </si>
  <si>
    <t>DALYs children  outcome 9 Age 36</t>
  </si>
  <si>
    <t>DALYs children  outcome 9 Age 37</t>
  </si>
  <si>
    <t>DALYs children  outcome 9 Age 38</t>
  </si>
  <si>
    <t>DALYs children  outcome 9 Age 39</t>
  </si>
  <si>
    <t>DALYs children  outcome 9 Age 40</t>
  </si>
  <si>
    <t>DALYs children  outcome 10 Age 5</t>
  </si>
  <si>
    <t>DALYs children  outcome 10 Age 6</t>
  </si>
  <si>
    <t>DALYs children  outcome 10 Age 7</t>
  </si>
  <si>
    <t>DALYs children  outcome 10 Age 8</t>
  </si>
  <si>
    <t>DALYs children  outcome 10 Age 9</t>
  </si>
  <si>
    <t>DALYs children  outcome 10 Age 10</t>
  </si>
  <si>
    <t>DALYs children  outcome 10 Age 11</t>
  </si>
  <si>
    <t>DALYs children  outcome 10 Age 12</t>
  </si>
  <si>
    <t>DALYs children  outcome 10 Age 13</t>
  </si>
  <si>
    <t>DALYs children  outcome 10 Age 14</t>
  </si>
  <si>
    <t>DALYs children  outcome 10 Age 15</t>
  </si>
  <si>
    <t>DALYs children  outcome 10 Age 16</t>
  </si>
  <si>
    <t>DALYs children  outcome 10 Age 17</t>
  </si>
  <si>
    <t>DALYs children  outcome 10 Age 18</t>
  </si>
  <si>
    <t>DALYs children  outcome 10 Age 19</t>
  </si>
  <si>
    <t>DALYs children  outcome 10 Age 20</t>
  </si>
  <si>
    <t>DALYs children  outcome 10 Age 21</t>
  </si>
  <si>
    <t>DALYs children  outcome 10 Age 22</t>
  </si>
  <si>
    <t>DALYs children  outcome 10 Age 23</t>
  </si>
  <si>
    <t>DALYs children  outcome 10 Age 24</t>
  </si>
  <si>
    <t>DALYs children  outcome 10 Age 25</t>
  </si>
  <si>
    <t>DALYs children  outcome 10 Age 26</t>
  </si>
  <si>
    <t>DALYs children  outcome 10 Age 27</t>
  </si>
  <si>
    <t>DALYs children  outcome 10 Age 28</t>
  </si>
  <si>
    <t>DALYs children  outcome 10 Age 29</t>
  </si>
  <si>
    <t>DALYs children  outcome 10 Age 30</t>
  </si>
  <si>
    <t>DALYs children  outcome 10 Age 31</t>
  </si>
  <si>
    <t>DALYs children  outcome 10 Age 32</t>
  </si>
  <si>
    <t>DALYs children  outcome 10 Age 33</t>
  </si>
  <si>
    <t>DALYs children  outcome 10 Age 34</t>
  </si>
  <si>
    <t>DALYs children  outcome 10 Age 35</t>
  </si>
  <si>
    <t>DALYs children  outcome 10 Age 36</t>
  </si>
  <si>
    <t>DALYs children  outcome 10 Age 37</t>
  </si>
  <si>
    <t>DALYs children  outcome 10 Age 38</t>
  </si>
  <si>
    <t>DALYs children  outcome 10 Age 39</t>
  </si>
  <si>
    <t>DALYs children  outcome 10 Age 40</t>
  </si>
  <si>
    <t>DALYs children  outcome 11 Age 40</t>
  </si>
  <si>
    <t>DALYs children  outcome 11 Age 5</t>
  </si>
  <si>
    <t>DALYs children  outcome 11 Age 6</t>
  </si>
  <si>
    <t>DALYs children  outcome 11 Age 7</t>
  </si>
  <si>
    <t>DALYs children  outcome 11 Age 8</t>
  </si>
  <si>
    <t>DALYs children  outcome 11 Age 9</t>
  </si>
  <si>
    <t>DALYs children  outcome 11 Age 10</t>
  </si>
  <si>
    <t>DALYs children  outcome 11 Age 11</t>
  </si>
  <si>
    <t>DALYs children  outcome 11 Age 12</t>
  </si>
  <si>
    <t>DALYs children  outcome 11 Age 13</t>
  </si>
  <si>
    <t>DALYs children  outcome 11 Age 14</t>
  </si>
  <si>
    <t>DALYs children  outcome 11 Age 15</t>
  </si>
  <si>
    <t>DALYs children  outcome 11 Age 16</t>
  </si>
  <si>
    <t>DALYs children  outcome 11 Age 17</t>
  </si>
  <si>
    <t>DALYs children  outcome 11 Age 18</t>
  </si>
  <si>
    <t>DALYs children  outcome 11 Age 19</t>
  </si>
  <si>
    <t>DALYs children  outcome 11 Age 20</t>
  </si>
  <si>
    <t>DALYs children  outcome 11 Age 21</t>
  </si>
  <si>
    <t>DALYs children  outcome 11 Age 22</t>
  </si>
  <si>
    <t>DALYs children  outcome 11 Age 23</t>
  </si>
  <si>
    <t>DALYs children  outcome 11 Age 24</t>
  </si>
  <si>
    <t>DALYs children  outcome 11 Age 25</t>
  </si>
  <si>
    <t>DALYs children  outcome 11 Age 26</t>
  </si>
  <si>
    <t>DALYs children  outcome 11 Age 27</t>
  </si>
  <si>
    <t>DALYs children  outcome 11 Age 28</t>
  </si>
  <si>
    <t>DALYs children  outcome 11 Age 29</t>
  </si>
  <si>
    <t>DALYs children  outcome 11 Age 30</t>
  </si>
  <si>
    <t>DALYs children  outcome 11 Age 31</t>
  </si>
  <si>
    <t>DALYs children  outcome 11 Age 32</t>
  </si>
  <si>
    <t>DALYs children  outcome 11 Age 33</t>
  </si>
  <si>
    <t>DALYs children  outcome 11 Age 34</t>
  </si>
  <si>
    <t>DALYs children  outcome 11 Age 35</t>
  </si>
  <si>
    <t>DALYs children  outcome 11 Age 36</t>
  </si>
  <si>
    <t>DALYs children  outcome 11 Age 37</t>
  </si>
  <si>
    <t>DALYs children  outcome 11 Age 38</t>
  </si>
  <si>
    <t>DALYs children  outcome 11 Age 39</t>
  </si>
  <si>
    <t>Hospital cost outcome 1 Age 0 to 1</t>
  </si>
  <si>
    <t>Hospital cost outcome 2 Age 0 to 1</t>
  </si>
  <si>
    <t>Hospital cost outcome 4 Age 0 to 1</t>
  </si>
  <si>
    <t>Hospital cost outcome 5 Age 0 to 1</t>
  </si>
  <si>
    <t>Hospital cost outcome 6 Age 0 to 1</t>
  </si>
  <si>
    <t xml:space="preserve">DALY loss Mothers depression </t>
  </si>
  <si>
    <t>DALY loss Mothers anxiety</t>
  </si>
  <si>
    <t>Hospital cost outcome 7 Age 0 to 1</t>
  </si>
  <si>
    <t>Hospital cost outcome 8 Age 0 to 1</t>
  </si>
  <si>
    <t>Income loss children outcome 9 Age 16</t>
  </si>
  <si>
    <t>Income loss children outcome 9 Age 17</t>
  </si>
  <si>
    <t>Income loss children outcome 9 Age 18</t>
  </si>
  <si>
    <t>Income loss children outcome 9 Age 19</t>
  </si>
  <si>
    <t>Income loss children outcome 9 Age 20</t>
  </si>
  <si>
    <t>Income loss children outcome 9 Age 21</t>
  </si>
  <si>
    <t>Income loss children outcome 9 Age 22</t>
  </si>
  <si>
    <t>Income loss children outcome 9 Age 23</t>
  </si>
  <si>
    <t>Income loss children outcome 9 Age 24</t>
  </si>
  <si>
    <t>Income loss children outcome 9 Age 25</t>
  </si>
  <si>
    <t>Income loss children outcome 9 Age 26</t>
  </si>
  <si>
    <t>Income loss children outcome 9 Age 27</t>
  </si>
  <si>
    <t>Income loss children outcome 9 Age 28</t>
  </si>
  <si>
    <t>Income loss children outcome 9 Age 29</t>
  </si>
  <si>
    <t>Income loss children outcome 9 Age 30</t>
  </si>
  <si>
    <t>Income loss children outcome 9 Age 31</t>
  </si>
  <si>
    <t>Income loss children outcome 9 Age 32</t>
  </si>
  <si>
    <t>Income loss children outcome 9 Age 33</t>
  </si>
  <si>
    <t>Income loss children outcome 9 Age 34</t>
  </si>
  <si>
    <t>Income loss children outcome 9 Age 35</t>
  </si>
  <si>
    <t>Income loss children outcome 9 Age 36</t>
  </si>
  <si>
    <t>Income loss children outcome 9 Age 37</t>
  </si>
  <si>
    <t>Income loss children outcome 9 Age 38</t>
  </si>
  <si>
    <t>Income loss children outcome 9 Age 39</t>
  </si>
  <si>
    <t>Income loss children outcome 9 Age 40</t>
  </si>
  <si>
    <t>Income loss children outcome 10 Age 16</t>
  </si>
  <si>
    <t>Income loss children outcome 10 Age 17</t>
  </si>
  <si>
    <t>Income loss children outcome 10 Age 18</t>
  </si>
  <si>
    <t>Income loss children outcome 10 Age 19</t>
  </si>
  <si>
    <t>Income loss children outcome 10 Age 20</t>
  </si>
  <si>
    <t>Income loss children outcome 10 Age 21</t>
  </si>
  <si>
    <t>Income loss children outcome 10 Age 22</t>
  </si>
  <si>
    <t>Income loss children outcome 10 Age 23</t>
  </si>
  <si>
    <t>Income loss children outcome 10 Age 24</t>
  </si>
  <si>
    <t>Income loss children outcome 10 Age 25</t>
  </si>
  <si>
    <t>Income loss children outcome 10 Age 26</t>
  </si>
  <si>
    <t>Income loss children outcome 10 Age 27</t>
  </si>
  <si>
    <t>Income loss children outcome 10 Age 28</t>
  </si>
  <si>
    <t>Income loss children outcome 10 Age 29</t>
  </si>
  <si>
    <t>Income loss children outcome 10 Age 30</t>
  </si>
  <si>
    <t>Income loss children outcome 10 Age 31</t>
  </si>
  <si>
    <t>Income loss children outcome 10 Age 32</t>
  </si>
  <si>
    <t>Income loss children outcome 10 Age 33</t>
  </si>
  <si>
    <t>Income loss children outcome 10 Age 34</t>
  </si>
  <si>
    <t>Income loss children outcome 10 Age 35</t>
  </si>
  <si>
    <t>Income loss children outcome 10 Age 36</t>
  </si>
  <si>
    <t>Income loss children outcome 10 Age 37</t>
  </si>
  <si>
    <t>Income loss children outcome 10 Age 38</t>
  </si>
  <si>
    <t>Income loss children outcome 10 Age 39</t>
  </si>
  <si>
    <t>Income loss children outcome 10 Age 40</t>
  </si>
  <si>
    <t>Income loss children outcome 11 Age 16</t>
  </si>
  <si>
    <t>Income loss children outcome 11 Age 17</t>
  </si>
  <si>
    <t>Income loss children outcome 11 Age 18</t>
  </si>
  <si>
    <t>Income loss children outcome 11 Age 19</t>
  </si>
  <si>
    <t>Income loss children outcome 11 Age 20</t>
  </si>
  <si>
    <t>Income loss children outcome 11 Age 21</t>
  </si>
  <si>
    <t>Income loss children outcome 11 Age 22</t>
  </si>
  <si>
    <t>Income loss children outcome 11 Age 23</t>
  </si>
  <si>
    <t>Income loss children outcome 11 Age 24</t>
  </si>
  <si>
    <t>Income loss children outcome 11 Age 25</t>
  </si>
  <si>
    <t>Income loss children outcome 11 Age 26</t>
  </si>
  <si>
    <t>Income loss children outcome 11 Age 27</t>
  </si>
  <si>
    <t>Income loss children outcome 11 Age 28</t>
  </si>
  <si>
    <t>Income loss children outcome 11 Age 29</t>
  </si>
  <si>
    <t>Income loss children outcome 11 Age 30</t>
  </si>
  <si>
    <t>Income loss children outcome 11 Age 31</t>
  </si>
  <si>
    <t>Income loss children outcome 11 Age 32</t>
  </si>
  <si>
    <t>Income loss children outcome 11 Age 33</t>
  </si>
  <si>
    <t>Income loss children outcome 11 Age 34</t>
  </si>
  <si>
    <t>Income loss children outcome 11 Age 35</t>
  </si>
  <si>
    <t>Income loss children outcome 11 Age 36</t>
  </si>
  <si>
    <t>Income loss children outcome 11 Age 37</t>
  </si>
  <si>
    <t>Income loss children outcome 11 Age 38</t>
  </si>
  <si>
    <t>Income loss children outcome 11 Age 39</t>
  </si>
  <si>
    <t>Income loss children outcome 11 Age 40</t>
  </si>
  <si>
    <t>Income loss discounted</t>
  </si>
  <si>
    <t xml:space="preserve">Healthcare costs 1st year only </t>
  </si>
  <si>
    <t>DALY loss Mothers suicide</t>
  </si>
  <si>
    <t>DALY loss Mothers depression in USD</t>
  </si>
  <si>
    <t>DALY loss Mothers anxiety in USD</t>
  </si>
  <si>
    <t>DALY loss Mothers suicide in USD</t>
  </si>
  <si>
    <t>DALYs women committing suicide ante and postnatal, in USD</t>
  </si>
  <si>
    <t>Income loss Mothers depression in USD</t>
  </si>
  <si>
    <t>Income loss Mothers anxiety in USD</t>
  </si>
  <si>
    <t>Healthcare expenditure children</t>
  </si>
  <si>
    <t>Childrens impact</t>
  </si>
  <si>
    <t xml:space="preserve">Mothers DALY loss mothers depression </t>
  </si>
  <si>
    <t>Mothers DALY loss mothers depression in USD</t>
  </si>
  <si>
    <t>Mothers DALY loss mothers anxiety</t>
  </si>
  <si>
    <t>Mothers DALY loss mothers anxiety in USD</t>
  </si>
  <si>
    <t>Mothers DALY loss mothers suicide</t>
  </si>
  <si>
    <t>Mothers DALY loss mothers suicide in USD</t>
  </si>
  <si>
    <t>Mothers income loss mothers depression in USD</t>
  </si>
  <si>
    <t>Mothers income loss mothers anxiety in USD</t>
  </si>
  <si>
    <t>Childrens healthcare cost Age 0 to 1 in USD</t>
  </si>
  <si>
    <t>DALYs children outcome 2 LBW Lifetime, in USD</t>
  </si>
  <si>
    <t>DALY loss Children</t>
  </si>
  <si>
    <t>DALY loss Children in USD</t>
  </si>
  <si>
    <t>Income loss Children in USD</t>
  </si>
  <si>
    <t>Total cost children</t>
  </si>
  <si>
    <t>Total cost mothers</t>
  </si>
  <si>
    <t>Childrens DALY loss total</t>
  </si>
  <si>
    <t>Childrens DALY loss outcome 1</t>
  </si>
  <si>
    <t>Childrens DALY loss outcome 2</t>
  </si>
  <si>
    <t>Childrens DALY loss outcome 3</t>
  </si>
  <si>
    <t>Childrens DALY loss outcome 4</t>
  </si>
  <si>
    <t>Childrens DALY loss outcome 5</t>
  </si>
  <si>
    <t>Childrens DALY loss outcome 6</t>
  </si>
  <si>
    <t>Childrens DALY loss outcome 7</t>
  </si>
  <si>
    <t>Childrens DALY loss outcome 8</t>
  </si>
  <si>
    <t>Childrens DALY loss outcome 9</t>
  </si>
  <si>
    <t>Childrens DALY loss outcome 10</t>
  </si>
  <si>
    <t>Childrens DALY loss outcome 11</t>
  </si>
  <si>
    <t>Childrens DALY loss in USD total</t>
  </si>
  <si>
    <t>Childrens DALY loss in USD outcome 1</t>
  </si>
  <si>
    <t>Childrens DALY loss in USD outcome 2</t>
  </si>
  <si>
    <t>Childrens DALY loss in USD outcome 3</t>
  </si>
  <si>
    <t>Childrens DALY loss in USD outcome 4</t>
  </si>
  <si>
    <t>Childrens DALY loss in USD outcome 5</t>
  </si>
  <si>
    <t>Childrens DALY loss in USD outcome 6</t>
  </si>
  <si>
    <t>Childrens DALY loss in USD outcome 7</t>
  </si>
  <si>
    <t>Childrens DALY loss in USD outcome 8</t>
  </si>
  <si>
    <t>Childrens DALY loss in USD outcome 9</t>
  </si>
  <si>
    <t>Childrens DALY loss in USD outcome 10</t>
  </si>
  <si>
    <t>Childrens DALY loss in USD outcome 11</t>
  </si>
  <si>
    <t>Childrens income loss in USD total</t>
  </si>
  <si>
    <t>Childrens income loss in USD outcome 9</t>
  </si>
  <si>
    <t>Childrens income loss in USD outcome 7</t>
  </si>
  <si>
    <t>Childrens income loss in USD outcome 10</t>
  </si>
  <si>
    <t>Childrens income loss in USD outcome 11</t>
  </si>
  <si>
    <t xml:space="preserve">Total cost mothers, in billion </t>
  </si>
  <si>
    <t>Total cost children, in billion</t>
  </si>
  <si>
    <t>Relative Risk</t>
  </si>
  <si>
    <t>*** Sam *** Changed all of these from "None" to "Relative Risk" as they were being interpreted as numbers by the code that reads in this excel file.</t>
  </si>
  <si>
    <t>*** Sam *** edited this to say "Children Impact". Before it was just blank.</t>
  </si>
  <si>
    <t>Prevalence / probability antenatal depression (moderate and severe only)</t>
  </si>
  <si>
    <t>Prevalence / probability ongoing anxiety</t>
  </si>
  <si>
    <t>Prevalence / probability antenatal anxiety (any) without depression</t>
  </si>
  <si>
    <t xml:space="preserve">Prevalence / probability postnatal anxiety (any) without depression </t>
  </si>
  <si>
    <r>
      <rPr>
        <sz val="11"/>
        <color theme="1"/>
        <rFont val="Aptos"/>
        <family val="2"/>
      </rPr>
      <t xml:space="preserve">This formula has been edited, it is now: </t>
    </r>
    <r>
      <rPr>
        <i/>
        <sz val="11"/>
        <color theme="1"/>
        <rFont val="Aptos"/>
        <family val="2"/>
      </rPr>
      <t xml:space="preserve">live births / (1 – stillbirth rate) </t>
    </r>
    <r>
      <rPr>
        <sz val="11"/>
        <color theme="1"/>
        <rFont val="Aptos"/>
        <family val="2"/>
      </rPr>
      <t xml:space="preserve">rather than </t>
    </r>
    <r>
      <rPr>
        <i/>
        <sz val="11"/>
        <color theme="1"/>
        <rFont val="Aptos"/>
        <family val="2"/>
      </rPr>
      <t>live births * (1 + stillbirth rate)</t>
    </r>
    <r>
      <rPr>
        <sz val="11"/>
        <color theme="1"/>
        <rFont val="Aptos"/>
        <family val="2"/>
      </rPr>
      <t xml:space="preserve">. This is because the stillbirths are not included in </t>
    </r>
    <r>
      <rPr>
        <i/>
        <sz val="11"/>
        <color theme="1"/>
        <rFont val="Aptos"/>
        <family val="2"/>
      </rPr>
      <t>live births</t>
    </r>
    <r>
      <rPr>
        <sz val="11"/>
        <color theme="1"/>
        <rFont val="Aptos"/>
        <family val="2"/>
      </rPr>
      <t xml:space="preserve"> and so </t>
    </r>
    <r>
      <rPr>
        <i/>
        <sz val="11"/>
        <color theme="1"/>
        <rFont val="Aptos"/>
        <family val="2"/>
      </rPr>
      <t>live births</t>
    </r>
    <r>
      <rPr>
        <sz val="11"/>
        <color theme="1"/>
        <rFont val="Aptos"/>
        <family val="2"/>
      </rPr>
      <t xml:space="preserve"> does not represent 100% of all births.</t>
    </r>
  </si>
  <si>
    <t>These formulae were edited to use inputs!E33.</t>
  </si>
  <si>
    <t>These formulae were edited to use the mortality rates corresponding to the correct age groups. Previously they all used the year 1 to year 5 mortality rate.</t>
  </si>
  <si>
    <t>Edited to use the mortality rates for the correct age range, as well as following on from the previous age rather than all being based on the age 2 number.</t>
  </si>
  <si>
    <t>These formulae contained the same errors as those for outcome 8, with an additional error in line 238 where the base number for outcome 10 was used rather than 9.</t>
  </si>
  <si>
    <t>These formulae contained the same errors as those for outcome 8.</t>
  </si>
  <si>
    <t>Formula corrected. The formula was using D149 rather than D150.</t>
  </si>
  <si>
    <t>Formulae corrected: the final term (the exponent) in all formulae was wrong. They have been edited go back to E100 at age 5 for each outcome, and incrementally up from there.</t>
  </si>
  <si>
    <t>This formula has been corrected. It used to refer to inputs!E352 which does not exist, rather than E27 as it should.</t>
  </si>
  <si>
    <t>Total DALY loss Mothers in USD</t>
  </si>
  <si>
    <t>Million Dollars</t>
  </si>
  <si>
    <t>Income loss women depression antenatal</t>
  </si>
  <si>
    <t>Income loss women depression postnatal</t>
  </si>
  <si>
    <t>Income loss women depression Year +1</t>
  </si>
  <si>
    <t>Income loss women depression Year +2</t>
  </si>
  <si>
    <t>Income loss women depression Year +3</t>
  </si>
  <si>
    <t>Income loss women depression Year +4</t>
  </si>
  <si>
    <t>Income loss women depression Year +5</t>
  </si>
  <si>
    <t>Income loss women depression Year +6</t>
  </si>
  <si>
    <t>Income loss women depression Year +7</t>
  </si>
  <si>
    <t>Income loss women depression Year +8</t>
  </si>
  <si>
    <t>Income loss women depression Year +9</t>
  </si>
  <si>
    <t>Income loss women depression Year +10</t>
  </si>
  <si>
    <t>Disability weight outcome 8</t>
  </si>
  <si>
    <t>Disability weight outcome 9</t>
  </si>
  <si>
    <t>Disability weight outcome 10</t>
  </si>
  <si>
    <t>Disability weight outcome 11</t>
  </si>
  <si>
    <t>DALYs children outcome 8 Age 5, in USD</t>
  </si>
  <si>
    <t>DALYs children outcome 8 Age 6, in USD</t>
  </si>
  <si>
    <t>DALYs children outcome 8 Age 7, in USD</t>
  </si>
  <si>
    <t>DALYs children outcome 8 Age 8, in USD</t>
  </si>
  <si>
    <t>DALYs children outcome 8 Age 9, in USD</t>
  </si>
  <si>
    <t>DALYs children outcome 8 Age 10, in USD</t>
  </si>
  <si>
    <t>DALYs children outcome 8 Age 11, in USD</t>
  </si>
  <si>
    <t>DALYs children outcome 8 Age 12, in USD</t>
  </si>
  <si>
    <t>DALYs children outcome 8 Age 13, in USD</t>
  </si>
  <si>
    <t>DALYs children outcome 8 Age 14, in USD</t>
  </si>
  <si>
    <t>DALYs children outcome 8 Age 15, in USD</t>
  </si>
  <si>
    <t>DALYs children outcome 8 Age 16, in USD</t>
  </si>
  <si>
    <t>DALYs children outcome 8 Age 17, in USD</t>
  </si>
  <si>
    <t>DALYs children outcome 8 Age 18, in USD</t>
  </si>
  <si>
    <t>DALYs children outcome 8 Age 19, in USD</t>
  </si>
  <si>
    <t>DALYs children outcome 8 Age 20, in USD</t>
  </si>
  <si>
    <t>DALYs children outcome 8 Age 21, in USD</t>
  </si>
  <si>
    <t>DALYs children outcome 8 Age 22, in USD</t>
  </si>
  <si>
    <t>DALYs children outcome 8 Age 23, in USD</t>
  </si>
  <si>
    <t>DALYs children outcome 8 Age 24, in USD</t>
  </si>
  <si>
    <t>DALYs children outcome 8 Age 25, in USD</t>
  </si>
  <si>
    <t>DALYs children outcome 8 Age 26, in USD</t>
  </si>
  <si>
    <t>DALYs children outcome 8 Age 27, in USD</t>
  </si>
  <si>
    <t>DALYs children outcome 8 Age 28, in USD</t>
  </si>
  <si>
    <t>DALYs children outcome 8 Age 29, in USD</t>
  </si>
  <si>
    <t>DALYs children outcome 8 Age 30, in USD</t>
  </si>
  <si>
    <t>DALYs children outcome 8 Age 31, in USD</t>
  </si>
  <si>
    <t>DALYs children outcome 8 Age 32, in USD</t>
  </si>
  <si>
    <t>DALYs children outcome 8 Age 33, in USD</t>
  </si>
  <si>
    <t>DALYs children outcome 8 Age 34, in USD</t>
  </si>
  <si>
    <t>DALYs children outcome 8 Age 35, in USD</t>
  </si>
  <si>
    <t>DALYs children outcome 8 Age 36, in USD</t>
  </si>
  <si>
    <t>DALYs children outcome 8 Age 37, in USD</t>
  </si>
  <si>
    <t>DALYs children outcome 8 Age 38, in USD</t>
  </si>
  <si>
    <t>DALYs children outcome 8 Age 39, in USD</t>
  </si>
  <si>
    <t>DALYs children outcome 8 Age 40, in USD</t>
  </si>
  <si>
    <t>DALYs children outcome 9 Age 5, in USD</t>
  </si>
  <si>
    <t>DALYs children outcome 9 Age 6, in USD</t>
  </si>
  <si>
    <t>DALYs children outcome 9 Age 7, in USD</t>
  </si>
  <si>
    <t>DALYs children outcome 9 Age 8, in USD</t>
  </si>
  <si>
    <t>DALYs children outcome 9 Age 9, in USD</t>
  </si>
  <si>
    <t>DALYs children outcome 9 Age 10, in USD</t>
  </si>
  <si>
    <t>DALYs children outcome 9 Age 11, in USD</t>
  </si>
  <si>
    <t>DALYs children outcome 9 Age 12, in USD</t>
  </si>
  <si>
    <t>DALYs children outcome 9 Age 13, in USD</t>
  </si>
  <si>
    <t>DALYs children outcome 9 Age 14, in USD</t>
  </si>
  <si>
    <t>DALYs children outcome 9 Age 15, in USD</t>
  </si>
  <si>
    <t>DALYs children outcome 9 Age 16, in USD</t>
  </si>
  <si>
    <t>DALYs children outcome 9 Age 17, in USD</t>
  </si>
  <si>
    <t>DALYs children outcome 9 Age 18, in USD</t>
  </si>
  <si>
    <t>DALYs children outcome 9 Age 19, in USD</t>
  </si>
  <si>
    <t>DALYs children outcome 9 Age 20, in USD</t>
  </si>
  <si>
    <t>DALYs children outcome 9 Age 21, in USD</t>
  </si>
  <si>
    <t>DALYs children outcome 9 Age 22, in USD</t>
  </si>
  <si>
    <t>DALYs children outcome 9 Age 23, in USD</t>
  </si>
  <si>
    <t>DALYs children outcome 9 Age 24, in USD</t>
  </si>
  <si>
    <t>DALYs children outcome 9 Age 25, in USD</t>
  </si>
  <si>
    <t>DALYs children outcome 9 Age 26, in USD</t>
  </si>
  <si>
    <t>DALYs children outcome 9 Age 27, in USD</t>
  </si>
  <si>
    <t>DALYs children outcome 9 Age 28, in USD</t>
  </si>
  <si>
    <t>DALYs children outcome 9 Age 29, in USD</t>
  </si>
  <si>
    <t>DALYs children outcome 9 Age 30, in USD</t>
  </si>
  <si>
    <t>DALYs children outcome 9 Age 31, in USD</t>
  </si>
  <si>
    <t>DALYs children outcome 9 Age 32, in USD</t>
  </si>
  <si>
    <t>DALYs children outcome 9 Age 33, in USD</t>
  </si>
  <si>
    <t>DALYs children outcome 9 Age 34, in USD</t>
  </si>
  <si>
    <t>DALYs children outcome 9 Age 35, in USD</t>
  </si>
  <si>
    <t>DALYs children outcome 9 Age 36, in USD</t>
  </si>
  <si>
    <t>DALYs children outcome 9 Age 37, in USD</t>
  </si>
  <si>
    <t>DALYs children outcome 9 Age 38, in USD</t>
  </si>
  <si>
    <t>DALYs children outcome 9 Age 39, in USD</t>
  </si>
  <si>
    <t>DALYs children outcome 9 Age 40, in USD</t>
  </si>
  <si>
    <t>DALYs children outcome 10 Age 5, in USD</t>
  </si>
  <si>
    <t>DALYs children outcome 10 Age 6, in USD</t>
  </si>
  <si>
    <t>DALYs children outcome 10 Age 7, in USD</t>
  </si>
  <si>
    <t>DALYs children outcome 10 Age 8, in USD</t>
  </si>
  <si>
    <t>DALYs children outcome 10 Age 9, in USD</t>
  </si>
  <si>
    <t>DALYs children outcome 10 Age 10, in USD</t>
  </si>
  <si>
    <t>DALYs children outcome 10 Age 11, in USD</t>
  </si>
  <si>
    <t>DALYs children outcome 10 Age 12, in USD</t>
  </si>
  <si>
    <t>DALYs children outcome 10 Age 13, in USD</t>
  </si>
  <si>
    <t>DALYs children outcome 10 Age 14, in USD</t>
  </si>
  <si>
    <t>DALYs children outcome 10 Age 15, in USD</t>
  </si>
  <si>
    <t>DALYs children outcome 10 Age 16, in USD</t>
  </si>
  <si>
    <t>DALYs children outcome 10 Age 17, in USD</t>
  </si>
  <si>
    <t>DALYs children outcome 10 Age 18, in USD</t>
  </si>
  <si>
    <t>DALYs children outcome 10 Age 19, in USD</t>
  </si>
  <si>
    <t>DALYs children outcome 10 Age 20, in USD</t>
  </si>
  <si>
    <t>DALYs children outcome 10 Age 21, in USD</t>
  </si>
  <si>
    <t>DALYs children outcome 10 Age 22, in USD</t>
  </si>
  <si>
    <t>DALYs children outcome 10 Age 23, in USD</t>
  </si>
  <si>
    <t>DALYs children outcome 10 Age 24, in USD</t>
  </si>
  <si>
    <t>DALYs children outcome 10 Age 25, in USD</t>
  </si>
  <si>
    <t>DALYs children outcome 10 Age 26, in USD</t>
  </si>
  <si>
    <t>DALYs children outcome 10 Age 27, in USD</t>
  </si>
  <si>
    <t>DALYs children outcome 10 Age 28, in USD</t>
  </si>
  <si>
    <t>DALYs children outcome 10 Age 29, in USD</t>
  </si>
  <si>
    <t>DALYs children outcome 10 Age 30, in USD</t>
  </si>
  <si>
    <t>DALYs children outcome 10 Age 31, in USD</t>
  </si>
  <si>
    <t>DALYs children outcome 10 Age 32, in USD</t>
  </si>
  <si>
    <t>DALYs children outcome 10 Age 33, in USD</t>
  </si>
  <si>
    <t>DALYs children outcome 10 Age 34, in USD</t>
  </si>
  <si>
    <t>DALYs children outcome 10 Age 35, in USD</t>
  </si>
  <si>
    <t>DALYs children outcome 10 Age 36, in USD</t>
  </si>
  <si>
    <t>DALYs children outcome 10 Age 37, in USD</t>
  </si>
  <si>
    <t>DALYs children outcome 10 Age 38, in USD</t>
  </si>
  <si>
    <t>DALYs children outcome 10 Age 39, in USD</t>
  </si>
  <si>
    <t>DALYs children outcome 10 Age 40, in USD</t>
  </si>
  <si>
    <t>DALYs children outcome 11 Age 5, in USD</t>
  </si>
  <si>
    <t>DALYs children outcome 11 Age 6, in USD</t>
  </si>
  <si>
    <t>DALYs children outcome 11 Age 7, in USD</t>
  </si>
  <si>
    <t>DALYs children outcome 11 Age 8, in USD</t>
  </si>
  <si>
    <t>DALYs children outcome 11 Age 9, in USD</t>
  </si>
  <si>
    <t>DALYs children outcome 11 Age 10, in USD</t>
  </si>
  <si>
    <t>DALYs children outcome 11 Age 11, in USD</t>
  </si>
  <si>
    <t>DALYs children outcome 11 Age 12, in USD</t>
  </si>
  <si>
    <t>DALYs children outcome 11 Age 13, in USD</t>
  </si>
  <si>
    <t>DALYs children outcome 11 Age 14, in USD</t>
  </si>
  <si>
    <t>DALYs children outcome 11 Age 15, in USD</t>
  </si>
  <si>
    <t>DALYs children outcome 11 Age 16, in USD</t>
  </si>
  <si>
    <t>DALYs children outcome 11 Age 17, in USD</t>
  </si>
  <si>
    <t>DALYs children outcome 11 Age 18, in USD</t>
  </si>
  <si>
    <t>DALYs children outcome 11 Age 19, in USD</t>
  </si>
  <si>
    <t>DALYs children outcome 11 Age 20, in USD</t>
  </si>
  <si>
    <t>DALYs children outcome 11 Age 21, in USD</t>
  </si>
  <si>
    <t>DALYs children outcome 11 Age 22, in USD</t>
  </si>
  <si>
    <t>DALYs children outcome 11 Age 23, in USD</t>
  </si>
  <si>
    <t>DALYs children outcome 11 Age 24, in USD</t>
  </si>
  <si>
    <t>DALYs children outcome 11 Age 25, in USD</t>
  </si>
  <si>
    <t>DALYs children outcome 11 Age 26, in USD</t>
  </si>
  <si>
    <t>DALYs children outcome 11 Age 27, in USD</t>
  </si>
  <si>
    <t>DALYs children outcome 11 Age 28, in USD</t>
  </si>
  <si>
    <t>DALYs children outcome 11 Age 29, in USD</t>
  </si>
  <si>
    <t>DALYs children outcome 11 Age 30, in USD</t>
  </si>
  <si>
    <t>DALYs children outcome 11 Age 31, in USD</t>
  </si>
  <si>
    <t>DALYs children outcome 11 Age 32, in USD</t>
  </si>
  <si>
    <t>DALYs children outcome 11 Age 33, in USD</t>
  </si>
  <si>
    <t>DALYs children outcome 11 Age 34, in USD</t>
  </si>
  <si>
    <t>DALYs children outcome 11 Age 35, in USD</t>
  </si>
  <si>
    <t>DALYs children outcome 11 Age 36, in USD</t>
  </si>
  <si>
    <t>DALYs children outcome 11 Age 37, in USD</t>
  </si>
  <si>
    <t>DALYs children outcome 11 Age 38, in USD</t>
  </si>
  <si>
    <t>DALYs children outcome 11 Age 39, in USD</t>
  </si>
  <si>
    <t>DALYs children outcome 11 Age 40, in USD</t>
  </si>
  <si>
    <t>I removed outcome acronyms from these lines to make encoding in Python easier.</t>
  </si>
  <si>
    <t>N/A</t>
  </si>
  <si>
    <t>Tooltip</t>
  </si>
  <si>
    <t>insert tooltip here</t>
  </si>
  <si>
    <t>Mothers' impact</t>
  </si>
  <si>
    <t xml:space="preserve">Live births </t>
  </si>
  <si>
    <t>Children's impact</t>
  </si>
  <si>
    <t>Mortality birth year</t>
  </si>
  <si>
    <t>Mortality Years 1 to 5</t>
  </si>
  <si>
    <t>Mortality Years 6 to 10</t>
  </si>
  <si>
    <t>Mortality Years 11 to 20</t>
  </si>
  <si>
    <t>Mortality Years 21 to 25</t>
  </si>
  <si>
    <t>Mortality Years 26 to 30</t>
  </si>
  <si>
    <t>Mortality Years 31 to 40</t>
  </si>
  <si>
    <t>Outcome 1 pre-term birth</t>
  </si>
  <si>
    <t>Outcome 2 low birth weight</t>
  </si>
  <si>
    <t>Outcome 3 hospitalisation</t>
  </si>
  <si>
    <t>Outcome 4 diarrhoea</t>
  </si>
  <si>
    <t>Outcome 5 asthma/ severe recurring wheezing</t>
  </si>
  <si>
    <t>Outcome 6 lower respiratory tract infections</t>
  </si>
  <si>
    <t>Outcome 7 stunting</t>
  </si>
  <si>
    <t>Outcome 8 wasting</t>
  </si>
  <si>
    <t>Outcome 9 conduct disorder</t>
  </si>
  <si>
    <t>Outcome 10 attention disorder</t>
  </si>
  <si>
    <t>Outcome 11 emotional disorder</t>
  </si>
  <si>
    <t>Outcome 1</t>
  </si>
  <si>
    <t>Outcome 2</t>
  </si>
  <si>
    <t>Outcome 4</t>
  </si>
  <si>
    <t>Outcome 5</t>
  </si>
  <si>
    <t>Outcome 6</t>
  </si>
  <si>
    <t>Outcome 7</t>
  </si>
  <si>
    <t>Outcome 8</t>
  </si>
  <si>
    <t>Income decrement outcome 7 stunting</t>
  </si>
  <si>
    <t>Text input</t>
  </si>
  <si>
    <t>Display name</t>
  </si>
  <si>
    <t>Pre-term birth</t>
  </si>
  <si>
    <t>Low birth weight</t>
  </si>
  <si>
    <t>Hospitalisation</t>
  </si>
  <si>
    <t>Diarrhoea</t>
  </si>
  <si>
    <t>Asthma / severe recurring wheezing</t>
  </si>
  <si>
    <t>Lower respiratory tract infections</t>
  </si>
  <si>
    <t>Stunting</t>
  </si>
  <si>
    <t>Wasting</t>
  </si>
  <si>
    <t>Conduct disorder</t>
  </si>
  <si>
    <t>Attention disorder</t>
  </si>
  <si>
    <t>Emotional disorder</t>
  </si>
  <si>
    <t>Asthma/ severe recurring wheezing</t>
  </si>
  <si>
    <t>Birth year</t>
  </si>
  <si>
    <t>Years 1 to 5</t>
  </si>
  <si>
    <t>Years 6 to 10</t>
  </si>
  <si>
    <t>Years 11 to 20</t>
  </si>
  <si>
    <t>Years 21 to 25</t>
  </si>
  <si>
    <t>Years 26 to 30</t>
  </si>
  <si>
    <t>Years 31 to 40</t>
  </si>
  <si>
    <t>Prevalence antenatal depression (moderate or severe)</t>
  </si>
  <si>
    <t>Prevalence antenatal anxiety without depression</t>
  </si>
  <si>
    <t xml:space="preserve">Prevalence postnatal anxiety without depression </t>
  </si>
  <si>
    <t xml:space="preserve">Prevalence ongoing depression </t>
  </si>
  <si>
    <t>Prevalence ongoing anxiety</t>
  </si>
  <si>
    <t>Currency</t>
  </si>
  <si>
    <t>Income decrement: Stunting</t>
  </si>
  <si>
    <t>Income decrement: Conduct, Attention and Emotional disorders</t>
  </si>
  <si>
    <t>Income decrement anxiety women per year</t>
  </si>
  <si>
    <t>Income decrement depression women per year</t>
  </si>
  <si>
    <t>Prevalence age 0-1</t>
  </si>
  <si>
    <t>Prevalence age 1+</t>
  </si>
  <si>
    <t>Relative risk</t>
  </si>
  <si>
    <t>With antenatal mental health problems</t>
  </si>
  <si>
    <t>With postnatal mental health problems</t>
  </si>
  <si>
    <t>Valuing healthcare age 0-1, in USD</t>
  </si>
  <si>
    <t>Mother's DALY</t>
  </si>
  <si>
    <t>Mother's Income loss</t>
  </si>
  <si>
    <t>Step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</si>
</sst>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%"/>
    <numFmt numFmtId="167" formatCode="0.000000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8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5" fillId="0" borderId="0" xfId="0" applyFont="1"/>
    <xf numFmtId="9" fontId="5" fillId="0" borderId="0" xfId="1" applyFont="1"/>
    <xf numFmtId="9" fontId="4" fillId="0" borderId="0" xfId="1" applyFont="1" applyFill="1" applyBorder="1"/>
    <xf numFmtId="9" fontId="0" fillId="0" borderId="0" xfId="1" applyFont="1"/>
    <xf numFmtId="1" fontId="0" fillId="0" borderId="0" xfId="1" applyNumberFormat="1" applyFont="1"/>
    <xf numFmtId="0" fontId="0" fillId="2" borderId="0" xfId="0" applyFill="1"/>
    <xf numFmtId="1" fontId="0" fillId="2" borderId="0" xfId="0" applyNumberFormat="1" applyFill="1"/>
    <xf numFmtId="0" fontId="8" fillId="0" borderId="0" xfId="0" applyFont="1"/>
    <xf numFmtId="1" fontId="0" fillId="0" borderId="0" xfId="0" applyNumberFormat="1"/>
    <xf numFmtId="0" fontId="0" fillId="3" borderId="0" xfId="0" applyFill="1"/>
    <xf numFmtId="0" fontId="0" fillId="4" borderId="0" xfId="0" applyFill="1"/>
    <xf numFmtId="1" fontId="0" fillId="4" borderId="0" xfId="0" applyNumberFormat="1" applyFill="1"/>
    <xf numFmtId="0" fontId="0" fillId="5" borderId="0" xfId="0" applyFill="1"/>
    <xf numFmtId="1" fontId="0" fillId="5" borderId="0" xfId="0" applyNumberFormat="1" applyFill="1"/>
    <xf numFmtId="0" fontId="0" fillId="6" borderId="0" xfId="0" applyFill="1"/>
    <xf numFmtId="0" fontId="0" fillId="7" borderId="0" xfId="0" applyFill="1"/>
    <xf numFmtId="1" fontId="0" fillId="7" borderId="0" xfId="0" applyNumberFormat="1" applyFill="1"/>
    <xf numFmtId="0" fontId="2" fillId="0" borderId="0" xfId="0" applyFont="1"/>
    <xf numFmtId="9" fontId="2" fillId="0" borderId="0" xfId="1" applyFont="1" applyFill="1" applyBorder="1"/>
    <xf numFmtId="9" fontId="3" fillId="0" borderId="0" xfId="1" applyFont="1" applyFill="1" applyBorder="1"/>
    <xf numFmtId="9" fontId="0" fillId="0" borderId="0" xfId="1" applyFont="1" applyFill="1"/>
    <xf numFmtId="165" fontId="0" fillId="0" borderId="0" xfId="1" applyNumberFormat="1" applyFont="1" applyFill="1"/>
    <xf numFmtId="164" fontId="0" fillId="0" borderId="0" xfId="1" applyNumberFormat="1" applyFont="1" applyFill="1"/>
    <xf numFmtId="1" fontId="0" fillId="0" borderId="0" xfId="1" applyNumberFormat="1" applyFont="1" applyFill="1"/>
    <xf numFmtId="2" fontId="0" fillId="0" borderId="0" xfId="1" applyNumberFormat="1" applyFont="1" applyFill="1"/>
    <xf numFmtId="0" fontId="7" fillId="0" borderId="0" xfId="0" applyFont="1"/>
    <xf numFmtId="165" fontId="0" fillId="0" borderId="0" xfId="0" applyNumberFormat="1"/>
    <xf numFmtId="0" fontId="9" fillId="0" borderId="0" xfId="0" applyFont="1" applyAlignment="1">
      <alignment horizontal="left" vertical="center" indent="5"/>
    </xf>
    <xf numFmtId="167" fontId="0" fillId="0" borderId="0" xfId="0" applyNumberFormat="1"/>
    <xf numFmtId="0" fontId="0" fillId="8" borderId="0" xfId="0" applyFill="1"/>
    <xf numFmtId="0" fontId="2" fillId="8" borderId="0" xfId="0" applyFont="1" applyFill="1"/>
    <xf numFmtId="1" fontId="2" fillId="8" borderId="0" xfId="1" applyNumberFormat="1" applyFont="1" applyFill="1" applyBorder="1"/>
    <xf numFmtId="164" fontId="2" fillId="8" borderId="0" xfId="1" applyNumberFormat="1" applyFont="1" applyFill="1" applyBorder="1"/>
    <xf numFmtId="10" fontId="2" fillId="8" borderId="0" xfId="1" applyNumberFormat="1" applyFont="1" applyFill="1" applyBorder="1"/>
    <xf numFmtId="9" fontId="2" fillId="8" borderId="0" xfId="1" applyFont="1" applyFill="1" applyBorder="1"/>
    <xf numFmtId="0" fontId="2" fillId="8" borderId="0" xfId="1" applyNumberFormat="1" applyFont="1" applyFill="1" applyBorder="1"/>
    <xf numFmtId="9" fontId="3" fillId="8" borderId="0" xfId="1" applyFont="1" applyFill="1" applyBorder="1"/>
    <xf numFmtId="164" fontId="0" fillId="8" borderId="0" xfId="1" applyNumberFormat="1" applyFont="1" applyFill="1"/>
    <xf numFmtId="1" fontId="0" fillId="8" borderId="0" xfId="1" applyNumberFormat="1" applyFont="1" applyFill="1"/>
    <xf numFmtId="10" fontId="0" fillId="8" borderId="0" xfId="1" applyNumberFormat="1" applyFont="1" applyFill="1"/>
    <xf numFmtId="166" fontId="0" fillId="8" borderId="0" xfId="1" applyNumberFormat="1" applyFont="1" applyFill="1"/>
    <xf numFmtId="0" fontId="0" fillId="8" borderId="0" xfId="1" applyNumberFormat="1" applyFont="1" applyFill="1"/>
    <xf numFmtId="0" fontId="2" fillId="8" borderId="0" xfId="0" applyFont="1" applyFill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ulemiledugnat/Desktop/malawi_spreadshe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 Population"/>
      <sheetName val="Admin Training &amp; supervision"/>
      <sheetName val="Admin Screening &amp; treatment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E1ED-3367-CE4A-8E14-9A806A5DCF40}">
  <dimension ref="A1:EZ140"/>
  <sheetViews>
    <sheetView tabSelected="1" zoomScale="85" zoomScaleNormal="85" workbookViewId="0">
      <selection activeCell="I6" sqref="I6"/>
    </sheetView>
  </sheetViews>
  <sheetFormatPr defaultColWidth="11.25" defaultRowHeight="15.75" x14ac:dyDescent="0.25"/>
  <cols>
    <col min="2" max="2" width="25.75" customWidth="1"/>
    <col min="3" max="3" width="51.25" customWidth="1"/>
    <col min="4" max="4" width="88.875" customWidth="1"/>
    <col min="5" max="5" width="13.25" style="5" bestFit="1" customWidth="1"/>
    <col min="6" max="6" width="16.75" bestFit="1" customWidth="1"/>
    <col min="7" max="7" width="16.75" customWidth="1"/>
    <col min="8" max="9" width="12.25" bestFit="1" customWidth="1"/>
    <col min="12" max="12" width="60.125" customWidth="1"/>
    <col min="13" max="13" width="16.625" customWidth="1"/>
    <col min="14" max="14" width="47.75" bestFit="1" customWidth="1"/>
  </cols>
  <sheetData>
    <row r="1" spans="1:156" x14ac:dyDescent="0.25">
      <c r="A1" s="2"/>
      <c r="B1" s="2"/>
      <c r="C1" s="2" t="s">
        <v>14</v>
      </c>
      <c r="D1" s="2" t="s">
        <v>12</v>
      </c>
      <c r="E1" s="3"/>
      <c r="F1" s="2"/>
      <c r="G1" s="2"/>
      <c r="H1" s="2" t="s">
        <v>15</v>
      </c>
      <c r="I1" s="2" t="s">
        <v>15</v>
      </c>
      <c r="J1" s="2" t="s">
        <v>14</v>
      </c>
      <c r="K1" s="2"/>
      <c r="L1" s="2"/>
      <c r="M1" s="2"/>
      <c r="N1" s="2"/>
    </row>
    <row r="2" spans="1:156" x14ac:dyDescent="0.25">
      <c r="B2" s="1" t="s">
        <v>0</v>
      </c>
      <c r="C2" s="1" t="s">
        <v>1</v>
      </c>
      <c r="D2" s="1" t="s">
        <v>2</v>
      </c>
      <c r="E2" s="4" t="s">
        <v>7</v>
      </c>
      <c r="F2" s="1" t="s">
        <v>3</v>
      </c>
      <c r="G2" s="1" t="s">
        <v>1056</v>
      </c>
      <c r="H2" s="1" t="s">
        <v>4</v>
      </c>
      <c r="I2" s="1" t="s">
        <v>5</v>
      </c>
      <c r="J2" s="1" t="s">
        <v>6</v>
      </c>
      <c r="K2" s="1" t="s">
        <v>1017</v>
      </c>
      <c r="L2" s="1" t="s">
        <v>1018</v>
      </c>
      <c r="M2" s="1" t="s">
        <v>986</v>
      </c>
      <c r="N2" s="1" t="s">
        <v>8</v>
      </c>
    </row>
    <row r="3" spans="1:156" s="31" customFormat="1" x14ac:dyDescent="0.25">
      <c r="B3" s="32" t="s">
        <v>988</v>
      </c>
      <c r="C3" s="31" t="s">
        <v>17</v>
      </c>
      <c r="D3" s="32" t="s">
        <v>989</v>
      </c>
      <c r="E3" s="33">
        <v>645273</v>
      </c>
      <c r="F3" s="32" t="s">
        <v>10</v>
      </c>
      <c r="G3" s="32">
        <v>1</v>
      </c>
      <c r="H3" s="32">
        <v>0</v>
      </c>
      <c r="I3" s="32">
        <v>60000000</v>
      </c>
      <c r="J3" s="32" t="s">
        <v>26</v>
      </c>
      <c r="K3" s="32" t="s">
        <v>10</v>
      </c>
      <c r="L3" s="32" t="s">
        <v>989</v>
      </c>
      <c r="M3" s="32" t="s">
        <v>987</v>
      </c>
      <c r="N3" s="32" t="s">
        <v>245</v>
      </c>
    </row>
    <row r="4" spans="1:156" s="31" customFormat="1" x14ac:dyDescent="0.25">
      <c r="B4" s="32" t="s">
        <v>988</v>
      </c>
      <c r="C4" s="31" t="s">
        <v>17</v>
      </c>
      <c r="D4" s="32" t="s">
        <v>246</v>
      </c>
      <c r="E4" s="34">
        <v>3.9</v>
      </c>
      <c r="F4" s="32" t="s">
        <v>10</v>
      </c>
      <c r="G4" s="32">
        <v>0.1</v>
      </c>
      <c r="H4" s="32">
        <v>0</v>
      </c>
      <c r="I4" s="32">
        <v>20</v>
      </c>
      <c r="J4" s="32" t="s">
        <v>29</v>
      </c>
      <c r="K4" s="32" t="s">
        <v>9</v>
      </c>
      <c r="L4" s="32" t="s">
        <v>246</v>
      </c>
      <c r="M4" s="32" t="s">
        <v>987</v>
      </c>
      <c r="N4" s="32"/>
    </row>
    <row r="5" spans="1:156" s="31" customFormat="1" x14ac:dyDescent="0.25">
      <c r="B5" s="32" t="s">
        <v>988</v>
      </c>
      <c r="C5" s="31" t="s">
        <v>17</v>
      </c>
      <c r="D5" s="32" t="s">
        <v>34</v>
      </c>
      <c r="E5" s="35">
        <v>2.9999999999999997E-4</v>
      </c>
      <c r="F5" s="32" t="s">
        <v>10</v>
      </c>
      <c r="G5" s="32">
        <v>1.0000000000000001E-5</v>
      </c>
      <c r="H5" s="32">
        <v>0</v>
      </c>
      <c r="I5" s="32">
        <v>0.1</v>
      </c>
      <c r="J5" s="32" t="s">
        <v>105</v>
      </c>
      <c r="K5" s="32" t="s">
        <v>10</v>
      </c>
      <c r="L5" s="32" t="s">
        <v>34</v>
      </c>
      <c r="M5" s="32" t="s">
        <v>987</v>
      </c>
      <c r="N5" s="32"/>
    </row>
    <row r="6" spans="1:156" s="31" customFormat="1" x14ac:dyDescent="0.25">
      <c r="B6" s="32" t="s">
        <v>988</v>
      </c>
      <c r="C6" s="31" t="s">
        <v>17</v>
      </c>
      <c r="D6" s="32" t="s">
        <v>33</v>
      </c>
      <c r="E6" s="35">
        <v>6.9999999999999999E-4</v>
      </c>
      <c r="F6" s="32" t="s">
        <v>10</v>
      </c>
      <c r="G6" s="32">
        <v>1.0000000000000001E-5</v>
      </c>
      <c r="H6" s="32">
        <v>0</v>
      </c>
      <c r="I6" s="32">
        <v>0.1</v>
      </c>
      <c r="J6" s="32" t="s">
        <v>105</v>
      </c>
      <c r="K6" s="32" t="s">
        <v>10</v>
      </c>
      <c r="L6" s="32" t="s">
        <v>33</v>
      </c>
      <c r="M6" s="32" t="s">
        <v>987</v>
      </c>
      <c r="N6" s="32"/>
    </row>
    <row r="7" spans="1:156" s="31" customFormat="1" x14ac:dyDescent="0.25">
      <c r="B7" s="32" t="s">
        <v>988</v>
      </c>
      <c r="C7" s="32" t="s">
        <v>1051</v>
      </c>
      <c r="D7" s="32" t="s">
        <v>809</v>
      </c>
      <c r="E7" s="36">
        <v>0.2</v>
      </c>
      <c r="F7" s="32" t="s">
        <v>10</v>
      </c>
      <c r="G7" s="32">
        <v>0.1</v>
      </c>
      <c r="H7" s="37">
        <v>0</v>
      </c>
      <c r="I7" s="37">
        <v>100</v>
      </c>
      <c r="J7" s="32" t="s">
        <v>27</v>
      </c>
      <c r="K7" s="32" t="s">
        <v>9</v>
      </c>
      <c r="L7" s="32" t="s">
        <v>1038</v>
      </c>
      <c r="M7" s="32" t="s">
        <v>987</v>
      </c>
      <c r="N7" s="32"/>
    </row>
    <row r="8" spans="1:156" s="11" customFormat="1" x14ac:dyDescent="0.25">
      <c r="A8"/>
      <c r="B8" s="19" t="s">
        <v>988</v>
      </c>
      <c r="C8" s="19" t="s">
        <v>1051</v>
      </c>
      <c r="D8" s="19" t="s">
        <v>144</v>
      </c>
      <c r="E8" s="20">
        <v>0.8</v>
      </c>
      <c r="F8" s="19" t="s">
        <v>9</v>
      </c>
      <c r="G8" s="19"/>
      <c r="H8" s="19"/>
      <c r="I8" s="19"/>
      <c r="J8" s="19" t="s">
        <v>27</v>
      </c>
      <c r="K8" s="19" t="s">
        <v>9</v>
      </c>
      <c r="L8" s="19" t="s">
        <v>144</v>
      </c>
      <c r="M8" s="19" t="s">
        <v>987</v>
      </c>
      <c r="N8" s="19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</row>
    <row r="9" spans="1:156" s="11" customFormat="1" x14ac:dyDescent="0.25">
      <c r="A9"/>
      <c r="B9" s="19" t="s">
        <v>988</v>
      </c>
      <c r="C9" s="19" t="s">
        <v>1051</v>
      </c>
      <c r="D9" s="19" t="s">
        <v>145</v>
      </c>
      <c r="E9" s="20">
        <v>0.2</v>
      </c>
      <c r="F9" s="19" t="s">
        <v>9</v>
      </c>
      <c r="G9" s="19"/>
      <c r="H9" s="19"/>
      <c r="I9" s="19"/>
      <c r="J9" s="19" t="s">
        <v>27</v>
      </c>
      <c r="K9" s="19" t="s">
        <v>9</v>
      </c>
      <c r="L9" s="19" t="s">
        <v>145</v>
      </c>
      <c r="M9" s="19" t="s">
        <v>987</v>
      </c>
      <c r="N9" s="1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</row>
    <row r="10" spans="1:156" s="31" customFormat="1" x14ac:dyDescent="0.25">
      <c r="B10" s="32" t="s">
        <v>988</v>
      </c>
      <c r="C10" s="32" t="s">
        <v>1051</v>
      </c>
      <c r="D10" s="32" t="s">
        <v>811</v>
      </c>
      <c r="E10" s="35">
        <v>3.5000000000000003E-2</v>
      </c>
      <c r="F10" s="32" t="s">
        <v>10</v>
      </c>
      <c r="G10" s="32">
        <v>0.1</v>
      </c>
      <c r="H10" s="32">
        <v>0</v>
      </c>
      <c r="I10" s="32">
        <v>100</v>
      </c>
      <c r="J10" s="32" t="s">
        <v>27</v>
      </c>
      <c r="K10" s="32" t="s">
        <v>9</v>
      </c>
      <c r="L10" s="32" t="s">
        <v>1039</v>
      </c>
      <c r="M10" s="32" t="s">
        <v>987</v>
      </c>
      <c r="N10" s="32"/>
    </row>
    <row r="11" spans="1:156" s="31" customFormat="1" x14ac:dyDescent="0.25">
      <c r="B11" s="32" t="s">
        <v>988</v>
      </c>
      <c r="C11" s="32" t="s">
        <v>1052</v>
      </c>
      <c r="D11" s="32" t="s">
        <v>60</v>
      </c>
      <c r="E11" s="36">
        <v>0.2</v>
      </c>
      <c r="F11" s="32" t="s">
        <v>10</v>
      </c>
      <c r="G11" s="32">
        <v>0.1</v>
      </c>
      <c r="H11" s="37">
        <v>0</v>
      </c>
      <c r="I11" s="37">
        <v>100</v>
      </c>
      <c r="J11" s="32" t="s">
        <v>27</v>
      </c>
      <c r="K11" s="32" t="s">
        <v>9</v>
      </c>
      <c r="L11" s="32" t="s">
        <v>60</v>
      </c>
      <c r="M11" s="32" t="s">
        <v>987</v>
      </c>
      <c r="N11" s="32"/>
    </row>
    <row r="12" spans="1:156" s="11" customFormat="1" x14ac:dyDescent="0.25">
      <c r="A12"/>
      <c r="B12" s="19" t="s">
        <v>988</v>
      </c>
      <c r="C12" s="19" t="s">
        <v>1052</v>
      </c>
      <c r="D12" s="19" t="s">
        <v>146</v>
      </c>
      <c r="E12" s="20">
        <v>0.8</v>
      </c>
      <c r="F12" s="19" t="s">
        <v>9</v>
      </c>
      <c r="G12" s="19"/>
      <c r="H12" s="19"/>
      <c r="I12" s="19"/>
      <c r="J12" s="19" t="s">
        <v>27</v>
      </c>
      <c r="K12" s="19" t="s">
        <v>9</v>
      </c>
      <c r="L12" s="19" t="s">
        <v>146</v>
      </c>
      <c r="M12" s="19" t="s">
        <v>987</v>
      </c>
      <c r="N12" s="19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</row>
    <row r="13" spans="1:156" s="11" customFormat="1" x14ac:dyDescent="0.25">
      <c r="A13"/>
      <c r="B13" s="19" t="s">
        <v>988</v>
      </c>
      <c r="C13" s="19" t="s">
        <v>1052</v>
      </c>
      <c r="D13" s="19" t="s">
        <v>147</v>
      </c>
      <c r="E13" s="21">
        <v>0.2</v>
      </c>
      <c r="F13" s="19" t="s">
        <v>9</v>
      </c>
      <c r="G13" s="19"/>
      <c r="H13"/>
      <c r="I13" s="19"/>
      <c r="J13" s="19" t="s">
        <v>27</v>
      </c>
      <c r="K13" s="19" t="s">
        <v>9</v>
      </c>
      <c r="L13" s="19" t="s">
        <v>147</v>
      </c>
      <c r="M13" s="19" t="s">
        <v>987</v>
      </c>
      <c r="N13" s="19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</row>
    <row r="14" spans="1:156" s="31" customFormat="1" x14ac:dyDescent="0.25">
      <c r="B14" s="32" t="s">
        <v>988</v>
      </c>
      <c r="C14" s="32" t="s">
        <v>1052</v>
      </c>
      <c r="D14" s="32" t="s">
        <v>812</v>
      </c>
      <c r="E14" s="38">
        <v>0.1</v>
      </c>
      <c r="F14" s="32" t="s">
        <v>10</v>
      </c>
      <c r="G14" s="32">
        <v>0.1</v>
      </c>
      <c r="H14" s="32">
        <v>0</v>
      </c>
      <c r="I14" s="32">
        <v>100</v>
      </c>
      <c r="J14" s="32" t="s">
        <v>27</v>
      </c>
      <c r="K14" s="32" t="s">
        <v>9</v>
      </c>
      <c r="L14" s="32" t="s">
        <v>1040</v>
      </c>
      <c r="M14" s="32" t="s">
        <v>987</v>
      </c>
      <c r="N14" s="32"/>
    </row>
    <row r="15" spans="1:156" s="11" customFormat="1" x14ac:dyDescent="0.25">
      <c r="A15"/>
      <c r="B15" s="19" t="s">
        <v>988</v>
      </c>
      <c r="C15" s="19" t="s">
        <v>18</v>
      </c>
      <c r="D15" s="19" t="s">
        <v>148</v>
      </c>
      <c r="E15" s="20">
        <v>0.05</v>
      </c>
      <c r="F15" s="19" t="s">
        <v>9</v>
      </c>
      <c r="G15" s="19"/>
      <c r="H15" s="19"/>
      <c r="I15" s="19"/>
      <c r="J15" s="19" t="s">
        <v>27</v>
      </c>
      <c r="K15" s="19" t="s">
        <v>9</v>
      </c>
      <c r="L15" s="19" t="s">
        <v>1041</v>
      </c>
      <c r="M15" s="19" t="s">
        <v>987</v>
      </c>
      <c r="N15" s="19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</row>
    <row r="16" spans="1:156" s="11" customFormat="1" x14ac:dyDescent="0.25">
      <c r="A16"/>
      <c r="B16" s="19" t="s">
        <v>988</v>
      </c>
      <c r="C16" s="19" t="s">
        <v>18</v>
      </c>
      <c r="D16" s="19" t="s">
        <v>810</v>
      </c>
      <c r="E16" s="22">
        <v>0.05</v>
      </c>
      <c r="F16" s="19" t="s">
        <v>9</v>
      </c>
      <c r="G16" s="19"/>
      <c r="H16"/>
      <c r="I16"/>
      <c r="J16" s="19" t="s">
        <v>27</v>
      </c>
      <c r="K16" s="19" t="s">
        <v>9</v>
      </c>
      <c r="L16" s="19" t="s">
        <v>1042</v>
      </c>
      <c r="M16" s="19" t="s">
        <v>987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</row>
    <row r="17" spans="1:156" s="11" customFormat="1" x14ac:dyDescent="0.25">
      <c r="A17"/>
      <c r="B17" s="19" t="s">
        <v>988</v>
      </c>
      <c r="C17" s="19" t="s">
        <v>18</v>
      </c>
      <c r="D17" s="19" t="s">
        <v>20</v>
      </c>
      <c r="E17" s="23">
        <v>0.25</v>
      </c>
      <c r="F17" t="s">
        <v>9</v>
      </c>
      <c r="G17"/>
      <c r="H17"/>
      <c r="I17"/>
      <c r="J17" t="s">
        <v>21</v>
      </c>
      <c r="K17" s="19" t="s">
        <v>9</v>
      </c>
      <c r="L17" s="19" t="s">
        <v>20</v>
      </c>
      <c r="M17" s="19" t="s">
        <v>987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</row>
    <row r="18" spans="1:156" s="11" customFormat="1" x14ac:dyDescent="0.25">
      <c r="A18"/>
      <c r="B18" s="19" t="s">
        <v>988</v>
      </c>
      <c r="C18" s="19" t="s">
        <v>31</v>
      </c>
      <c r="D18" s="19" t="s">
        <v>22</v>
      </c>
      <c r="E18" s="23">
        <v>0.39600000000000002</v>
      </c>
      <c r="F18" t="s">
        <v>9</v>
      </c>
      <c r="G18"/>
      <c r="H18"/>
      <c r="I18"/>
      <c r="J18" t="s">
        <v>28</v>
      </c>
      <c r="K18" s="19" t="s">
        <v>9</v>
      </c>
      <c r="L18" s="19" t="s">
        <v>22</v>
      </c>
      <c r="M18" s="19" t="s">
        <v>987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</row>
    <row r="19" spans="1:156" s="11" customFormat="1" x14ac:dyDescent="0.25">
      <c r="A19"/>
      <c r="B19" s="19" t="s">
        <v>988</v>
      </c>
      <c r="C19" s="19" t="s">
        <v>19</v>
      </c>
      <c r="D19" s="19" t="s">
        <v>23</v>
      </c>
      <c r="E19" s="23">
        <v>0.65800000000000003</v>
      </c>
      <c r="F19" t="s">
        <v>9</v>
      </c>
      <c r="G19"/>
      <c r="H19"/>
      <c r="I19"/>
      <c r="J19" t="s">
        <v>28</v>
      </c>
      <c r="K19" s="19" t="s">
        <v>9</v>
      </c>
      <c r="L19" s="19" t="s">
        <v>23</v>
      </c>
      <c r="M19" s="19" t="s">
        <v>987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</row>
    <row r="20" spans="1:156" s="11" customFormat="1" x14ac:dyDescent="0.25">
      <c r="A20"/>
      <c r="B20" s="19" t="s">
        <v>988</v>
      </c>
      <c r="C20" s="19" t="s">
        <v>19</v>
      </c>
      <c r="D20" s="19" t="s">
        <v>24</v>
      </c>
      <c r="E20" s="23">
        <v>0.13300000000000001</v>
      </c>
      <c r="F20" t="s">
        <v>9</v>
      </c>
      <c r="G20"/>
      <c r="H20"/>
      <c r="I20"/>
      <c r="J20" t="s">
        <v>28</v>
      </c>
      <c r="K20" s="19" t="s">
        <v>9</v>
      </c>
      <c r="L20" s="19" t="s">
        <v>24</v>
      </c>
      <c r="M20" s="19" t="s">
        <v>987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</row>
    <row r="21" spans="1:156" s="11" customFormat="1" x14ac:dyDescent="0.25">
      <c r="A21"/>
      <c r="B21" s="19" t="s">
        <v>988</v>
      </c>
      <c r="C21" s="19" t="s">
        <v>235</v>
      </c>
      <c r="D21" s="19" t="s">
        <v>241</v>
      </c>
      <c r="E21" s="23">
        <f>1-E18</f>
        <v>0.60399999999999998</v>
      </c>
      <c r="F21" t="s">
        <v>9</v>
      </c>
      <c r="G21"/>
      <c r="H21"/>
      <c r="I21"/>
      <c r="J21" t="s">
        <v>28</v>
      </c>
      <c r="K21" s="19" t="s">
        <v>9</v>
      </c>
      <c r="L21" s="19" t="s">
        <v>241</v>
      </c>
      <c r="M21" s="19" t="s">
        <v>987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</row>
    <row r="22" spans="1:156" s="11" customFormat="1" x14ac:dyDescent="0.25">
      <c r="A22"/>
      <c r="B22" s="19" t="s">
        <v>988</v>
      </c>
      <c r="C22" s="19" t="s">
        <v>235</v>
      </c>
      <c r="D22" s="19" t="s">
        <v>242</v>
      </c>
      <c r="E22" s="23">
        <f>1-E19</f>
        <v>0.34199999999999997</v>
      </c>
      <c r="F22" t="s">
        <v>9</v>
      </c>
      <c r="G22"/>
      <c r="H22"/>
      <c r="I22"/>
      <c r="J22" t="s">
        <v>28</v>
      </c>
      <c r="K22" s="19" t="s">
        <v>9</v>
      </c>
      <c r="L22" s="19" t="s">
        <v>242</v>
      </c>
      <c r="M22" s="19" t="s">
        <v>987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</row>
    <row r="23" spans="1:156" s="11" customFormat="1" x14ac:dyDescent="0.25">
      <c r="A23"/>
      <c r="B23" s="19" t="s">
        <v>988</v>
      </c>
      <c r="C23" s="19" t="s">
        <v>235</v>
      </c>
      <c r="D23" s="19" t="s">
        <v>247</v>
      </c>
      <c r="E23" s="23">
        <f>1-E22</f>
        <v>0.65800000000000003</v>
      </c>
      <c r="F23" t="s">
        <v>9</v>
      </c>
      <c r="G23"/>
      <c r="H23"/>
      <c r="I23"/>
      <c r="J23" t="s">
        <v>28</v>
      </c>
      <c r="K23" s="19" t="s">
        <v>9</v>
      </c>
      <c r="L23" s="19" t="s">
        <v>247</v>
      </c>
      <c r="M23" s="19" t="s">
        <v>987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</row>
    <row r="24" spans="1:156" s="31" customFormat="1" x14ac:dyDescent="0.25">
      <c r="B24" s="32" t="s">
        <v>988</v>
      </c>
      <c r="C24" s="32" t="s">
        <v>25</v>
      </c>
      <c r="D24" s="31" t="s">
        <v>109</v>
      </c>
      <c r="E24" s="39">
        <v>5.5</v>
      </c>
      <c r="F24" s="31" t="s">
        <v>10</v>
      </c>
      <c r="G24" s="31">
        <v>0.1</v>
      </c>
      <c r="H24" s="31">
        <v>0</v>
      </c>
      <c r="I24" s="31">
        <v>20</v>
      </c>
      <c r="J24" s="31" t="s">
        <v>29</v>
      </c>
      <c r="K24" s="32" t="s">
        <v>9</v>
      </c>
      <c r="L24" s="31" t="s">
        <v>109</v>
      </c>
      <c r="M24" s="32" t="s">
        <v>987</v>
      </c>
    </row>
    <row r="25" spans="1:156" s="11" customFormat="1" x14ac:dyDescent="0.25">
      <c r="A25"/>
      <c r="B25" s="19" t="s">
        <v>988</v>
      </c>
      <c r="C25" s="19" t="s">
        <v>25</v>
      </c>
      <c r="D25" t="s">
        <v>108</v>
      </c>
      <c r="E25" s="24">
        <v>60</v>
      </c>
      <c r="F25" t="s">
        <v>9</v>
      </c>
      <c r="G25"/>
      <c r="H25"/>
      <c r="I25"/>
      <c r="J25" t="s">
        <v>21</v>
      </c>
      <c r="K25" s="19" t="s">
        <v>9</v>
      </c>
      <c r="L25" t="s">
        <v>108</v>
      </c>
      <c r="M25" s="19" t="s">
        <v>987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</row>
    <row r="26" spans="1:156" s="31" customFormat="1" x14ac:dyDescent="0.25">
      <c r="B26" s="32" t="s">
        <v>988</v>
      </c>
      <c r="C26" s="32" t="s">
        <v>249</v>
      </c>
      <c r="D26" s="32" t="s">
        <v>251</v>
      </c>
      <c r="E26" s="40">
        <v>7172</v>
      </c>
      <c r="F26" s="31" t="s">
        <v>10</v>
      </c>
      <c r="G26" s="31">
        <v>1</v>
      </c>
      <c r="H26" s="31">
        <v>0</v>
      </c>
      <c r="I26" s="31">
        <v>100000</v>
      </c>
      <c r="J26" s="31" t="s">
        <v>1043</v>
      </c>
      <c r="K26" s="31" t="s">
        <v>10</v>
      </c>
      <c r="L26" s="32" t="s">
        <v>251</v>
      </c>
      <c r="M26" s="32" t="s">
        <v>987</v>
      </c>
    </row>
    <row r="27" spans="1:156" s="11" customFormat="1" x14ac:dyDescent="0.25">
      <c r="A27"/>
      <c r="B27" s="19" t="s">
        <v>240</v>
      </c>
      <c r="C27" s="19" t="s">
        <v>249</v>
      </c>
      <c r="D27" s="19" t="s">
        <v>30</v>
      </c>
      <c r="E27" s="24">
        <v>0.5</v>
      </c>
      <c r="F27" s="19" t="s">
        <v>9</v>
      </c>
      <c r="G27" s="19"/>
      <c r="H27"/>
      <c r="I27"/>
      <c r="J27" t="s">
        <v>28</v>
      </c>
      <c r="K27" t="s">
        <v>9</v>
      </c>
      <c r="L27" s="19" t="s">
        <v>30</v>
      </c>
      <c r="M27" s="19" t="s">
        <v>987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</row>
    <row r="28" spans="1:156" s="31" customFormat="1" x14ac:dyDescent="0.25">
      <c r="B28" s="32" t="s">
        <v>988</v>
      </c>
      <c r="C28" s="32" t="s">
        <v>250</v>
      </c>
      <c r="D28" s="32" t="s">
        <v>237</v>
      </c>
      <c r="E28" s="40">
        <v>2217</v>
      </c>
      <c r="F28" s="32" t="s">
        <v>10</v>
      </c>
      <c r="G28" s="32">
        <v>1</v>
      </c>
      <c r="H28" s="31">
        <v>0</v>
      </c>
      <c r="I28" s="31">
        <v>6000</v>
      </c>
      <c r="J28" s="31" t="s">
        <v>1043</v>
      </c>
      <c r="K28" s="31" t="s">
        <v>10</v>
      </c>
      <c r="L28" s="32" t="s">
        <v>1047</v>
      </c>
      <c r="M28" s="32" t="s">
        <v>987</v>
      </c>
    </row>
    <row r="29" spans="1:156" s="31" customFormat="1" x14ac:dyDescent="0.25">
      <c r="B29" s="32" t="s">
        <v>988</v>
      </c>
      <c r="C29" s="32" t="s">
        <v>250</v>
      </c>
      <c r="D29" s="32" t="s">
        <v>238</v>
      </c>
      <c r="E29" s="40">
        <v>2217</v>
      </c>
      <c r="F29" s="32" t="s">
        <v>10</v>
      </c>
      <c r="G29" s="32">
        <v>1</v>
      </c>
      <c r="H29" s="31">
        <v>0</v>
      </c>
      <c r="I29" s="31">
        <v>6000</v>
      </c>
      <c r="J29" s="31" t="s">
        <v>1043</v>
      </c>
      <c r="K29" s="31" t="s">
        <v>10</v>
      </c>
      <c r="L29" s="32" t="s">
        <v>1046</v>
      </c>
      <c r="M29" s="32" t="s">
        <v>987</v>
      </c>
    </row>
    <row r="30" spans="1:156" s="11" customFormat="1" x14ac:dyDescent="0.25">
      <c r="A30"/>
      <c r="B30" s="19" t="s">
        <v>240</v>
      </c>
      <c r="C30" s="19" t="s">
        <v>244</v>
      </c>
      <c r="D30" s="19" t="s">
        <v>243</v>
      </c>
      <c r="E30" s="26">
        <f>0.03</f>
        <v>0.03</v>
      </c>
      <c r="F30" s="19" t="s">
        <v>985</v>
      </c>
      <c r="G30" s="19"/>
      <c r="H30"/>
      <c r="I30"/>
      <c r="J30" t="s">
        <v>29</v>
      </c>
      <c r="K30" t="s">
        <v>9</v>
      </c>
      <c r="L30" s="19" t="s">
        <v>243</v>
      </c>
      <c r="M30" s="19" t="s">
        <v>987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</row>
    <row r="31" spans="1:156" s="11" customFormat="1" x14ac:dyDescent="0.25">
      <c r="A31"/>
      <c r="B31" s="19" t="s">
        <v>240</v>
      </c>
      <c r="C31" s="19" t="s">
        <v>102</v>
      </c>
      <c r="D31" s="19" t="s">
        <v>68</v>
      </c>
      <c r="E31" s="26">
        <v>1.03</v>
      </c>
      <c r="F31" s="19" t="s">
        <v>9</v>
      </c>
      <c r="G31" s="19"/>
      <c r="H31"/>
      <c r="I31"/>
      <c r="J31" t="s">
        <v>26</v>
      </c>
      <c r="K31" t="s">
        <v>9</v>
      </c>
      <c r="L31" s="19" t="s">
        <v>68</v>
      </c>
      <c r="M31" s="19" t="s">
        <v>987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</row>
    <row r="32" spans="1:156" s="31" customFormat="1" x14ac:dyDescent="0.25">
      <c r="B32" s="32" t="s">
        <v>990</v>
      </c>
      <c r="C32" s="32" t="s">
        <v>104</v>
      </c>
      <c r="D32" s="32" t="s">
        <v>991</v>
      </c>
      <c r="E32" s="41">
        <v>7.0000000000000001E-3</v>
      </c>
      <c r="F32" s="32" t="s">
        <v>10</v>
      </c>
      <c r="G32" s="32">
        <v>1.0000000000000001E-5</v>
      </c>
      <c r="H32" s="31">
        <v>0</v>
      </c>
      <c r="I32" s="31">
        <v>0.03</v>
      </c>
      <c r="J32" s="31" t="s">
        <v>105</v>
      </c>
      <c r="K32" s="31" t="s">
        <v>10</v>
      </c>
      <c r="L32" s="32" t="s">
        <v>1031</v>
      </c>
      <c r="M32" s="32" t="s">
        <v>987</v>
      </c>
    </row>
    <row r="33" spans="1:156" s="31" customFormat="1" x14ac:dyDescent="0.25">
      <c r="B33" s="32" t="s">
        <v>990</v>
      </c>
      <c r="C33" s="32" t="s">
        <v>103</v>
      </c>
      <c r="D33" s="32" t="s">
        <v>992</v>
      </c>
      <c r="E33" s="41">
        <v>2.9999999999999997E-4</v>
      </c>
      <c r="F33" s="32" t="s">
        <v>10</v>
      </c>
      <c r="G33" s="32">
        <v>1.0000000000000001E-5</v>
      </c>
      <c r="H33" s="31">
        <v>0</v>
      </c>
      <c r="I33" s="31">
        <v>0.03</v>
      </c>
      <c r="J33" s="31" t="s">
        <v>105</v>
      </c>
      <c r="K33" s="31" t="s">
        <v>10</v>
      </c>
      <c r="L33" s="32" t="s">
        <v>1032</v>
      </c>
      <c r="M33" s="32" t="s">
        <v>987</v>
      </c>
    </row>
    <row r="34" spans="1:156" s="31" customFormat="1" x14ac:dyDescent="0.25">
      <c r="B34" s="32" t="s">
        <v>990</v>
      </c>
      <c r="C34" s="32" t="s">
        <v>103</v>
      </c>
      <c r="D34" s="32" t="s">
        <v>993</v>
      </c>
      <c r="E34" s="41">
        <v>2.9999999999999997E-4</v>
      </c>
      <c r="F34" s="32" t="s">
        <v>10</v>
      </c>
      <c r="G34" s="32">
        <v>1.0000000000000001E-5</v>
      </c>
      <c r="H34" s="31">
        <v>0</v>
      </c>
      <c r="I34" s="31">
        <v>0.03</v>
      </c>
      <c r="J34" s="31" t="s">
        <v>105</v>
      </c>
      <c r="K34" s="31" t="s">
        <v>10</v>
      </c>
      <c r="L34" s="32" t="s">
        <v>1033</v>
      </c>
      <c r="M34" s="32" t="s">
        <v>987</v>
      </c>
    </row>
    <row r="35" spans="1:156" s="31" customFormat="1" x14ac:dyDescent="0.25">
      <c r="B35" s="32" t="s">
        <v>990</v>
      </c>
      <c r="C35" s="32" t="s">
        <v>103</v>
      </c>
      <c r="D35" s="32" t="s">
        <v>994</v>
      </c>
      <c r="E35" s="41">
        <v>2.9999999999999997E-4</v>
      </c>
      <c r="F35" s="32" t="s">
        <v>10</v>
      </c>
      <c r="G35" s="32">
        <v>1.0000000000000001E-5</v>
      </c>
      <c r="H35" s="31">
        <v>0</v>
      </c>
      <c r="I35" s="31">
        <v>0.03</v>
      </c>
      <c r="J35" s="31" t="s">
        <v>105</v>
      </c>
      <c r="K35" s="31" t="s">
        <v>10</v>
      </c>
      <c r="L35" s="32" t="s">
        <v>1034</v>
      </c>
      <c r="M35" s="32" t="s">
        <v>987</v>
      </c>
    </row>
    <row r="36" spans="1:156" s="31" customFormat="1" x14ac:dyDescent="0.25">
      <c r="B36" s="32" t="s">
        <v>990</v>
      </c>
      <c r="C36" s="32" t="s">
        <v>103</v>
      </c>
      <c r="D36" s="32" t="s">
        <v>995</v>
      </c>
      <c r="E36" s="41">
        <v>1E-3</v>
      </c>
      <c r="F36" s="32" t="s">
        <v>10</v>
      </c>
      <c r="G36" s="32">
        <v>1.0000000000000001E-5</v>
      </c>
      <c r="H36" s="31">
        <v>0</v>
      </c>
      <c r="I36" s="31">
        <v>0.03</v>
      </c>
      <c r="J36" s="31" t="s">
        <v>105</v>
      </c>
      <c r="K36" s="31" t="s">
        <v>10</v>
      </c>
      <c r="L36" s="32" t="s">
        <v>1035</v>
      </c>
      <c r="M36" s="32" t="s">
        <v>987</v>
      </c>
    </row>
    <row r="37" spans="1:156" s="31" customFormat="1" x14ac:dyDescent="0.25">
      <c r="B37" s="32" t="s">
        <v>990</v>
      </c>
      <c r="C37" s="32" t="s">
        <v>103</v>
      </c>
      <c r="D37" s="32" t="s">
        <v>996</v>
      </c>
      <c r="E37" s="41">
        <v>2E-3</v>
      </c>
      <c r="F37" s="32" t="s">
        <v>10</v>
      </c>
      <c r="G37" s="32">
        <v>1.0000000000000001E-5</v>
      </c>
      <c r="H37" s="31">
        <v>0</v>
      </c>
      <c r="I37" s="31">
        <v>0.03</v>
      </c>
      <c r="J37" s="31" t="s">
        <v>105</v>
      </c>
      <c r="K37" s="31" t="s">
        <v>10</v>
      </c>
      <c r="L37" s="32" t="s">
        <v>1036</v>
      </c>
      <c r="M37" s="32" t="s">
        <v>987</v>
      </c>
    </row>
    <row r="38" spans="1:156" s="31" customFormat="1" x14ac:dyDescent="0.25">
      <c r="B38" s="32" t="s">
        <v>990</v>
      </c>
      <c r="C38" s="32" t="s">
        <v>103</v>
      </c>
      <c r="D38" s="32" t="s">
        <v>997</v>
      </c>
      <c r="E38" s="41">
        <v>2E-3</v>
      </c>
      <c r="F38" s="32" t="s">
        <v>10</v>
      </c>
      <c r="G38" s="32">
        <v>1.0000000000000001E-5</v>
      </c>
      <c r="H38" s="31">
        <v>0</v>
      </c>
      <c r="I38" s="31">
        <v>0.03</v>
      </c>
      <c r="J38" s="31" t="s">
        <v>105</v>
      </c>
      <c r="K38" s="31" t="s">
        <v>10</v>
      </c>
      <c r="L38" s="32" t="s">
        <v>1037</v>
      </c>
      <c r="M38" s="32" t="s">
        <v>987</v>
      </c>
    </row>
    <row r="39" spans="1:156" s="11" customFormat="1" x14ac:dyDescent="0.25">
      <c r="A39"/>
      <c r="B39" s="19" t="s">
        <v>990</v>
      </c>
      <c r="C39" s="19" t="s">
        <v>248</v>
      </c>
      <c r="D39" s="19" t="s">
        <v>253</v>
      </c>
      <c r="E39" s="22">
        <v>0.2</v>
      </c>
      <c r="F39" s="19" t="s">
        <v>9</v>
      </c>
      <c r="G39" s="19"/>
      <c r="H39"/>
      <c r="I39"/>
      <c r="J39" t="s">
        <v>105</v>
      </c>
      <c r="K39" t="s">
        <v>9</v>
      </c>
      <c r="L39" s="19" t="s">
        <v>253</v>
      </c>
      <c r="M39" s="19" t="s">
        <v>987</v>
      </c>
      <c r="N39" s="19" t="s">
        <v>263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</row>
    <row r="40" spans="1:156" s="11" customFormat="1" x14ac:dyDescent="0.25">
      <c r="A40"/>
      <c r="B40" s="19" t="s">
        <v>990</v>
      </c>
      <c r="C40" s="19" t="s">
        <v>248</v>
      </c>
      <c r="D40" s="19" t="s">
        <v>274</v>
      </c>
      <c r="E40" s="22">
        <v>0.2</v>
      </c>
      <c r="F40" s="19" t="s">
        <v>9</v>
      </c>
      <c r="G40" s="19"/>
      <c r="H40"/>
      <c r="I40"/>
      <c r="J40" t="s">
        <v>105</v>
      </c>
      <c r="K40" t="s">
        <v>9</v>
      </c>
      <c r="L40" s="19" t="s">
        <v>274</v>
      </c>
      <c r="M40" s="19" t="s">
        <v>987</v>
      </c>
      <c r="N40" s="19" t="s">
        <v>264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</row>
    <row r="41" spans="1:156" s="11" customFormat="1" x14ac:dyDescent="0.25">
      <c r="A41"/>
      <c r="B41" s="19" t="s">
        <v>990</v>
      </c>
      <c r="C41" s="19" t="s">
        <v>248</v>
      </c>
      <c r="D41" s="19" t="s">
        <v>254</v>
      </c>
      <c r="E41" s="22">
        <v>0.2</v>
      </c>
      <c r="F41" s="19" t="s">
        <v>9</v>
      </c>
      <c r="G41" s="19"/>
      <c r="H41"/>
      <c r="I41"/>
      <c r="J41" t="s">
        <v>105</v>
      </c>
      <c r="K41" t="s">
        <v>9</v>
      </c>
      <c r="L41" s="19" t="s">
        <v>254</v>
      </c>
      <c r="M41" s="19" t="s">
        <v>987</v>
      </c>
      <c r="N41" s="19" t="s">
        <v>265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</row>
    <row r="42" spans="1:156" s="11" customFormat="1" x14ac:dyDescent="0.25">
      <c r="A42"/>
      <c r="B42" s="19" t="s">
        <v>990</v>
      </c>
      <c r="C42" s="19" t="s">
        <v>248</v>
      </c>
      <c r="D42" s="19" t="s">
        <v>256</v>
      </c>
      <c r="E42" s="22">
        <v>0.2</v>
      </c>
      <c r="F42" s="19" t="s">
        <v>9</v>
      </c>
      <c r="G42" s="19"/>
      <c r="H42"/>
      <c r="I42"/>
      <c r="J42" t="s">
        <v>105</v>
      </c>
      <c r="K42" t="s">
        <v>9</v>
      </c>
      <c r="L42" s="19" t="s">
        <v>256</v>
      </c>
      <c r="M42" s="19" t="s">
        <v>987</v>
      </c>
      <c r="N42" s="19" t="s">
        <v>266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</row>
    <row r="43" spans="1:156" s="11" customFormat="1" x14ac:dyDescent="0.25">
      <c r="A43"/>
      <c r="B43" s="19" t="s">
        <v>990</v>
      </c>
      <c r="C43" s="19" t="s">
        <v>248</v>
      </c>
      <c r="D43" s="19" t="s">
        <v>255</v>
      </c>
      <c r="E43" s="22">
        <v>0.2</v>
      </c>
      <c r="F43" s="19" t="s">
        <v>9</v>
      </c>
      <c r="G43" s="19"/>
      <c r="H43"/>
      <c r="I43"/>
      <c r="J43" t="s">
        <v>105</v>
      </c>
      <c r="K43" t="s">
        <v>9</v>
      </c>
      <c r="L43" s="19" t="s">
        <v>255</v>
      </c>
      <c r="M43" s="19" t="s">
        <v>987</v>
      </c>
      <c r="N43" s="19" t="s">
        <v>267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</row>
    <row r="44" spans="1:156" s="11" customFormat="1" x14ac:dyDescent="0.25">
      <c r="A44"/>
      <c r="B44" s="19" t="s">
        <v>990</v>
      </c>
      <c r="C44" s="19" t="s">
        <v>248</v>
      </c>
      <c r="D44" s="19" t="s">
        <v>257</v>
      </c>
      <c r="E44" s="22">
        <v>0.2</v>
      </c>
      <c r="F44" s="19" t="s">
        <v>9</v>
      </c>
      <c r="G44" s="19"/>
      <c r="H44"/>
      <c r="I44"/>
      <c r="J44" t="s">
        <v>105</v>
      </c>
      <c r="K44" t="s">
        <v>9</v>
      </c>
      <c r="L44" s="19" t="s">
        <v>257</v>
      </c>
      <c r="M44" s="19" t="s">
        <v>987</v>
      </c>
      <c r="N44" s="19" t="s">
        <v>268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</row>
    <row r="45" spans="1:156" s="11" customFormat="1" x14ac:dyDescent="0.25">
      <c r="A45"/>
      <c r="B45" s="19" t="s">
        <v>990</v>
      </c>
      <c r="C45" s="19" t="s">
        <v>248</v>
      </c>
      <c r="D45" s="19" t="s">
        <v>258</v>
      </c>
      <c r="E45" s="22">
        <v>0.2</v>
      </c>
      <c r="F45" s="19" t="s">
        <v>9</v>
      </c>
      <c r="G45" s="19"/>
      <c r="H45"/>
      <c r="I45"/>
      <c r="J45" t="s">
        <v>105</v>
      </c>
      <c r="K45" t="s">
        <v>9</v>
      </c>
      <c r="L45" s="19" t="s">
        <v>258</v>
      </c>
      <c r="M45" s="19" t="s">
        <v>987</v>
      </c>
      <c r="N45" s="19" t="s">
        <v>269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</row>
    <row r="46" spans="1:156" s="11" customFormat="1" x14ac:dyDescent="0.25">
      <c r="A46"/>
      <c r="B46" s="19" t="s">
        <v>990</v>
      </c>
      <c r="C46" s="19" t="s">
        <v>248</v>
      </c>
      <c r="D46" s="19" t="s">
        <v>259</v>
      </c>
      <c r="E46" s="22">
        <v>0.2</v>
      </c>
      <c r="F46" s="19" t="s">
        <v>9</v>
      </c>
      <c r="G46" s="19"/>
      <c r="H46"/>
      <c r="I46"/>
      <c r="J46" t="s">
        <v>105</v>
      </c>
      <c r="K46" t="s">
        <v>9</v>
      </c>
      <c r="L46" s="19" t="s">
        <v>259</v>
      </c>
      <c r="M46" s="19" t="s">
        <v>987</v>
      </c>
      <c r="N46" s="19" t="s">
        <v>270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</row>
    <row r="47" spans="1:156" s="11" customFormat="1" x14ac:dyDescent="0.25">
      <c r="A47"/>
      <c r="B47" s="19" t="s">
        <v>990</v>
      </c>
      <c r="C47" s="19" t="s">
        <v>248</v>
      </c>
      <c r="D47" s="19" t="s">
        <v>260</v>
      </c>
      <c r="E47" s="22">
        <v>0.2</v>
      </c>
      <c r="F47" s="19" t="s">
        <v>9</v>
      </c>
      <c r="G47" s="19"/>
      <c r="H47"/>
      <c r="I47"/>
      <c r="J47" t="s">
        <v>105</v>
      </c>
      <c r="K47" t="s">
        <v>9</v>
      </c>
      <c r="L47" s="19" t="s">
        <v>260</v>
      </c>
      <c r="M47" s="19" t="s">
        <v>987</v>
      </c>
      <c r="N47" s="19" t="s">
        <v>271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</row>
    <row r="48" spans="1:156" s="11" customFormat="1" x14ac:dyDescent="0.25">
      <c r="A48"/>
      <c r="B48" s="19" t="s">
        <v>990</v>
      </c>
      <c r="C48" s="19" t="s">
        <v>248</v>
      </c>
      <c r="D48" s="19" t="s">
        <v>261</v>
      </c>
      <c r="E48" s="22">
        <v>0.2</v>
      </c>
      <c r="F48" s="19" t="s">
        <v>9</v>
      </c>
      <c r="G48" s="19"/>
      <c r="H48"/>
      <c r="I48"/>
      <c r="J48" t="s">
        <v>105</v>
      </c>
      <c r="K48" t="s">
        <v>9</v>
      </c>
      <c r="L48" s="19" t="s">
        <v>261</v>
      </c>
      <c r="M48" s="19" t="s">
        <v>987</v>
      </c>
      <c r="N48" s="19" t="s">
        <v>272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</row>
    <row r="49" spans="1:156" s="11" customFormat="1" x14ac:dyDescent="0.25">
      <c r="A49"/>
      <c r="B49" s="19" t="s">
        <v>990</v>
      </c>
      <c r="C49" s="19" t="s">
        <v>248</v>
      </c>
      <c r="D49" s="19" t="s">
        <v>262</v>
      </c>
      <c r="E49" s="22">
        <v>0.2</v>
      </c>
      <c r="F49" s="19" t="s">
        <v>9</v>
      </c>
      <c r="G49" s="19"/>
      <c r="H49"/>
      <c r="I49"/>
      <c r="J49" t="s">
        <v>105</v>
      </c>
      <c r="K49" t="s">
        <v>9</v>
      </c>
      <c r="L49" s="19" t="s">
        <v>262</v>
      </c>
      <c r="M49" s="19" t="s">
        <v>987</v>
      </c>
      <c r="N49" s="19" t="s">
        <v>273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</row>
    <row r="50" spans="1:156" s="31" customFormat="1" x14ac:dyDescent="0.25">
      <c r="B50" s="32" t="s">
        <v>990</v>
      </c>
      <c r="C50" s="32" t="s">
        <v>1048</v>
      </c>
      <c r="D50" s="32" t="s">
        <v>998</v>
      </c>
      <c r="E50" s="42">
        <v>0.1</v>
      </c>
      <c r="F50" s="32" t="s">
        <v>10</v>
      </c>
      <c r="G50" s="32">
        <v>1E-3</v>
      </c>
      <c r="H50" s="31">
        <v>0</v>
      </c>
      <c r="I50" s="31">
        <v>0.3</v>
      </c>
      <c r="J50" s="31" t="s">
        <v>105</v>
      </c>
      <c r="K50" s="31" t="s">
        <v>9</v>
      </c>
      <c r="L50" s="32" t="s">
        <v>1019</v>
      </c>
      <c r="M50" s="32" t="s">
        <v>987</v>
      </c>
    </row>
    <row r="51" spans="1:156" s="31" customFormat="1" x14ac:dyDescent="0.25">
      <c r="B51" s="32" t="s">
        <v>990</v>
      </c>
      <c r="C51" s="32" t="s">
        <v>1048</v>
      </c>
      <c r="D51" s="32" t="s">
        <v>999</v>
      </c>
      <c r="E51" s="42">
        <v>0.1</v>
      </c>
      <c r="F51" s="32" t="s">
        <v>10</v>
      </c>
      <c r="G51" s="32">
        <v>1E-3</v>
      </c>
      <c r="H51" s="31">
        <v>0</v>
      </c>
      <c r="I51" s="31">
        <v>0.3</v>
      </c>
      <c r="J51" s="31" t="s">
        <v>105</v>
      </c>
      <c r="K51" s="31" t="s">
        <v>9</v>
      </c>
      <c r="L51" s="32" t="s">
        <v>1020</v>
      </c>
      <c r="M51" s="32" t="s">
        <v>987</v>
      </c>
    </row>
    <row r="52" spans="1:156" s="31" customFormat="1" x14ac:dyDescent="0.25">
      <c r="B52" s="32" t="s">
        <v>990</v>
      </c>
      <c r="C52" s="32" t="s">
        <v>1048</v>
      </c>
      <c r="D52" s="32" t="s">
        <v>1000</v>
      </c>
      <c r="E52" s="42">
        <v>0.05</v>
      </c>
      <c r="F52" s="32" t="s">
        <v>10</v>
      </c>
      <c r="G52" s="32">
        <v>1E-3</v>
      </c>
      <c r="H52" s="31">
        <v>0</v>
      </c>
      <c r="I52" s="31">
        <v>0.3</v>
      </c>
      <c r="J52" s="31" t="s">
        <v>105</v>
      </c>
      <c r="K52" s="31" t="s">
        <v>9</v>
      </c>
      <c r="L52" s="32" t="s">
        <v>1021</v>
      </c>
      <c r="M52" s="32" t="s">
        <v>987</v>
      </c>
    </row>
    <row r="53" spans="1:156" s="31" customFormat="1" x14ac:dyDescent="0.25">
      <c r="B53" s="32" t="s">
        <v>990</v>
      </c>
      <c r="C53" s="32" t="s">
        <v>1048</v>
      </c>
      <c r="D53" s="32" t="s">
        <v>1001</v>
      </c>
      <c r="E53" s="42">
        <v>3.4000000000000002E-2</v>
      </c>
      <c r="F53" s="32" t="s">
        <v>10</v>
      </c>
      <c r="G53" s="32">
        <v>1E-3</v>
      </c>
      <c r="H53" s="31">
        <v>0</v>
      </c>
      <c r="I53" s="31">
        <v>0.3</v>
      </c>
      <c r="J53" s="31" t="s">
        <v>105</v>
      </c>
      <c r="K53" s="31" t="s">
        <v>9</v>
      </c>
      <c r="L53" s="32" t="s">
        <v>1022</v>
      </c>
      <c r="M53" s="32" t="s">
        <v>987</v>
      </c>
    </row>
    <row r="54" spans="1:156" s="31" customFormat="1" x14ac:dyDescent="0.25">
      <c r="B54" s="32" t="s">
        <v>990</v>
      </c>
      <c r="C54" s="32" t="s">
        <v>1048</v>
      </c>
      <c r="D54" s="32" t="s">
        <v>1002</v>
      </c>
      <c r="E54" s="42">
        <v>0.1</v>
      </c>
      <c r="F54" s="32" t="s">
        <v>10</v>
      </c>
      <c r="G54" s="32">
        <v>1E-3</v>
      </c>
      <c r="H54" s="31">
        <v>0</v>
      </c>
      <c r="I54" s="31">
        <v>0.3</v>
      </c>
      <c r="J54" s="31" t="s">
        <v>105</v>
      </c>
      <c r="K54" s="31" t="s">
        <v>9</v>
      </c>
      <c r="L54" s="32" t="s">
        <v>1023</v>
      </c>
      <c r="M54" s="32" t="s">
        <v>987</v>
      </c>
    </row>
    <row r="55" spans="1:156" s="31" customFormat="1" x14ac:dyDescent="0.25">
      <c r="B55" s="32" t="s">
        <v>990</v>
      </c>
      <c r="C55" s="32" t="s">
        <v>1048</v>
      </c>
      <c r="D55" s="32" t="s">
        <v>1003</v>
      </c>
      <c r="E55" s="42">
        <v>0.05</v>
      </c>
      <c r="F55" s="32" t="s">
        <v>10</v>
      </c>
      <c r="G55" s="32">
        <v>1E-3</v>
      </c>
      <c r="H55" s="31">
        <v>0</v>
      </c>
      <c r="I55" s="31">
        <v>0.3</v>
      </c>
      <c r="J55" s="31" t="s">
        <v>105</v>
      </c>
      <c r="K55" s="31" t="s">
        <v>9</v>
      </c>
      <c r="L55" s="32" t="s">
        <v>1024</v>
      </c>
      <c r="M55" s="32" t="s">
        <v>987</v>
      </c>
    </row>
    <row r="56" spans="1:156" s="31" customFormat="1" x14ac:dyDescent="0.25">
      <c r="B56" s="32" t="s">
        <v>990</v>
      </c>
      <c r="C56" s="32" t="s">
        <v>1049</v>
      </c>
      <c r="D56" s="32" t="s">
        <v>1004</v>
      </c>
      <c r="E56" s="42">
        <v>0.124</v>
      </c>
      <c r="F56" s="32" t="s">
        <v>10</v>
      </c>
      <c r="G56" s="32">
        <v>1E-3</v>
      </c>
      <c r="H56" s="31">
        <v>0</v>
      </c>
      <c r="I56" s="31">
        <v>0.3</v>
      </c>
      <c r="J56" s="31" t="s">
        <v>105</v>
      </c>
      <c r="K56" s="31" t="s">
        <v>9</v>
      </c>
      <c r="L56" s="32" t="s">
        <v>1025</v>
      </c>
      <c r="M56" s="32" t="s">
        <v>987</v>
      </c>
    </row>
    <row r="57" spans="1:156" s="31" customFormat="1" x14ac:dyDescent="0.25">
      <c r="B57" s="32" t="s">
        <v>990</v>
      </c>
      <c r="C57" s="32" t="s">
        <v>1049</v>
      </c>
      <c r="D57" s="32" t="s">
        <v>1005</v>
      </c>
      <c r="E57" s="42">
        <v>7.1999999999999995E-2</v>
      </c>
      <c r="F57" s="32" t="s">
        <v>10</v>
      </c>
      <c r="G57" s="32">
        <v>1E-3</v>
      </c>
      <c r="H57" s="31">
        <v>0</v>
      </c>
      <c r="I57" s="31">
        <v>0.3</v>
      </c>
      <c r="J57" s="31" t="s">
        <v>105</v>
      </c>
      <c r="K57" s="31" t="s">
        <v>9</v>
      </c>
      <c r="L57" s="32" t="s">
        <v>1026</v>
      </c>
      <c r="M57" s="32" t="s">
        <v>987</v>
      </c>
    </row>
    <row r="58" spans="1:156" s="31" customFormat="1" x14ac:dyDescent="0.25">
      <c r="B58" s="32" t="s">
        <v>990</v>
      </c>
      <c r="C58" s="32" t="s">
        <v>1049</v>
      </c>
      <c r="D58" s="32" t="s">
        <v>1006</v>
      </c>
      <c r="E58" s="42">
        <v>0.2</v>
      </c>
      <c r="F58" s="32" t="s">
        <v>10</v>
      </c>
      <c r="G58" s="32">
        <v>1E-3</v>
      </c>
      <c r="H58" s="31">
        <v>0</v>
      </c>
      <c r="I58" s="31">
        <v>0.3</v>
      </c>
      <c r="J58" s="31" t="s">
        <v>105</v>
      </c>
      <c r="K58" s="31" t="s">
        <v>9</v>
      </c>
      <c r="L58" s="32" t="s">
        <v>1027</v>
      </c>
      <c r="M58" s="32" t="s">
        <v>987</v>
      </c>
    </row>
    <row r="59" spans="1:156" s="31" customFormat="1" x14ac:dyDescent="0.25">
      <c r="B59" s="32" t="s">
        <v>990</v>
      </c>
      <c r="C59" s="32" t="s">
        <v>1049</v>
      </c>
      <c r="D59" s="32" t="s">
        <v>1007</v>
      </c>
      <c r="E59" s="42">
        <v>0.2</v>
      </c>
      <c r="F59" s="32" t="s">
        <v>10</v>
      </c>
      <c r="G59" s="32">
        <v>1E-3</v>
      </c>
      <c r="H59" s="31">
        <v>0</v>
      </c>
      <c r="I59" s="31">
        <v>0.3</v>
      </c>
      <c r="J59" s="31" t="s">
        <v>105</v>
      </c>
      <c r="K59" s="31" t="s">
        <v>9</v>
      </c>
      <c r="L59" s="32" t="s">
        <v>1028</v>
      </c>
      <c r="M59" s="32" t="s">
        <v>987</v>
      </c>
    </row>
    <row r="60" spans="1:156" s="31" customFormat="1" x14ac:dyDescent="0.25">
      <c r="B60" s="32" t="s">
        <v>990</v>
      </c>
      <c r="C60" s="32" t="s">
        <v>1049</v>
      </c>
      <c r="D60" s="32" t="s">
        <v>1008</v>
      </c>
      <c r="E60" s="42">
        <v>0.2</v>
      </c>
      <c r="F60" s="32" t="s">
        <v>10</v>
      </c>
      <c r="G60" s="32">
        <v>1E-3</v>
      </c>
      <c r="H60" s="31">
        <v>0</v>
      </c>
      <c r="I60" s="31">
        <v>0.3</v>
      </c>
      <c r="J60" s="31" t="s">
        <v>105</v>
      </c>
      <c r="K60" s="31" t="s">
        <v>9</v>
      </c>
      <c r="L60" s="32" t="s">
        <v>1029</v>
      </c>
      <c r="M60" s="32" t="s">
        <v>987</v>
      </c>
    </row>
    <row r="61" spans="1:156" s="31" customFormat="1" x14ac:dyDescent="0.25">
      <c r="B61" s="32" t="s">
        <v>990</v>
      </c>
      <c r="C61" s="32" t="s">
        <v>1050</v>
      </c>
      <c r="D61" s="32" t="s">
        <v>998</v>
      </c>
      <c r="E61" s="43">
        <v>2.41</v>
      </c>
      <c r="F61" s="32" t="s">
        <v>10</v>
      </c>
      <c r="G61" s="32">
        <v>1E-3</v>
      </c>
      <c r="H61" s="31">
        <v>0</v>
      </c>
      <c r="I61" s="31">
        <v>5</v>
      </c>
      <c r="J61" s="31" t="s">
        <v>806</v>
      </c>
      <c r="K61" s="31" t="s">
        <v>9</v>
      </c>
      <c r="L61" s="32" t="s">
        <v>1019</v>
      </c>
      <c r="M61" s="32" t="s">
        <v>987</v>
      </c>
      <c r="O61" s="31" t="s">
        <v>807</v>
      </c>
    </row>
    <row r="62" spans="1:156" s="31" customFormat="1" x14ac:dyDescent="0.25">
      <c r="B62" s="32" t="s">
        <v>990</v>
      </c>
      <c r="C62" s="32" t="s">
        <v>1050</v>
      </c>
      <c r="D62" s="32" t="s">
        <v>999</v>
      </c>
      <c r="E62" s="43">
        <v>1.66</v>
      </c>
      <c r="F62" s="32" t="s">
        <v>10</v>
      </c>
      <c r="G62" s="32">
        <v>1E-3</v>
      </c>
      <c r="H62" s="31">
        <v>0</v>
      </c>
      <c r="I62" s="31">
        <v>5</v>
      </c>
      <c r="J62" s="31" t="s">
        <v>806</v>
      </c>
      <c r="K62" s="31" t="s">
        <v>9</v>
      </c>
      <c r="L62" s="32" t="s">
        <v>1020</v>
      </c>
      <c r="M62" s="32" t="s">
        <v>987</v>
      </c>
    </row>
    <row r="63" spans="1:156" s="31" customFormat="1" x14ac:dyDescent="0.25">
      <c r="B63" s="32" t="s">
        <v>990</v>
      </c>
      <c r="C63" s="32" t="s">
        <v>1050</v>
      </c>
      <c r="D63" s="32" t="s">
        <v>1000</v>
      </c>
      <c r="E63" s="43">
        <v>0</v>
      </c>
      <c r="F63" s="32" t="s">
        <v>10</v>
      </c>
      <c r="G63" s="32">
        <v>1E-3</v>
      </c>
      <c r="H63" s="31">
        <v>0</v>
      </c>
      <c r="I63" s="31">
        <v>5</v>
      </c>
      <c r="J63" s="31" t="s">
        <v>806</v>
      </c>
      <c r="K63" s="31" t="s">
        <v>9</v>
      </c>
      <c r="L63" s="32" t="s">
        <v>1021</v>
      </c>
      <c r="M63" s="32" t="s">
        <v>987</v>
      </c>
    </row>
    <row r="64" spans="1:156" s="31" customFormat="1" x14ac:dyDescent="0.25">
      <c r="B64" s="32" t="s">
        <v>990</v>
      </c>
      <c r="C64" s="32" t="s">
        <v>1050</v>
      </c>
      <c r="D64" s="32" t="s">
        <v>1001</v>
      </c>
      <c r="E64" s="43">
        <v>0</v>
      </c>
      <c r="F64" s="32" t="s">
        <v>10</v>
      </c>
      <c r="G64" s="32">
        <v>1E-3</v>
      </c>
      <c r="H64" s="31">
        <v>0</v>
      </c>
      <c r="I64" s="31">
        <v>5</v>
      </c>
      <c r="J64" s="31" t="s">
        <v>806</v>
      </c>
      <c r="K64" s="31" t="s">
        <v>9</v>
      </c>
      <c r="L64" s="32" t="s">
        <v>1022</v>
      </c>
      <c r="M64" s="32" t="s">
        <v>987</v>
      </c>
    </row>
    <row r="65" spans="1:156" s="31" customFormat="1" x14ac:dyDescent="0.25">
      <c r="B65" s="32" t="s">
        <v>990</v>
      </c>
      <c r="C65" s="32" t="s">
        <v>1050</v>
      </c>
      <c r="D65" s="32" t="s">
        <v>1002</v>
      </c>
      <c r="E65" s="43">
        <v>0</v>
      </c>
      <c r="F65" s="32" t="s">
        <v>10</v>
      </c>
      <c r="G65" s="32">
        <v>1E-3</v>
      </c>
      <c r="H65" s="31">
        <v>0</v>
      </c>
      <c r="I65" s="31">
        <v>5</v>
      </c>
      <c r="J65" s="31" t="s">
        <v>806</v>
      </c>
      <c r="K65" s="31" t="s">
        <v>9</v>
      </c>
      <c r="L65" s="32" t="s">
        <v>1030</v>
      </c>
      <c r="M65" s="32" t="s">
        <v>987</v>
      </c>
    </row>
    <row r="66" spans="1:156" s="31" customFormat="1" x14ac:dyDescent="0.25">
      <c r="B66" s="32" t="s">
        <v>990</v>
      </c>
      <c r="C66" s="32" t="s">
        <v>1050</v>
      </c>
      <c r="D66" s="32" t="s">
        <v>1003</v>
      </c>
      <c r="E66" s="43">
        <v>0</v>
      </c>
      <c r="F66" s="32" t="s">
        <v>10</v>
      </c>
      <c r="G66" s="32">
        <v>1E-3</v>
      </c>
      <c r="H66" s="31">
        <v>0</v>
      </c>
      <c r="I66" s="31">
        <v>5</v>
      </c>
      <c r="J66" s="31" t="s">
        <v>806</v>
      </c>
      <c r="K66" s="31" t="s">
        <v>9</v>
      </c>
      <c r="L66" s="32" t="s">
        <v>1024</v>
      </c>
      <c r="M66" s="32" t="s">
        <v>987</v>
      </c>
    </row>
    <row r="67" spans="1:156" s="31" customFormat="1" x14ac:dyDescent="0.25">
      <c r="B67" s="32" t="s">
        <v>990</v>
      </c>
      <c r="C67" s="32" t="s">
        <v>1050</v>
      </c>
      <c r="D67" s="32" t="s">
        <v>1004</v>
      </c>
      <c r="E67" s="43">
        <v>1.71</v>
      </c>
      <c r="F67" s="32" t="s">
        <v>10</v>
      </c>
      <c r="G67" s="32">
        <v>1E-3</v>
      </c>
      <c r="H67" s="31">
        <v>0</v>
      </c>
      <c r="I67" s="31">
        <v>5</v>
      </c>
      <c r="J67" s="31" t="s">
        <v>806</v>
      </c>
      <c r="K67" s="31" t="s">
        <v>9</v>
      </c>
      <c r="L67" s="32" t="s">
        <v>1025</v>
      </c>
      <c r="M67" s="32" t="s">
        <v>987</v>
      </c>
    </row>
    <row r="68" spans="1:156" s="31" customFormat="1" x14ac:dyDescent="0.25">
      <c r="B68" s="32" t="s">
        <v>990</v>
      </c>
      <c r="C68" s="32" t="s">
        <v>1050</v>
      </c>
      <c r="D68" s="32" t="s">
        <v>1005</v>
      </c>
      <c r="E68" s="43">
        <v>1.75</v>
      </c>
      <c r="F68" s="32" t="s">
        <v>10</v>
      </c>
      <c r="G68" s="32">
        <v>1E-3</v>
      </c>
      <c r="H68" s="31">
        <v>0</v>
      </c>
      <c r="I68" s="31">
        <v>5</v>
      </c>
      <c r="J68" s="31" t="s">
        <v>806</v>
      </c>
      <c r="K68" s="31" t="s">
        <v>9</v>
      </c>
      <c r="L68" s="32" t="s">
        <v>1026</v>
      </c>
      <c r="M68" s="32" t="s">
        <v>987</v>
      </c>
    </row>
    <row r="69" spans="1:156" s="31" customFormat="1" x14ac:dyDescent="0.25">
      <c r="B69" s="32" t="s">
        <v>990</v>
      </c>
      <c r="C69" s="32" t="s">
        <v>1050</v>
      </c>
      <c r="D69" s="32" t="s">
        <v>1006</v>
      </c>
      <c r="E69" s="43">
        <v>0</v>
      </c>
      <c r="F69" s="32" t="s">
        <v>10</v>
      </c>
      <c r="G69" s="32">
        <v>1E-3</v>
      </c>
      <c r="H69" s="31">
        <v>0</v>
      </c>
      <c r="I69" s="31">
        <v>5</v>
      </c>
      <c r="J69" s="31" t="s">
        <v>806</v>
      </c>
      <c r="K69" s="31" t="s">
        <v>9</v>
      </c>
      <c r="L69" s="32" t="s">
        <v>1027</v>
      </c>
      <c r="M69" s="32" t="s">
        <v>987</v>
      </c>
    </row>
    <row r="70" spans="1:156" s="31" customFormat="1" x14ac:dyDescent="0.25">
      <c r="B70" s="32" t="s">
        <v>990</v>
      </c>
      <c r="C70" s="32" t="s">
        <v>1050</v>
      </c>
      <c r="D70" s="32" t="s">
        <v>1007</v>
      </c>
      <c r="E70" s="43">
        <v>0</v>
      </c>
      <c r="F70" s="32" t="s">
        <v>10</v>
      </c>
      <c r="G70" s="32">
        <v>1E-3</v>
      </c>
      <c r="H70" s="31">
        <v>0</v>
      </c>
      <c r="I70" s="31">
        <v>5</v>
      </c>
      <c r="J70" s="31" t="s">
        <v>806</v>
      </c>
      <c r="K70" s="31" t="s">
        <v>9</v>
      </c>
      <c r="L70" s="32" t="s">
        <v>1028</v>
      </c>
      <c r="M70" s="32" t="s">
        <v>987</v>
      </c>
    </row>
    <row r="71" spans="1:156" s="31" customFormat="1" x14ac:dyDescent="0.25">
      <c r="B71" s="32" t="s">
        <v>990</v>
      </c>
      <c r="C71" s="32" t="s">
        <v>1050</v>
      </c>
      <c r="D71" s="32" t="s">
        <v>1008</v>
      </c>
      <c r="E71" s="43">
        <v>0</v>
      </c>
      <c r="F71" s="32" t="s">
        <v>10</v>
      </c>
      <c r="G71" s="32">
        <v>1E-3</v>
      </c>
      <c r="H71" s="31">
        <v>0</v>
      </c>
      <c r="I71" s="31">
        <v>5</v>
      </c>
      <c r="J71" s="31" t="s">
        <v>806</v>
      </c>
      <c r="K71" s="31" t="s">
        <v>9</v>
      </c>
      <c r="L71" s="32" t="s">
        <v>1029</v>
      </c>
      <c r="M71" s="32" t="s">
        <v>987</v>
      </c>
    </row>
    <row r="72" spans="1:156" s="11" customFormat="1" x14ac:dyDescent="0.25">
      <c r="A72"/>
      <c r="B72" s="19" t="s">
        <v>990</v>
      </c>
      <c r="C72" s="19" t="s">
        <v>31</v>
      </c>
      <c r="D72" s="19" t="s">
        <v>278</v>
      </c>
      <c r="E72" s="26">
        <v>6.8</v>
      </c>
      <c r="F72" s="19" t="s">
        <v>9</v>
      </c>
      <c r="G72" s="19"/>
      <c r="H72"/>
      <c r="I72"/>
      <c r="J72" t="s">
        <v>21</v>
      </c>
      <c r="K72" t="s">
        <v>9</v>
      </c>
      <c r="L72" s="19" t="s">
        <v>278</v>
      </c>
      <c r="M72" s="19" t="s">
        <v>987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</row>
    <row r="73" spans="1:156" s="11" customFormat="1" x14ac:dyDescent="0.25">
      <c r="A73"/>
      <c r="B73" s="19" t="s">
        <v>990</v>
      </c>
      <c r="C73" s="19" t="s">
        <v>19</v>
      </c>
      <c r="D73" s="19" t="s">
        <v>275</v>
      </c>
      <c r="E73" s="23">
        <v>3.5999999999999997E-2</v>
      </c>
      <c r="F73" s="19" t="s">
        <v>9</v>
      </c>
      <c r="G73" s="19"/>
      <c r="H73"/>
      <c r="I73"/>
      <c r="J73" t="s">
        <v>28</v>
      </c>
      <c r="K73" t="s">
        <v>9</v>
      </c>
      <c r="L73" s="19" t="s">
        <v>275</v>
      </c>
      <c r="M73" s="19" t="s">
        <v>987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</row>
    <row r="74" spans="1:156" s="11" customFormat="1" x14ac:dyDescent="0.25">
      <c r="A74"/>
      <c r="B74" s="19" t="s">
        <v>990</v>
      </c>
      <c r="C74" s="19" t="s">
        <v>19</v>
      </c>
      <c r="D74" s="19" t="s">
        <v>493</v>
      </c>
      <c r="E74" s="23">
        <v>0.13300000000000001</v>
      </c>
      <c r="F74" s="19" t="s">
        <v>9</v>
      </c>
      <c r="G74" s="19"/>
      <c r="H74"/>
      <c r="I74"/>
      <c r="J74" t="s">
        <v>28</v>
      </c>
      <c r="K74" t="s">
        <v>9</v>
      </c>
      <c r="L74" s="19" t="s">
        <v>493</v>
      </c>
      <c r="M74" s="19" t="s">
        <v>987</v>
      </c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</row>
    <row r="75" spans="1:156" s="11" customFormat="1" x14ac:dyDescent="0.25">
      <c r="A75"/>
      <c r="B75" s="19" t="s">
        <v>990</v>
      </c>
      <c r="C75" s="19" t="s">
        <v>19</v>
      </c>
      <c r="D75" s="19" t="s">
        <v>836</v>
      </c>
      <c r="E75" s="23">
        <v>0.128</v>
      </c>
      <c r="F75" s="19" t="s">
        <v>9</v>
      </c>
      <c r="G75" s="19"/>
      <c r="H75"/>
      <c r="I75"/>
      <c r="J75" t="s">
        <v>28</v>
      </c>
      <c r="K75" t="s">
        <v>9</v>
      </c>
      <c r="L75" s="19" t="s">
        <v>836</v>
      </c>
      <c r="M75" s="19" t="s">
        <v>987</v>
      </c>
      <c r="N75"/>
      <c r="O75" t="s">
        <v>808</v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</row>
    <row r="76" spans="1:156" s="11" customFormat="1" x14ac:dyDescent="0.25">
      <c r="A76"/>
      <c r="B76" s="19" t="s">
        <v>990</v>
      </c>
      <c r="C76" s="19" t="s">
        <v>19</v>
      </c>
      <c r="D76" s="19" t="s">
        <v>837</v>
      </c>
      <c r="E76" s="23">
        <v>0.24099999999999999</v>
      </c>
      <c r="F76" s="19" t="s">
        <v>9</v>
      </c>
      <c r="G76" s="19"/>
      <c r="H76"/>
      <c r="I76"/>
      <c r="J76" t="s">
        <v>28</v>
      </c>
      <c r="K76" t="s">
        <v>9</v>
      </c>
      <c r="L76" s="19" t="s">
        <v>837</v>
      </c>
      <c r="M76" s="19" t="s">
        <v>987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</row>
    <row r="77" spans="1:156" s="11" customFormat="1" x14ac:dyDescent="0.25">
      <c r="A77"/>
      <c r="B77" s="19" t="s">
        <v>990</v>
      </c>
      <c r="C77" s="19" t="s">
        <v>19</v>
      </c>
      <c r="D77" s="19" t="s">
        <v>838</v>
      </c>
      <c r="E77" s="23">
        <v>4.4999999999999998E-2</v>
      </c>
      <c r="F77" s="19" t="s">
        <v>9</v>
      </c>
      <c r="G77" s="19"/>
      <c r="H77"/>
      <c r="I77"/>
      <c r="J77" t="s">
        <v>28</v>
      </c>
      <c r="K77" t="s">
        <v>9</v>
      </c>
      <c r="L77" s="19" t="s">
        <v>838</v>
      </c>
      <c r="M77" s="19" t="s">
        <v>987</v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</row>
    <row r="78" spans="1:156" s="11" customFormat="1" x14ac:dyDescent="0.25">
      <c r="A78"/>
      <c r="B78" s="19" t="s">
        <v>990</v>
      </c>
      <c r="C78" s="19" t="s">
        <v>19</v>
      </c>
      <c r="D78" s="19" t="s">
        <v>839</v>
      </c>
      <c r="E78" s="23">
        <v>0.26500000000000001</v>
      </c>
      <c r="F78" s="19" t="s">
        <v>9</v>
      </c>
      <c r="G78" s="19"/>
      <c r="H78"/>
      <c r="I78"/>
      <c r="J78" t="s">
        <v>28</v>
      </c>
      <c r="K78" t="s">
        <v>9</v>
      </c>
      <c r="L78" s="19" t="s">
        <v>839</v>
      </c>
      <c r="M78" s="19" t="s">
        <v>987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</row>
    <row r="79" spans="1:156" s="11" customFormat="1" x14ac:dyDescent="0.25">
      <c r="A79"/>
      <c r="B79" s="19" t="s">
        <v>990</v>
      </c>
      <c r="C79" s="19" t="s">
        <v>235</v>
      </c>
      <c r="D79" s="19" t="s">
        <v>277</v>
      </c>
      <c r="E79" s="23">
        <v>0</v>
      </c>
      <c r="F79" s="19" t="s">
        <v>9</v>
      </c>
      <c r="G79" s="19"/>
      <c r="H79"/>
      <c r="I79"/>
      <c r="J79" t="s">
        <v>28</v>
      </c>
      <c r="K79" t="s">
        <v>9</v>
      </c>
      <c r="L79" s="19" t="s">
        <v>277</v>
      </c>
      <c r="M79" s="19" t="s">
        <v>987</v>
      </c>
      <c r="N79" t="s">
        <v>236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</row>
    <row r="80" spans="1:156" s="11" customFormat="1" x14ac:dyDescent="0.25">
      <c r="A80"/>
      <c r="B80" s="19" t="s">
        <v>990</v>
      </c>
      <c r="C80" s="19" t="s">
        <v>235</v>
      </c>
      <c r="D80" s="19" t="s">
        <v>487</v>
      </c>
      <c r="E80" s="23">
        <f>(1-E73)</f>
        <v>0.96399999999999997</v>
      </c>
      <c r="F80" s="19" t="s">
        <v>9</v>
      </c>
      <c r="G80" s="19"/>
      <c r="H80"/>
      <c r="I80"/>
      <c r="J80" t="s">
        <v>28</v>
      </c>
      <c r="K80" t="s">
        <v>9</v>
      </c>
      <c r="L80" s="19" t="s">
        <v>487</v>
      </c>
      <c r="M80" s="19" t="s">
        <v>987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</row>
    <row r="81" spans="1:156" s="11" customFormat="1" x14ac:dyDescent="0.25">
      <c r="A81"/>
      <c r="B81" s="19" t="s">
        <v>990</v>
      </c>
      <c r="C81" s="19" t="s">
        <v>235</v>
      </c>
      <c r="D81" s="19" t="s">
        <v>488</v>
      </c>
      <c r="E81" s="23">
        <f>(1-E74)</f>
        <v>0.86699999999999999</v>
      </c>
      <c r="F81" s="19" t="s">
        <v>9</v>
      </c>
      <c r="G81" s="19"/>
      <c r="H81"/>
      <c r="I81"/>
      <c r="J81" t="s">
        <v>28</v>
      </c>
      <c r="K81" t="s">
        <v>9</v>
      </c>
      <c r="L81" s="19" t="s">
        <v>488</v>
      </c>
      <c r="M81" s="19" t="s">
        <v>987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</row>
    <row r="82" spans="1:156" s="11" customFormat="1" x14ac:dyDescent="0.25">
      <c r="A82"/>
      <c r="B82" s="19" t="s">
        <v>990</v>
      </c>
      <c r="C82" s="19" t="s">
        <v>235</v>
      </c>
      <c r="D82" s="19" t="s">
        <v>489</v>
      </c>
      <c r="E82" s="23">
        <f>(1-E75)</f>
        <v>0.872</v>
      </c>
      <c r="F82" s="19" t="s">
        <v>9</v>
      </c>
      <c r="G82" s="19"/>
      <c r="H82"/>
      <c r="I82"/>
      <c r="J82" t="s">
        <v>28</v>
      </c>
      <c r="K82" t="s">
        <v>9</v>
      </c>
      <c r="L82" s="19" t="s">
        <v>489</v>
      </c>
      <c r="M82" s="19" t="s">
        <v>987</v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</row>
    <row r="83" spans="1:156" s="11" customFormat="1" x14ac:dyDescent="0.25">
      <c r="A83"/>
      <c r="B83" s="19" t="s">
        <v>990</v>
      </c>
      <c r="C83" s="19" t="s">
        <v>235</v>
      </c>
      <c r="D83" s="19" t="s">
        <v>490</v>
      </c>
      <c r="E83" s="23">
        <f>(1-E76)</f>
        <v>0.75900000000000001</v>
      </c>
      <c r="F83" s="19" t="s">
        <v>9</v>
      </c>
      <c r="G83" s="19"/>
      <c r="H83"/>
      <c r="I83"/>
      <c r="J83" t="s">
        <v>28</v>
      </c>
      <c r="K83" t="s">
        <v>9</v>
      </c>
      <c r="L83" s="19" t="s">
        <v>490</v>
      </c>
      <c r="M83" s="19" t="s">
        <v>987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</row>
    <row r="84" spans="1:156" s="11" customFormat="1" x14ac:dyDescent="0.25">
      <c r="A84"/>
      <c r="B84" s="19" t="s">
        <v>990</v>
      </c>
      <c r="C84" s="19" t="s">
        <v>235</v>
      </c>
      <c r="D84" s="19" t="s">
        <v>491</v>
      </c>
      <c r="E84" s="23">
        <f t="shared" ref="E84:E85" si="0">(1-E77)</f>
        <v>0.95499999999999996</v>
      </c>
      <c r="F84" s="19" t="s">
        <v>9</v>
      </c>
      <c r="G84" s="19"/>
      <c r="H84"/>
      <c r="I84"/>
      <c r="J84" t="s">
        <v>28</v>
      </c>
      <c r="K84" t="s">
        <v>9</v>
      </c>
      <c r="L84" s="19" t="s">
        <v>491</v>
      </c>
      <c r="M84" s="19" t="s">
        <v>987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</row>
    <row r="85" spans="1:156" s="11" customFormat="1" x14ac:dyDescent="0.25">
      <c r="A85"/>
      <c r="B85" s="19" t="s">
        <v>990</v>
      </c>
      <c r="C85" s="19" t="s">
        <v>235</v>
      </c>
      <c r="D85" s="19" t="s">
        <v>492</v>
      </c>
      <c r="E85" s="23">
        <f t="shared" si="0"/>
        <v>0.73499999999999999</v>
      </c>
      <c r="F85" s="19" t="s">
        <v>9</v>
      </c>
      <c r="G85" s="19"/>
      <c r="H85"/>
      <c r="I85"/>
      <c r="J85" t="s">
        <v>28</v>
      </c>
      <c r="K85" t="s">
        <v>9</v>
      </c>
      <c r="L85" s="19" t="s">
        <v>492</v>
      </c>
      <c r="M85" s="19" t="s">
        <v>987</v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</row>
    <row r="86" spans="1:156" s="11" customFormat="1" x14ac:dyDescent="0.25">
      <c r="A86"/>
      <c r="B86" s="19" t="s">
        <v>990</v>
      </c>
      <c r="C86" s="19" t="s">
        <v>149</v>
      </c>
      <c r="D86" s="19" t="s">
        <v>106</v>
      </c>
      <c r="E86" s="25">
        <v>4500</v>
      </c>
      <c r="F86" t="s">
        <v>9</v>
      </c>
      <c r="G86"/>
      <c r="H86">
        <v>0</v>
      </c>
      <c r="I86">
        <v>100000</v>
      </c>
      <c r="J86" t="s">
        <v>1043</v>
      </c>
      <c r="K86" t="s">
        <v>9</v>
      </c>
      <c r="L86" s="19" t="s">
        <v>106</v>
      </c>
      <c r="M86" s="19" t="s">
        <v>987</v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</row>
    <row r="87" spans="1:156" s="31" customFormat="1" x14ac:dyDescent="0.25">
      <c r="B87" s="32" t="s">
        <v>990</v>
      </c>
      <c r="C87" s="32" t="s">
        <v>250</v>
      </c>
      <c r="D87" s="32" t="s">
        <v>276</v>
      </c>
      <c r="E87" s="40">
        <v>0</v>
      </c>
      <c r="F87" s="32" t="s">
        <v>10</v>
      </c>
      <c r="G87" s="31">
        <v>1</v>
      </c>
      <c r="H87" s="31">
        <v>0</v>
      </c>
      <c r="I87" s="31">
        <v>2000</v>
      </c>
      <c r="J87" s="31" t="s">
        <v>1043</v>
      </c>
      <c r="K87" s="31" t="s">
        <v>10</v>
      </c>
      <c r="L87" s="44" t="s">
        <v>1045</v>
      </c>
      <c r="M87" s="32" t="s">
        <v>987</v>
      </c>
    </row>
    <row r="88" spans="1:156" s="31" customFormat="1" x14ac:dyDescent="0.25">
      <c r="B88" s="32" t="s">
        <v>990</v>
      </c>
      <c r="C88" s="32" t="s">
        <v>250</v>
      </c>
      <c r="D88" s="32" t="s">
        <v>1016</v>
      </c>
      <c r="E88" s="39">
        <v>719.5</v>
      </c>
      <c r="F88" s="32" t="s">
        <v>10</v>
      </c>
      <c r="G88" s="32">
        <v>1</v>
      </c>
      <c r="H88" s="31">
        <v>0</v>
      </c>
      <c r="I88" s="31">
        <v>2000</v>
      </c>
      <c r="J88" s="31" t="s">
        <v>1043</v>
      </c>
      <c r="K88" s="31" t="s">
        <v>10</v>
      </c>
      <c r="L88" s="32" t="s">
        <v>1044</v>
      </c>
      <c r="M88" s="32" t="s">
        <v>987</v>
      </c>
    </row>
    <row r="89" spans="1:156" s="31" customFormat="1" x14ac:dyDescent="0.25">
      <c r="B89" s="32" t="s">
        <v>990</v>
      </c>
      <c r="C89" s="31" t="s">
        <v>1053</v>
      </c>
      <c r="D89" s="32" t="s">
        <v>1009</v>
      </c>
      <c r="E89" s="40">
        <v>526</v>
      </c>
      <c r="F89" s="32" t="s">
        <v>10</v>
      </c>
      <c r="G89" s="32">
        <v>1</v>
      </c>
      <c r="H89" s="31">
        <v>0</v>
      </c>
      <c r="I89" s="31">
        <v>10000</v>
      </c>
      <c r="J89" s="31" t="s">
        <v>1043</v>
      </c>
      <c r="K89" s="31" t="s">
        <v>10</v>
      </c>
      <c r="L89" s="32" t="s">
        <v>1019</v>
      </c>
      <c r="M89" s="32" t="s">
        <v>987</v>
      </c>
      <c r="N89" s="31" t="s">
        <v>486</v>
      </c>
    </row>
    <row r="90" spans="1:156" s="31" customFormat="1" x14ac:dyDescent="0.25">
      <c r="B90" s="32" t="s">
        <v>990</v>
      </c>
      <c r="C90" s="31" t="s">
        <v>1053</v>
      </c>
      <c r="D90" s="32" t="s">
        <v>1010</v>
      </c>
      <c r="E90" s="40">
        <v>445</v>
      </c>
      <c r="F90" s="32" t="s">
        <v>10</v>
      </c>
      <c r="G90" s="32">
        <v>1</v>
      </c>
      <c r="H90" s="31">
        <v>0</v>
      </c>
      <c r="I90" s="31">
        <v>10000</v>
      </c>
      <c r="J90" s="31" t="s">
        <v>1043</v>
      </c>
      <c r="K90" s="31" t="s">
        <v>10</v>
      </c>
      <c r="L90" s="32" t="s">
        <v>1020</v>
      </c>
      <c r="M90" s="32" t="s">
        <v>987</v>
      </c>
    </row>
    <row r="91" spans="1:156" s="31" customFormat="1" x14ac:dyDescent="0.25">
      <c r="B91" s="32" t="s">
        <v>990</v>
      </c>
      <c r="C91" s="31" t="s">
        <v>1053</v>
      </c>
      <c r="D91" s="31" t="s">
        <v>1011</v>
      </c>
      <c r="E91" s="40">
        <v>0</v>
      </c>
      <c r="F91" s="32" t="s">
        <v>10</v>
      </c>
      <c r="G91" s="32">
        <v>1</v>
      </c>
      <c r="H91" s="31">
        <v>0</v>
      </c>
      <c r="I91" s="31">
        <v>10000</v>
      </c>
      <c r="J91" s="31" t="s">
        <v>1043</v>
      </c>
      <c r="K91" s="31" t="s">
        <v>10</v>
      </c>
      <c r="L91" s="32" t="s">
        <v>1022</v>
      </c>
      <c r="M91" s="32" t="s">
        <v>987</v>
      </c>
    </row>
    <row r="92" spans="1:156" s="31" customFormat="1" x14ac:dyDescent="0.25">
      <c r="B92" s="32" t="s">
        <v>990</v>
      </c>
      <c r="C92" s="31" t="s">
        <v>1053</v>
      </c>
      <c r="D92" s="32" t="s">
        <v>1012</v>
      </c>
      <c r="E92" s="40">
        <v>0</v>
      </c>
      <c r="F92" s="32" t="s">
        <v>10</v>
      </c>
      <c r="G92" s="32">
        <v>1</v>
      </c>
      <c r="H92" s="31">
        <v>0</v>
      </c>
      <c r="I92" s="31">
        <v>10000</v>
      </c>
      <c r="J92" s="31" t="s">
        <v>1043</v>
      </c>
      <c r="K92" s="31" t="s">
        <v>10</v>
      </c>
      <c r="L92" s="32" t="s">
        <v>1023</v>
      </c>
      <c r="M92" s="32" t="s">
        <v>987</v>
      </c>
    </row>
    <row r="93" spans="1:156" s="31" customFormat="1" x14ac:dyDescent="0.25">
      <c r="B93" s="32" t="s">
        <v>990</v>
      </c>
      <c r="C93" s="31" t="s">
        <v>1053</v>
      </c>
      <c r="D93" s="32" t="s">
        <v>1013</v>
      </c>
      <c r="E93" s="40">
        <v>0</v>
      </c>
      <c r="F93" s="32" t="s">
        <v>10</v>
      </c>
      <c r="G93" s="32">
        <v>1</v>
      </c>
      <c r="H93" s="31">
        <v>0</v>
      </c>
      <c r="I93" s="31">
        <v>10000</v>
      </c>
      <c r="J93" s="31" t="s">
        <v>1043</v>
      </c>
      <c r="K93" s="31" t="s">
        <v>10</v>
      </c>
      <c r="L93" s="32" t="s">
        <v>1024</v>
      </c>
      <c r="M93" s="32" t="s">
        <v>987</v>
      </c>
    </row>
    <row r="94" spans="1:156" s="31" customFormat="1" x14ac:dyDescent="0.25">
      <c r="B94" s="32" t="s">
        <v>990</v>
      </c>
      <c r="C94" s="31" t="s">
        <v>1053</v>
      </c>
      <c r="D94" s="32" t="s">
        <v>1014</v>
      </c>
      <c r="E94" s="40">
        <v>1193</v>
      </c>
      <c r="F94" s="32" t="s">
        <v>10</v>
      </c>
      <c r="G94" s="32">
        <v>1</v>
      </c>
      <c r="H94" s="31">
        <v>0</v>
      </c>
      <c r="I94" s="31">
        <v>10000</v>
      </c>
      <c r="J94" s="31" t="s">
        <v>1043</v>
      </c>
      <c r="K94" s="31" t="s">
        <v>10</v>
      </c>
      <c r="L94" s="32" t="s">
        <v>1025</v>
      </c>
      <c r="M94" s="32" t="s">
        <v>987</v>
      </c>
    </row>
    <row r="95" spans="1:156" s="31" customFormat="1" x14ac:dyDescent="0.25">
      <c r="B95" s="32" t="s">
        <v>990</v>
      </c>
      <c r="C95" s="31" t="s">
        <v>1053</v>
      </c>
      <c r="D95" s="32" t="s">
        <v>1015</v>
      </c>
      <c r="E95" s="40">
        <v>0</v>
      </c>
      <c r="F95" s="32" t="s">
        <v>10</v>
      </c>
      <c r="G95" s="32">
        <v>1</v>
      </c>
      <c r="H95" s="31">
        <v>0</v>
      </c>
      <c r="I95" s="31">
        <v>10000</v>
      </c>
      <c r="J95" s="31" t="s">
        <v>1043</v>
      </c>
      <c r="K95" s="31" t="s">
        <v>10</v>
      </c>
      <c r="L95" s="32" t="s">
        <v>1026</v>
      </c>
      <c r="M95" s="32" t="s">
        <v>987</v>
      </c>
      <c r="N95" s="31" t="s">
        <v>984</v>
      </c>
    </row>
    <row r="96" spans="1:156" s="11" customFormat="1" x14ac:dyDescent="0.25">
      <c r="A96"/>
      <c r="B96" s="19" t="s">
        <v>990</v>
      </c>
      <c r="C96" t="s">
        <v>193</v>
      </c>
      <c r="D96" t="s">
        <v>194</v>
      </c>
      <c r="E96" s="25">
        <v>1</v>
      </c>
      <c r="F96" s="19" t="s">
        <v>9</v>
      </c>
      <c r="G96" s="19"/>
      <c r="H96"/>
      <c r="I96"/>
      <c r="J96" t="s">
        <v>234</v>
      </c>
      <c r="K96" t="s">
        <v>9</v>
      </c>
      <c r="L96" t="s">
        <v>194</v>
      </c>
      <c r="M96" s="19" t="s">
        <v>987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</row>
    <row r="97" spans="1:156" s="11" customFormat="1" x14ac:dyDescent="0.25">
      <c r="A97"/>
      <c r="B97" s="19" t="s">
        <v>990</v>
      </c>
      <c r="C97" t="s">
        <v>193</v>
      </c>
      <c r="D97" t="s">
        <v>195</v>
      </c>
      <c r="E97" s="25">
        <v>2</v>
      </c>
      <c r="F97" s="19" t="s">
        <v>9</v>
      </c>
      <c r="G97" s="19"/>
      <c r="H97"/>
      <c r="I97"/>
      <c r="J97" t="s">
        <v>234</v>
      </c>
      <c r="K97" t="s">
        <v>9</v>
      </c>
      <c r="L97" t="s">
        <v>195</v>
      </c>
      <c r="M97" s="19" t="s">
        <v>987</v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</row>
    <row r="98" spans="1:156" s="11" customFormat="1" x14ac:dyDescent="0.25">
      <c r="A98"/>
      <c r="B98" s="19" t="s">
        <v>990</v>
      </c>
      <c r="C98" t="s">
        <v>193</v>
      </c>
      <c r="D98" t="s">
        <v>196</v>
      </c>
      <c r="E98" s="25">
        <v>3</v>
      </c>
      <c r="F98" s="19" t="s">
        <v>9</v>
      </c>
      <c r="G98" s="19"/>
      <c r="H98"/>
      <c r="I98"/>
      <c r="J98" t="s">
        <v>234</v>
      </c>
      <c r="K98" t="s">
        <v>9</v>
      </c>
      <c r="L98" t="s">
        <v>196</v>
      </c>
      <c r="M98" s="19" t="s">
        <v>987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</row>
    <row r="99" spans="1:156" s="11" customFormat="1" x14ac:dyDescent="0.25">
      <c r="A99"/>
      <c r="B99" s="19" t="s">
        <v>990</v>
      </c>
      <c r="C99" t="s">
        <v>193</v>
      </c>
      <c r="D99" t="s">
        <v>197</v>
      </c>
      <c r="E99" s="25">
        <v>4</v>
      </c>
      <c r="F99" s="19" t="s">
        <v>9</v>
      </c>
      <c r="G99" s="19"/>
      <c r="H99"/>
      <c r="I99"/>
      <c r="J99" t="s">
        <v>234</v>
      </c>
      <c r="K99" t="s">
        <v>9</v>
      </c>
      <c r="L99" t="s">
        <v>197</v>
      </c>
      <c r="M99" s="19" t="s">
        <v>987</v>
      </c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</row>
    <row r="100" spans="1:156" s="11" customFormat="1" x14ac:dyDescent="0.25">
      <c r="A100"/>
      <c r="B100" s="19" t="s">
        <v>990</v>
      </c>
      <c r="C100" t="s">
        <v>193</v>
      </c>
      <c r="D100" t="s">
        <v>198</v>
      </c>
      <c r="E100" s="25">
        <v>5</v>
      </c>
      <c r="F100" s="19" t="s">
        <v>9</v>
      </c>
      <c r="G100" s="19"/>
      <c r="H100"/>
      <c r="I100"/>
      <c r="J100" t="s">
        <v>234</v>
      </c>
      <c r="K100" t="s">
        <v>9</v>
      </c>
      <c r="L100" t="s">
        <v>198</v>
      </c>
      <c r="M100" s="19" t="s">
        <v>987</v>
      </c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</row>
    <row r="101" spans="1:156" s="11" customFormat="1" x14ac:dyDescent="0.25">
      <c r="A101"/>
      <c r="B101" s="19" t="s">
        <v>990</v>
      </c>
      <c r="C101" t="s">
        <v>193</v>
      </c>
      <c r="D101" t="s">
        <v>199</v>
      </c>
      <c r="E101" s="25">
        <v>6</v>
      </c>
      <c r="F101" s="19" t="s">
        <v>9</v>
      </c>
      <c r="G101" s="19"/>
      <c r="H101"/>
      <c r="I101"/>
      <c r="J101" t="s">
        <v>234</v>
      </c>
      <c r="K101" t="s">
        <v>9</v>
      </c>
      <c r="L101" t="s">
        <v>199</v>
      </c>
      <c r="M101" s="19" t="s">
        <v>987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</row>
    <row r="102" spans="1:156" s="11" customFormat="1" x14ac:dyDescent="0.25">
      <c r="A102"/>
      <c r="B102" s="19" t="s">
        <v>990</v>
      </c>
      <c r="C102" t="s">
        <v>193</v>
      </c>
      <c r="D102" t="s">
        <v>200</v>
      </c>
      <c r="E102" s="25">
        <v>7</v>
      </c>
      <c r="F102" s="19" t="s">
        <v>9</v>
      </c>
      <c r="G102" s="19"/>
      <c r="H102"/>
      <c r="I102"/>
      <c r="J102" t="s">
        <v>234</v>
      </c>
      <c r="K102" t="s">
        <v>9</v>
      </c>
      <c r="L102" t="s">
        <v>200</v>
      </c>
      <c r="M102" s="19" t="s">
        <v>987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</row>
    <row r="103" spans="1:156" s="11" customFormat="1" x14ac:dyDescent="0.25">
      <c r="A103"/>
      <c r="B103" s="19" t="s">
        <v>990</v>
      </c>
      <c r="C103" t="s">
        <v>193</v>
      </c>
      <c r="D103" t="s">
        <v>201</v>
      </c>
      <c r="E103" s="25">
        <v>8</v>
      </c>
      <c r="F103" s="19" t="s">
        <v>9</v>
      </c>
      <c r="G103" s="19"/>
      <c r="H103"/>
      <c r="I103"/>
      <c r="J103" t="s">
        <v>234</v>
      </c>
      <c r="K103" t="s">
        <v>9</v>
      </c>
      <c r="L103" t="s">
        <v>201</v>
      </c>
      <c r="M103" s="19" t="s">
        <v>987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</row>
    <row r="104" spans="1:156" s="11" customFormat="1" x14ac:dyDescent="0.25">
      <c r="A104"/>
      <c r="B104" s="19" t="s">
        <v>990</v>
      </c>
      <c r="C104" t="s">
        <v>193</v>
      </c>
      <c r="D104" t="s">
        <v>202</v>
      </c>
      <c r="E104" s="25">
        <v>9</v>
      </c>
      <c r="F104" s="19" t="s">
        <v>9</v>
      </c>
      <c r="G104" s="19"/>
      <c r="H104"/>
      <c r="I104"/>
      <c r="J104" t="s">
        <v>234</v>
      </c>
      <c r="K104" t="s">
        <v>9</v>
      </c>
      <c r="L104" t="s">
        <v>202</v>
      </c>
      <c r="M104" s="19" t="s">
        <v>987</v>
      </c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</row>
    <row r="105" spans="1:156" s="11" customFormat="1" x14ac:dyDescent="0.25">
      <c r="A105"/>
      <c r="B105" s="19" t="s">
        <v>990</v>
      </c>
      <c r="C105" t="s">
        <v>193</v>
      </c>
      <c r="D105" t="s">
        <v>203</v>
      </c>
      <c r="E105" s="25">
        <v>10</v>
      </c>
      <c r="F105" s="19" t="s">
        <v>9</v>
      </c>
      <c r="G105" s="19"/>
      <c r="H105"/>
      <c r="I105"/>
      <c r="J105" t="s">
        <v>234</v>
      </c>
      <c r="K105" t="s">
        <v>9</v>
      </c>
      <c r="L105" t="s">
        <v>203</v>
      </c>
      <c r="M105" s="19" t="s">
        <v>987</v>
      </c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</row>
    <row r="106" spans="1:156" s="11" customFormat="1" x14ac:dyDescent="0.25">
      <c r="A106"/>
      <c r="B106" s="19" t="s">
        <v>990</v>
      </c>
      <c r="C106" t="s">
        <v>193</v>
      </c>
      <c r="D106" t="s">
        <v>204</v>
      </c>
      <c r="E106" s="25">
        <v>11</v>
      </c>
      <c r="F106" s="19" t="s">
        <v>9</v>
      </c>
      <c r="G106" s="19"/>
      <c r="H106"/>
      <c r="I106"/>
      <c r="J106" t="s">
        <v>234</v>
      </c>
      <c r="K106" t="s">
        <v>9</v>
      </c>
      <c r="L106" t="s">
        <v>204</v>
      </c>
      <c r="M106" s="19" t="s">
        <v>987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</row>
    <row r="107" spans="1:156" s="11" customFormat="1" x14ac:dyDescent="0.25">
      <c r="A107"/>
      <c r="B107" s="19" t="s">
        <v>990</v>
      </c>
      <c r="C107" t="s">
        <v>193</v>
      </c>
      <c r="D107" t="s">
        <v>205</v>
      </c>
      <c r="E107" s="25">
        <v>12</v>
      </c>
      <c r="F107" s="19" t="s">
        <v>9</v>
      </c>
      <c r="G107" s="19"/>
      <c r="H107"/>
      <c r="I107"/>
      <c r="J107" t="s">
        <v>234</v>
      </c>
      <c r="K107" t="s">
        <v>9</v>
      </c>
      <c r="L107" t="s">
        <v>205</v>
      </c>
      <c r="M107" s="19" t="s">
        <v>987</v>
      </c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</row>
    <row r="108" spans="1:156" s="11" customFormat="1" x14ac:dyDescent="0.25">
      <c r="A108"/>
      <c r="B108" s="19" t="s">
        <v>990</v>
      </c>
      <c r="C108" t="s">
        <v>193</v>
      </c>
      <c r="D108" t="s">
        <v>206</v>
      </c>
      <c r="E108" s="25">
        <v>13</v>
      </c>
      <c r="F108" s="19" t="s">
        <v>9</v>
      </c>
      <c r="G108" s="19"/>
      <c r="H108"/>
      <c r="I108"/>
      <c r="J108" t="s">
        <v>234</v>
      </c>
      <c r="K108" t="s">
        <v>9</v>
      </c>
      <c r="L108" t="s">
        <v>206</v>
      </c>
      <c r="M108" s="19" t="s">
        <v>987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</row>
    <row r="109" spans="1:156" s="11" customFormat="1" x14ac:dyDescent="0.25">
      <c r="A109"/>
      <c r="B109" s="19" t="s">
        <v>990</v>
      </c>
      <c r="C109" t="s">
        <v>193</v>
      </c>
      <c r="D109" t="s">
        <v>207</v>
      </c>
      <c r="E109" s="25">
        <v>14</v>
      </c>
      <c r="F109" s="19" t="s">
        <v>9</v>
      </c>
      <c r="G109" s="19"/>
      <c r="H109"/>
      <c r="I109"/>
      <c r="J109" t="s">
        <v>234</v>
      </c>
      <c r="K109" t="s">
        <v>9</v>
      </c>
      <c r="L109" t="s">
        <v>207</v>
      </c>
      <c r="M109" s="19" t="s">
        <v>987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</row>
    <row r="110" spans="1:156" s="11" customFormat="1" x14ac:dyDescent="0.25">
      <c r="A110"/>
      <c r="B110" s="19" t="s">
        <v>990</v>
      </c>
      <c r="C110" t="s">
        <v>193</v>
      </c>
      <c r="D110" t="s">
        <v>208</v>
      </c>
      <c r="E110" s="25">
        <v>15</v>
      </c>
      <c r="F110" s="19" t="s">
        <v>9</v>
      </c>
      <c r="G110" s="19"/>
      <c r="H110"/>
      <c r="I110"/>
      <c r="J110" t="s">
        <v>234</v>
      </c>
      <c r="K110" t="s">
        <v>9</v>
      </c>
      <c r="L110" t="s">
        <v>208</v>
      </c>
      <c r="M110" s="19" t="s">
        <v>987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</row>
    <row r="111" spans="1:156" s="11" customFormat="1" x14ac:dyDescent="0.25">
      <c r="A111"/>
      <c r="B111" s="19" t="s">
        <v>990</v>
      </c>
      <c r="C111" t="s">
        <v>193</v>
      </c>
      <c r="D111" t="s">
        <v>209</v>
      </c>
      <c r="E111" s="25">
        <v>16</v>
      </c>
      <c r="F111" s="19" t="s">
        <v>9</v>
      </c>
      <c r="G111" s="19"/>
      <c r="H111"/>
      <c r="I111"/>
      <c r="J111" t="s">
        <v>234</v>
      </c>
      <c r="K111" t="s">
        <v>9</v>
      </c>
      <c r="L111" t="s">
        <v>209</v>
      </c>
      <c r="M111" s="19" t="s">
        <v>987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</row>
    <row r="112" spans="1:156" s="11" customFormat="1" x14ac:dyDescent="0.25">
      <c r="A112"/>
      <c r="B112" s="19" t="s">
        <v>990</v>
      </c>
      <c r="C112" t="s">
        <v>193</v>
      </c>
      <c r="D112" t="s">
        <v>210</v>
      </c>
      <c r="E112" s="25">
        <v>17</v>
      </c>
      <c r="F112" s="19" t="s">
        <v>9</v>
      </c>
      <c r="G112" s="19"/>
      <c r="H112"/>
      <c r="I112"/>
      <c r="J112" t="s">
        <v>234</v>
      </c>
      <c r="K112" t="s">
        <v>9</v>
      </c>
      <c r="L112" t="s">
        <v>210</v>
      </c>
      <c r="M112" s="19" t="s">
        <v>987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</row>
    <row r="113" spans="1:156" s="11" customFormat="1" x14ac:dyDescent="0.25">
      <c r="A113"/>
      <c r="B113" s="19" t="s">
        <v>990</v>
      </c>
      <c r="C113" t="s">
        <v>193</v>
      </c>
      <c r="D113" t="s">
        <v>211</v>
      </c>
      <c r="E113" s="25">
        <v>18</v>
      </c>
      <c r="F113" s="19" t="s">
        <v>9</v>
      </c>
      <c r="G113" s="19"/>
      <c r="H113"/>
      <c r="I113"/>
      <c r="J113" t="s">
        <v>234</v>
      </c>
      <c r="K113" t="s">
        <v>9</v>
      </c>
      <c r="L113" t="s">
        <v>211</v>
      </c>
      <c r="M113" s="19" t="s">
        <v>987</v>
      </c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</row>
    <row r="114" spans="1:156" s="11" customFormat="1" x14ac:dyDescent="0.25">
      <c r="A114"/>
      <c r="B114" s="19" t="s">
        <v>990</v>
      </c>
      <c r="C114" t="s">
        <v>193</v>
      </c>
      <c r="D114" t="s">
        <v>212</v>
      </c>
      <c r="E114" s="25">
        <v>19</v>
      </c>
      <c r="F114" s="19" t="s">
        <v>9</v>
      </c>
      <c r="G114" s="19"/>
      <c r="H114"/>
      <c r="I114"/>
      <c r="J114" t="s">
        <v>234</v>
      </c>
      <c r="K114" t="s">
        <v>9</v>
      </c>
      <c r="L114" t="s">
        <v>212</v>
      </c>
      <c r="M114" s="19" t="s">
        <v>987</v>
      </c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</row>
    <row r="115" spans="1:156" s="11" customFormat="1" x14ac:dyDescent="0.25">
      <c r="A115"/>
      <c r="B115" s="19" t="s">
        <v>990</v>
      </c>
      <c r="C115" t="s">
        <v>193</v>
      </c>
      <c r="D115" t="s">
        <v>213</v>
      </c>
      <c r="E115" s="25">
        <v>20</v>
      </c>
      <c r="F115" s="19" t="s">
        <v>9</v>
      </c>
      <c r="G115" s="19"/>
      <c r="H115"/>
      <c r="I115"/>
      <c r="J115" t="s">
        <v>234</v>
      </c>
      <c r="K115" t="s">
        <v>9</v>
      </c>
      <c r="L115" t="s">
        <v>213</v>
      </c>
      <c r="M115" s="19" t="s">
        <v>987</v>
      </c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</row>
    <row r="116" spans="1:156" s="11" customFormat="1" x14ac:dyDescent="0.25">
      <c r="A116"/>
      <c r="B116" s="19" t="s">
        <v>990</v>
      </c>
      <c r="C116" t="s">
        <v>193</v>
      </c>
      <c r="D116" t="s">
        <v>214</v>
      </c>
      <c r="E116" s="25">
        <v>21</v>
      </c>
      <c r="F116" s="19" t="s">
        <v>9</v>
      </c>
      <c r="G116" s="19"/>
      <c r="H116"/>
      <c r="I116"/>
      <c r="J116" t="s">
        <v>234</v>
      </c>
      <c r="K116" t="s">
        <v>9</v>
      </c>
      <c r="L116" t="s">
        <v>214</v>
      </c>
      <c r="M116" s="19" t="s">
        <v>987</v>
      </c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</row>
    <row r="117" spans="1:156" s="11" customFormat="1" x14ac:dyDescent="0.25">
      <c r="A117"/>
      <c r="B117" s="19" t="s">
        <v>990</v>
      </c>
      <c r="C117" t="s">
        <v>193</v>
      </c>
      <c r="D117" t="s">
        <v>215</v>
      </c>
      <c r="E117" s="25">
        <v>22</v>
      </c>
      <c r="F117" s="19" t="s">
        <v>9</v>
      </c>
      <c r="G117" s="19"/>
      <c r="H117"/>
      <c r="I117"/>
      <c r="J117" t="s">
        <v>234</v>
      </c>
      <c r="K117" t="s">
        <v>9</v>
      </c>
      <c r="L117" t="s">
        <v>215</v>
      </c>
      <c r="M117" s="19" t="s">
        <v>987</v>
      </c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</row>
    <row r="118" spans="1:156" s="11" customFormat="1" x14ac:dyDescent="0.25">
      <c r="A118"/>
      <c r="B118" s="19" t="s">
        <v>990</v>
      </c>
      <c r="C118" t="s">
        <v>193</v>
      </c>
      <c r="D118" t="s">
        <v>216</v>
      </c>
      <c r="E118" s="25">
        <v>23</v>
      </c>
      <c r="F118" s="19" t="s">
        <v>9</v>
      </c>
      <c r="G118" s="19"/>
      <c r="H118"/>
      <c r="I118"/>
      <c r="J118" t="s">
        <v>234</v>
      </c>
      <c r="K118" t="s">
        <v>9</v>
      </c>
      <c r="L118" t="s">
        <v>216</v>
      </c>
      <c r="M118" s="19" t="s">
        <v>987</v>
      </c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</row>
    <row r="119" spans="1:156" s="11" customFormat="1" x14ac:dyDescent="0.25">
      <c r="A119"/>
      <c r="B119" s="19" t="s">
        <v>990</v>
      </c>
      <c r="C119" t="s">
        <v>193</v>
      </c>
      <c r="D119" t="s">
        <v>217</v>
      </c>
      <c r="E119" s="25">
        <v>24</v>
      </c>
      <c r="F119" s="19" t="s">
        <v>9</v>
      </c>
      <c r="G119" s="19"/>
      <c r="H119"/>
      <c r="I119"/>
      <c r="J119" t="s">
        <v>234</v>
      </c>
      <c r="K119" t="s">
        <v>9</v>
      </c>
      <c r="L119" t="s">
        <v>217</v>
      </c>
      <c r="M119" s="19" t="s">
        <v>987</v>
      </c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</row>
    <row r="120" spans="1:156" s="11" customFormat="1" x14ac:dyDescent="0.25">
      <c r="A120"/>
      <c r="B120" s="19" t="s">
        <v>990</v>
      </c>
      <c r="C120" t="s">
        <v>193</v>
      </c>
      <c r="D120" t="s">
        <v>218</v>
      </c>
      <c r="E120" s="25">
        <v>25</v>
      </c>
      <c r="F120" s="19" t="s">
        <v>9</v>
      </c>
      <c r="G120" s="19"/>
      <c r="H120"/>
      <c r="I120"/>
      <c r="J120" t="s">
        <v>234</v>
      </c>
      <c r="K120" t="s">
        <v>9</v>
      </c>
      <c r="L120" t="s">
        <v>218</v>
      </c>
      <c r="M120" s="19" t="s">
        <v>987</v>
      </c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</row>
    <row r="121" spans="1:156" s="11" customFormat="1" x14ac:dyDescent="0.25">
      <c r="A121"/>
      <c r="B121" s="19" t="s">
        <v>990</v>
      </c>
      <c r="C121" t="s">
        <v>193</v>
      </c>
      <c r="D121" t="s">
        <v>219</v>
      </c>
      <c r="E121" s="25">
        <v>26</v>
      </c>
      <c r="F121" s="19" t="s">
        <v>9</v>
      </c>
      <c r="G121" s="19"/>
      <c r="H121"/>
      <c r="I121"/>
      <c r="J121" t="s">
        <v>234</v>
      </c>
      <c r="K121" t="s">
        <v>9</v>
      </c>
      <c r="L121" t="s">
        <v>219</v>
      </c>
      <c r="M121" s="19" t="s">
        <v>987</v>
      </c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</row>
    <row r="122" spans="1:156" s="11" customFormat="1" x14ac:dyDescent="0.25">
      <c r="A122"/>
      <c r="B122" s="19" t="s">
        <v>990</v>
      </c>
      <c r="C122" t="s">
        <v>193</v>
      </c>
      <c r="D122" t="s">
        <v>220</v>
      </c>
      <c r="E122" s="25">
        <v>27</v>
      </c>
      <c r="F122" s="19" t="s">
        <v>9</v>
      </c>
      <c r="G122" s="19"/>
      <c r="H122"/>
      <c r="I122"/>
      <c r="J122" t="s">
        <v>234</v>
      </c>
      <c r="K122" t="s">
        <v>9</v>
      </c>
      <c r="L122" t="s">
        <v>220</v>
      </c>
      <c r="M122" s="19" t="s">
        <v>987</v>
      </c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</row>
    <row r="123" spans="1:156" s="11" customFormat="1" x14ac:dyDescent="0.25">
      <c r="A123"/>
      <c r="B123" s="19" t="s">
        <v>990</v>
      </c>
      <c r="C123" t="s">
        <v>193</v>
      </c>
      <c r="D123" t="s">
        <v>221</v>
      </c>
      <c r="E123" s="25">
        <v>28</v>
      </c>
      <c r="F123" s="19" t="s">
        <v>9</v>
      </c>
      <c r="G123" s="19"/>
      <c r="H123"/>
      <c r="I123"/>
      <c r="J123" t="s">
        <v>234</v>
      </c>
      <c r="K123" t="s">
        <v>9</v>
      </c>
      <c r="L123" t="s">
        <v>221</v>
      </c>
      <c r="M123" s="19" t="s">
        <v>987</v>
      </c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</row>
    <row r="124" spans="1:156" s="11" customFormat="1" x14ac:dyDescent="0.25">
      <c r="A124"/>
      <c r="B124" s="19" t="s">
        <v>990</v>
      </c>
      <c r="C124" t="s">
        <v>193</v>
      </c>
      <c r="D124" t="s">
        <v>222</v>
      </c>
      <c r="E124" s="25">
        <v>29</v>
      </c>
      <c r="F124" s="19" t="s">
        <v>9</v>
      </c>
      <c r="G124" s="19"/>
      <c r="H124"/>
      <c r="I124"/>
      <c r="J124" t="s">
        <v>234</v>
      </c>
      <c r="K124" t="s">
        <v>9</v>
      </c>
      <c r="L124" t="s">
        <v>222</v>
      </c>
      <c r="M124" s="19" t="s">
        <v>987</v>
      </c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</row>
    <row r="125" spans="1:156" s="11" customFormat="1" x14ac:dyDescent="0.25">
      <c r="A125"/>
      <c r="B125" s="19" t="s">
        <v>990</v>
      </c>
      <c r="C125" t="s">
        <v>193</v>
      </c>
      <c r="D125" t="s">
        <v>223</v>
      </c>
      <c r="E125" s="25">
        <v>30</v>
      </c>
      <c r="F125" s="19" t="s">
        <v>9</v>
      </c>
      <c r="G125" s="19"/>
      <c r="H125"/>
      <c r="I125"/>
      <c r="J125" t="s">
        <v>234</v>
      </c>
      <c r="K125" t="s">
        <v>9</v>
      </c>
      <c r="L125" t="s">
        <v>223</v>
      </c>
      <c r="M125" s="19" t="s">
        <v>987</v>
      </c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</row>
    <row r="126" spans="1:156" s="11" customFormat="1" x14ac:dyDescent="0.25">
      <c r="A126"/>
      <c r="B126" s="19" t="s">
        <v>990</v>
      </c>
      <c r="C126" t="s">
        <v>193</v>
      </c>
      <c r="D126" t="s">
        <v>224</v>
      </c>
      <c r="E126" s="25">
        <v>31</v>
      </c>
      <c r="F126" s="19" t="s">
        <v>9</v>
      </c>
      <c r="G126" s="19"/>
      <c r="H126"/>
      <c r="I126"/>
      <c r="J126" t="s">
        <v>234</v>
      </c>
      <c r="K126" t="s">
        <v>9</v>
      </c>
      <c r="L126" t="s">
        <v>224</v>
      </c>
      <c r="M126" s="19" t="s">
        <v>987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</row>
    <row r="127" spans="1:156" s="11" customFormat="1" x14ac:dyDescent="0.25">
      <c r="A127"/>
      <c r="B127" s="19" t="s">
        <v>990</v>
      </c>
      <c r="C127" t="s">
        <v>193</v>
      </c>
      <c r="D127" t="s">
        <v>225</v>
      </c>
      <c r="E127" s="25">
        <v>32</v>
      </c>
      <c r="F127" s="19" t="s">
        <v>9</v>
      </c>
      <c r="G127" s="19"/>
      <c r="H127"/>
      <c r="I127"/>
      <c r="J127" t="s">
        <v>234</v>
      </c>
      <c r="K127" t="s">
        <v>9</v>
      </c>
      <c r="L127" t="s">
        <v>225</v>
      </c>
      <c r="M127" s="19" t="s">
        <v>987</v>
      </c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</row>
    <row r="128" spans="1:156" s="11" customFormat="1" x14ac:dyDescent="0.25">
      <c r="A128"/>
      <c r="B128" s="19" t="s">
        <v>990</v>
      </c>
      <c r="C128" t="s">
        <v>193</v>
      </c>
      <c r="D128" t="s">
        <v>226</v>
      </c>
      <c r="E128" s="25">
        <v>33</v>
      </c>
      <c r="F128" s="19" t="s">
        <v>9</v>
      </c>
      <c r="G128" s="19"/>
      <c r="H128"/>
      <c r="I128"/>
      <c r="J128" t="s">
        <v>234</v>
      </c>
      <c r="K128" t="s">
        <v>9</v>
      </c>
      <c r="L128" t="s">
        <v>226</v>
      </c>
      <c r="M128" s="19" t="s">
        <v>987</v>
      </c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</row>
    <row r="129" spans="1:156" s="11" customFormat="1" x14ac:dyDescent="0.25">
      <c r="A129"/>
      <c r="B129" s="19" t="s">
        <v>990</v>
      </c>
      <c r="C129" t="s">
        <v>193</v>
      </c>
      <c r="D129" t="s">
        <v>227</v>
      </c>
      <c r="E129" s="25">
        <v>34</v>
      </c>
      <c r="F129" s="19" t="s">
        <v>9</v>
      </c>
      <c r="G129" s="19"/>
      <c r="H129"/>
      <c r="I129"/>
      <c r="J129" t="s">
        <v>234</v>
      </c>
      <c r="K129" t="s">
        <v>9</v>
      </c>
      <c r="L129" t="s">
        <v>227</v>
      </c>
      <c r="M129" s="19" t="s">
        <v>987</v>
      </c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</row>
    <row r="130" spans="1:156" s="11" customFormat="1" x14ac:dyDescent="0.25">
      <c r="A130"/>
      <c r="B130" s="19" t="s">
        <v>990</v>
      </c>
      <c r="C130" t="s">
        <v>193</v>
      </c>
      <c r="D130" t="s">
        <v>228</v>
      </c>
      <c r="E130" s="25">
        <v>35</v>
      </c>
      <c r="F130" s="19" t="s">
        <v>9</v>
      </c>
      <c r="G130" s="19"/>
      <c r="H130"/>
      <c r="I130"/>
      <c r="J130" t="s">
        <v>234</v>
      </c>
      <c r="K130" t="s">
        <v>9</v>
      </c>
      <c r="L130" t="s">
        <v>228</v>
      </c>
      <c r="M130" s="19" t="s">
        <v>987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</row>
    <row r="131" spans="1:156" s="11" customFormat="1" x14ac:dyDescent="0.25">
      <c r="A131"/>
      <c r="B131" s="19" t="s">
        <v>990</v>
      </c>
      <c r="C131" t="s">
        <v>193</v>
      </c>
      <c r="D131" t="s">
        <v>229</v>
      </c>
      <c r="E131" s="25">
        <v>36</v>
      </c>
      <c r="F131" s="19" t="s">
        <v>9</v>
      </c>
      <c r="G131" s="19"/>
      <c r="H131"/>
      <c r="I131"/>
      <c r="J131" t="s">
        <v>234</v>
      </c>
      <c r="K131" t="s">
        <v>9</v>
      </c>
      <c r="L131" t="s">
        <v>229</v>
      </c>
      <c r="M131" s="19" t="s">
        <v>987</v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</row>
    <row r="132" spans="1:156" s="11" customFormat="1" x14ac:dyDescent="0.25">
      <c r="A132"/>
      <c r="B132" s="19" t="s">
        <v>990</v>
      </c>
      <c r="C132" t="s">
        <v>193</v>
      </c>
      <c r="D132" t="s">
        <v>230</v>
      </c>
      <c r="E132" s="25">
        <v>37</v>
      </c>
      <c r="F132" s="19" t="s">
        <v>9</v>
      </c>
      <c r="G132" s="19"/>
      <c r="H132"/>
      <c r="I132"/>
      <c r="J132" t="s">
        <v>234</v>
      </c>
      <c r="K132" t="s">
        <v>9</v>
      </c>
      <c r="L132" t="s">
        <v>230</v>
      </c>
      <c r="M132" s="19" t="s">
        <v>987</v>
      </c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</row>
    <row r="133" spans="1:156" s="11" customFormat="1" x14ac:dyDescent="0.25">
      <c r="A133"/>
      <c r="B133" s="19" t="s">
        <v>990</v>
      </c>
      <c r="C133" t="s">
        <v>193</v>
      </c>
      <c r="D133" t="s">
        <v>231</v>
      </c>
      <c r="E133" s="25">
        <v>38</v>
      </c>
      <c r="F133" s="19" t="s">
        <v>9</v>
      </c>
      <c r="G133" s="19"/>
      <c r="H133"/>
      <c r="I133"/>
      <c r="J133" t="s">
        <v>234</v>
      </c>
      <c r="K133" t="s">
        <v>9</v>
      </c>
      <c r="L133" t="s">
        <v>231</v>
      </c>
      <c r="M133" s="19" t="s">
        <v>987</v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</row>
    <row r="134" spans="1:156" s="11" customFormat="1" x14ac:dyDescent="0.25">
      <c r="A134"/>
      <c r="B134" s="19" t="s">
        <v>990</v>
      </c>
      <c r="C134" t="s">
        <v>193</v>
      </c>
      <c r="D134" t="s">
        <v>232</v>
      </c>
      <c r="E134" s="25">
        <v>39</v>
      </c>
      <c r="F134" s="19" t="s">
        <v>9</v>
      </c>
      <c r="G134" s="19"/>
      <c r="H134"/>
      <c r="I134"/>
      <c r="J134" t="s">
        <v>234</v>
      </c>
      <c r="K134" t="s">
        <v>9</v>
      </c>
      <c r="L134" t="s">
        <v>232</v>
      </c>
      <c r="M134" s="19" t="s">
        <v>987</v>
      </c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</row>
    <row r="135" spans="1:156" s="11" customFormat="1" x14ac:dyDescent="0.25">
      <c r="A135"/>
      <c r="B135" s="19" t="s">
        <v>990</v>
      </c>
      <c r="C135" t="s">
        <v>193</v>
      </c>
      <c r="D135" t="s">
        <v>233</v>
      </c>
      <c r="E135" s="25">
        <v>40</v>
      </c>
      <c r="F135" s="19" t="s">
        <v>9</v>
      </c>
      <c r="G135" s="19"/>
      <c r="H135"/>
      <c r="I135"/>
      <c r="J135" t="s">
        <v>234</v>
      </c>
      <c r="K135" t="s">
        <v>9</v>
      </c>
      <c r="L135" t="s">
        <v>233</v>
      </c>
      <c r="M135" s="19" t="s">
        <v>987</v>
      </c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</row>
    <row r="136" spans="1:156" x14ac:dyDescent="0.25">
      <c r="E136" s="6"/>
    </row>
    <row r="137" spans="1:156" x14ac:dyDescent="0.25">
      <c r="E137" s="6"/>
    </row>
    <row r="138" spans="1:156" x14ac:dyDescent="0.25">
      <c r="E138" s="6"/>
    </row>
    <row r="139" spans="1:156" x14ac:dyDescent="0.25">
      <c r="E139" s="6"/>
    </row>
    <row r="140" spans="1:156" x14ac:dyDescent="0.25">
      <c r="E140" s="6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9335-2885-1C45-86A4-EF1021E7B691}">
  <dimension ref="A1:DU1514"/>
  <sheetViews>
    <sheetView topLeftCell="A186" zoomScale="93" zoomScaleNormal="93" workbookViewId="0">
      <selection activeCell="C209" sqref="C209"/>
    </sheetView>
  </sheetViews>
  <sheetFormatPr defaultColWidth="11.25" defaultRowHeight="15.75" x14ac:dyDescent="0.25"/>
  <cols>
    <col min="1" max="1" width="19.75" bestFit="1" customWidth="1"/>
    <col min="2" max="2" width="52.75" customWidth="1"/>
    <col min="3" max="3" width="82.625" customWidth="1"/>
    <col min="4" max="4" width="12.375" bestFit="1" customWidth="1"/>
    <col min="5" max="5" width="85.75" customWidth="1"/>
  </cols>
  <sheetData>
    <row r="1" spans="1:125" s="9" customFormat="1" ht="21" x14ac:dyDescent="0.35">
      <c r="A1" s="27" t="s">
        <v>0</v>
      </c>
      <c r="B1" s="27" t="s">
        <v>1</v>
      </c>
      <c r="C1" s="27" t="s">
        <v>11</v>
      </c>
      <c r="D1" s="27" t="s">
        <v>13</v>
      </c>
      <c r="E1" s="27" t="s">
        <v>143</v>
      </c>
    </row>
    <row r="2" spans="1:125" s="14" customFormat="1" x14ac:dyDescent="0.25">
      <c r="A2" t="s">
        <v>16</v>
      </c>
      <c r="B2" t="s">
        <v>17</v>
      </c>
      <c r="C2" t="s">
        <v>35</v>
      </c>
      <c r="D2" s="28">
        <f>inputs!E3/(1 - inputs!E4/1000)</f>
        <v>647799.41772914364</v>
      </c>
      <c r="E2" t="str">
        <f ca="1">_xlfn.FORMULATEXT(D2)</f>
        <v>=inputs!E3/(1 - inputs!E4/1000)</v>
      </c>
      <c r="F2" s="29" t="s">
        <v>813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</row>
    <row r="3" spans="1:125" s="12" customFormat="1" x14ac:dyDescent="0.25">
      <c r="A3" t="s">
        <v>16</v>
      </c>
      <c r="B3" t="s">
        <v>17</v>
      </c>
      <c r="C3" t="s">
        <v>36</v>
      </c>
      <c r="D3" s="28">
        <f>inputs!E3-inputs!E5*inputs!E3</f>
        <v>645079.41810000001</v>
      </c>
      <c r="E3" t="str">
        <f t="shared" ref="E3:E66" ca="1" si="0">_xlfn.FORMULATEXT(D3)</f>
        <v>=inputs!E3-inputs!E5*inputs!E3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</row>
    <row r="4" spans="1:125" s="12" customFormat="1" ht="16.149999999999999" customHeight="1" x14ac:dyDescent="0.25">
      <c r="A4" t="s">
        <v>16</v>
      </c>
      <c r="B4" t="s">
        <v>17</v>
      </c>
      <c r="C4" t="s">
        <v>37</v>
      </c>
      <c r="D4" s="10">
        <f>D3-inputs!$E$6*computations!D3</f>
        <v>644627.86250733002</v>
      </c>
      <c r="E4" t="str">
        <f t="shared" ca="1" si="0"/>
        <v>=D3-inputs!$E$6*computations!D3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</row>
    <row r="5" spans="1:125" s="12" customFormat="1" ht="16.149999999999999" customHeight="1" x14ac:dyDescent="0.25">
      <c r="A5" t="s">
        <v>16</v>
      </c>
      <c r="B5" t="s">
        <v>17</v>
      </c>
      <c r="C5" t="s">
        <v>38</v>
      </c>
      <c r="D5" s="10">
        <f>D4-inputs!$E$6*D4</f>
        <v>644176.6230035749</v>
      </c>
      <c r="E5" t="str">
        <f t="shared" ca="1" si="0"/>
        <v>=D4-inputs!$E$6*D4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</row>
    <row r="6" spans="1:125" s="12" customFormat="1" ht="16.149999999999999" customHeight="1" x14ac:dyDescent="0.25">
      <c r="A6" t="s">
        <v>16</v>
      </c>
      <c r="B6" t="s">
        <v>17</v>
      </c>
      <c r="C6" t="s">
        <v>39</v>
      </c>
      <c r="D6" s="10">
        <f>D5-inputs!$E$6*D5</f>
        <v>643725.69936747244</v>
      </c>
      <c r="E6" t="str">
        <f t="shared" ca="1" si="0"/>
        <v>=D5-inputs!$E$6*D5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</row>
    <row r="7" spans="1:125" s="12" customFormat="1" ht="16.149999999999999" customHeight="1" x14ac:dyDescent="0.25">
      <c r="A7" t="s">
        <v>16</v>
      </c>
      <c r="B7" t="s">
        <v>17</v>
      </c>
      <c r="C7" t="s">
        <v>40</v>
      </c>
      <c r="D7" s="10">
        <f>D6-inputs!$E$6*D6</f>
        <v>643275.09137791523</v>
      </c>
      <c r="E7" t="str">
        <f t="shared" ca="1" si="0"/>
        <v>=D6-inputs!$E$6*D6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</row>
    <row r="8" spans="1:125" s="12" customFormat="1" ht="16.149999999999999" customHeight="1" x14ac:dyDescent="0.25">
      <c r="A8" t="s">
        <v>16</v>
      </c>
      <c r="B8" t="s">
        <v>17</v>
      </c>
      <c r="C8" t="s">
        <v>41</v>
      </c>
      <c r="D8" s="10">
        <f>D7-inputs!$E$6*D7</f>
        <v>642824.79881395074</v>
      </c>
      <c r="E8" t="str">
        <f t="shared" ca="1" si="0"/>
        <v>=D7-inputs!$E$6*D7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</row>
    <row r="9" spans="1:125" s="12" customFormat="1" ht="16.149999999999999" customHeight="1" x14ac:dyDescent="0.25">
      <c r="A9" t="s">
        <v>16</v>
      </c>
      <c r="B9" t="s">
        <v>17</v>
      </c>
      <c r="C9" t="s">
        <v>42</v>
      </c>
      <c r="D9" s="10">
        <f>D8-inputs!$E$6*D8</f>
        <v>642374.82145478099</v>
      </c>
      <c r="E9" t="str">
        <f t="shared" ca="1" si="0"/>
        <v>=D8-inputs!$E$6*D8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</row>
    <row r="10" spans="1:125" s="12" customFormat="1" ht="16.149999999999999" customHeight="1" x14ac:dyDescent="0.25">
      <c r="A10" t="s">
        <v>16</v>
      </c>
      <c r="B10" t="s">
        <v>17</v>
      </c>
      <c r="C10" t="s">
        <v>43</v>
      </c>
      <c r="D10" s="10">
        <f>D9-inputs!$E$6*D9</f>
        <v>641925.15907976264</v>
      </c>
      <c r="E10" t="str">
        <f t="shared" ca="1" si="0"/>
        <v>=D9-inputs!$E$6*D9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</row>
    <row r="11" spans="1:125" s="12" customFormat="1" ht="16.149999999999999" customHeight="1" x14ac:dyDescent="0.25">
      <c r="A11" t="s">
        <v>16</v>
      </c>
      <c r="B11" t="s">
        <v>17</v>
      </c>
      <c r="C11" t="s">
        <v>44</v>
      </c>
      <c r="D11" s="10">
        <f>D10-inputs!$E$6*D10</f>
        <v>641475.81146840681</v>
      </c>
      <c r="E11" t="str">
        <f t="shared" ca="1" si="0"/>
        <v>=D10-inputs!$E$6*D10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</row>
    <row r="12" spans="1:125" s="12" customFormat="1" ht="16.149999999999999" customHeight="1" x14ac:dyDescent="0.25">
      <c r="A12" t="s">
        <v>16</v>
      </c>
      <c r="B12" t="s">
        <v>17</v>
      </c>
      <c r="C12" t="s">
        <v>45</v>
      </c>
      <c r="D12" s="10">
        <f>D11-inputs!$E$6*D11</f>
        <v>641026.77840037888</v>
      </c>
      <c r="E12" t="str">
        <f t="shared" ca="1" si="0"/>
        <v>=D11-inputs!$E$6*D11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</row>
    <row r="13" spans="1:125" s="12" customFormat="1" ht="16.149999999999999" customHeight="1" x14ac:dyDescent="0.25">
      <c r="A13" t="s">
        <v>16</v>
      </c>
      <c r="B13" t="s">
        <v>17</v>
      </c>
      <c r="C13" t="s">
        <v>46</v>
      </c>
      <c r="D13" s="10">
        <f>D12-inputs!$E$6*D12</f>
        <v>640578.0596554986</v>
      </c>
      <c r="E13" t="str">
        <f t="shared" ca="1" si="0"/>
        <v>=D12-inputs!$E$6*D12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</row>
    <row r="14" spans="1:125" s="12" customFormat="1" ht="16.149999999999999" customHeight="1" x14ac:dyDescent="0.25">
      <c r="A14" t="s">
        <v>16</v>
      </c>
      <c r="B14" t="s">
        <v>47</v>
      </c>
      <c r="C14" t="s">
        <v>48</v>
      </c>
      <c r="D14" s="10">
        <f>D2*inputs!$E$7*inputs!$E$8</f>
        <v>103647.90683666299</v>
      </c>
      <c r="E14" t="str">
        <f t="shared" ca="1" si="0"/>
        <v>=D2*inputs!$E$7*inputs!$E$8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</row>
    <row r="15" spans="1:125" s="12" customFormat="1" ht="16.149999999999999" customHeight="1" x14ac:dyDescent="0.25">
      <c r="A15" t="s">
        <v>16</v>
      </c>
      <c r="B15" t="s">
        <v>47</v>
      </c>
      <c r="C15" t="s">
        <v>49</v>
      </c>
      <c r="D15" s="10">
        <f>D3*inputs!E11*inputs!E12</f>
        <v>103212.70689600002</v>
      </c>
      <c r="E15" t="str">
        <f t="shared" ca="1" si="0"/>
        <v>=D3*inputs!E11*inputs!E12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</row>
    <row r="16" spans="1:125" s="12" customFormat="1" ht="16.149999999999999" customHeight="1" x14ac:dyDescent="0.25">
      <c r="A16" t="s">
        <v>16</v>
      </c>
      <c r="B16" t="s">
        <v>47</v>
      </c>
      <c r="C16" t="s">
        <v>50</v>
      </c>
      <c r="D16" s="10">
        <f>D4*inputs!$E$11*inputs!$E$12*inputs!$E$15</f>
        <v>5157.0229000586405</v>
      </c>
      <c r="E16" t="str">
        <f t="shared" ca="1" si="0"/>
        <v>=D4*inputs!$E$11*inputs!$E$12*inputs!$E$15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</row>
    <row r="17" spans="1:125" s="12" customFormat="1" ht="16.149999999999999" customHeight="1" x14ac:dyDescent="0.25">
      <c r="A17" t="s">
        <v>16</v>
      </c>
      <c r="B17" t="s">
        <v>47</v>
      </c>
      <c r="C17" t="s">
        <v>51</v>
      </c>
      <c r="D17" s="10">
        <f>D5*inputs!$E$11*inputs!$E$12*inputs!$E$15</f>
        <v>5153.4129840286005</v>
      </c>
      <c r="E17" t="str">
        <f t="shared" ca="1" si="0"/>
        <v>=D5*inputs!$E$11*inputs!$E$12*inputs!$E$15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</row>
    <row r="18" spans="1:125" s="12" customFormat="1" ht="16.149999999999999" customHeight="1" x14ac:dyDescent="0.25">
      <c r="A18" t="s">
        <v>16</v>
      </c>
      <c r="B18" t="s">
        <v>47</v>
      </c>
      <c r="C18" t="s">
        <v>52</v>
      </c>
      <c r="D18" s="10">
        <f>D6*inputs!$E$11*inputs!$E$12*inputs!$E$15</f>
        <v>5149.8055949397803</v>
      </c>
      <c r="E18" t="str">
        <f t="shared" ca="1" si="0"/>
        <v>=D6*inputs!$E$11*inputs!$E$12*inputs!$E$15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</row>
    <row r="19" spans="1:125" s="12" customFormat="1" ht="16.149999999999999" customHeight="1" x14ac:dyDescent="0.25">
      <c r="A19" t="s">
        <v>16</v>
      </c>
      <c r="B19" t="s">
        <v>47</v>
      </c>
      <c r="C19" t="s">
        <v>53</v>
      </c>
      <c r="D19" s="10">
        <f>D7*inputs!$E$11*inputs!$E$12*inputs!$E$15</f>
        <v>5146.200731023323</v>
      </c>
      <c r="E19" t="str">
        <f t="shared" ca="1" si="0"/>
        <v>=D7*inputs!$E$11*inputs!$E$12*inputs!$E$15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</row>
    <row r="20" spans="1:125" s="12" customFormat="1" ht="16.149999999999999" customHeight="1" x14ac:dyDescent="0.25">
      <c r="A20" t="s">
        <v>16</v>
      </c>
      <c r="B20" t="s">
        <v>47</v>
      </c>
      <c r="C20" t="s">
        <v>54</v>
      </c>
      <c r="D20" s="10">
        <f>D8*inputs!$E$11*inputs!$E$12*inputs!$E$15</f>
        <v>5142.5983905116072</v>
      </c>
      <c r="E20" t="str">
        <f t="shared" ca="1" si="0"/>
        <v>=D8*inputs!$E$11*inputs!$E$12*inputs!$E$15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</row>
    <row r="21" spans="1:125" s="12" customFormat="1" ht="16.149999999999999" customHeight="1" x14ac:dyDescent="0.25">
      <c r="A21" t="s">
        <v>16</v>
      </c>
      <c r="B21" t="s">
        <v>47</v>
      </c>
      <c r="C21" t="s">
        <v>55</v>
      </c>
      <c r="D21" s="10">
        <f>D9*inputs!$E$11*inputs!$E$12*inputs!$E$15</f>
        <v>5138.9985716382489</v>
      </c>
      <c r="E21" t="str">
        <f t="shared" ca="1" si="0"/>
        <v>=D9*inputs!$E$11*inputs!$E$12*inputs!$E$15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</row>
    <row r="22" spans="1:125" s="12" customFormat="1" ht="16.149999999999999" customHeight="1" x14ac:dyDescent="0.25">
      <c r="A22" t="s">
        <v>16</v>
      </c>
      <c r="B22" t="s">
        <v>47</v>
      </c>
      <c r="C22" t="s">
        <v>56</v>
      </c>
      <c r="D22" s="10">
        <f>D10*inputs!$E$11*inputs!$E$12*inputs!$E$15</f>
        <v>5135.4012726381015</v>
      </c>
      <c r="E22" t="str">
        <f t="shared" ca="1" si="0"/>
        <v>=D10*inputs!$E$11*inputs!$E$12*inputs!$E$15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</row>
    <row r="23" spans="1:125" s="12" customFormat="1" ht="16.149999999999999" customHeight="1" x14ac:dyDescent="0.25">
      <c r="A23" t="s">
        <v>16</v>
      </c>
      <c r="B23" t="s">
        <v>47</v>
      </c>
      <c r="C23" t="s">
        <v>57</v>
      </c>
      <c r="D23" s="10">
        <f>D11*inputs!$E$11*inputs!$E$12*inputs!$E$15</f>
        <v>5131.8064917472548</v>
      </c>
      <c r="E23" t="str">
        <f t="shared" ca="1" si="0"/>
        <v>=D11*inputs!$E$11*inputs!$E$12*inputs!$E$15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</row>
    <row r="24" spans="1:125" s="12" customFormat="1" ht="16.149999999999999" customHeight="1" x14ac:dyDescent="0.25">
      <c r="A24" t="s">
        <v>16</v>
      </c>
      <c r="B24" t="s">
        <v>47</v>
      </c>
      <c r="C24" t="s">
        <v>58</v>
      </c>
      <c r="D24" s="10">
        <f>D12*inputs!$E$11*inputs!$E$12*inputs!$E$15</f>
        <v>5128.2142272030324</v>
      </c>
      <c r="E24" t="str">
        <f t="shared" ca="1" si="0"/>
        <v>=D12*inputs!$E$11*inputs!$E$12*inputs!$E$15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</row>
    <row r="25" spans="1:125" s="12" customFormat="1" ht="16.149999999999999" customHeight="1" x14ac:dyDescent="0.25">
      <c r="A25" t="s">
        <v>16</v>
      </c>
      <c r="B25" t="s">
        <v>47</v>
      </c>
      <c r="C25" t="s">
        <v>110</v>
      </c>
      <c r="D25" s="10">
        <f>D13*inputs!$E$11*inputs!$E$12*inputs!$E$15</f>
        <v>5124.6244772439895</v>
      </c>
      <c r="E25" t="str">
        <f t="shared" ca="1" si="0"/>
        <v>=D13*inputs!$E$11*inputs!$E$12*inputs!$E$15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</row>
    <row r="26" spans="1:125" s="12" customFormat="1" ht="16.149999999999999" customHeight="1" x14ac:dyDescent="0.25">
      <c r="A26" t="s">
        <v>16</v>
      </c>
      <c r="B26" t="s">
        <v>59</v>
      </c>
      <c r="C26" t="s">
        <v>61</v>
      </c>
      <c r="D26" s="10">
        <f>D2*inputs!E7*inputs!E9</f>
        <v>25911.976709165749</v>
      </c>
      <c r="E26" t="str">
        <f t="shared" ca="1" si="0"/>
        <v>=D2*inputs!E7*inputs!E9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</row>
    <row r="27" spans="1:125" s="12" customFormat="1" ht="16.149999999999999" customHeight="1" x14ac:dyDescent="0.25">
      <c r="A27" t="s">
        <v>16</v>
      </c>
      <c r="B27" t="s">
        <v>59</v>
      </c>
      <c r="C27" t="s">
        <v>62</v>
      </c>
      <c r="D27" s="10">
        <f>D3*inputs!E11*inputs!E13</f>
        <v>25803.176724000004</v>
      </c>
      <c r="E27" t="str">
        <f t="shared" ca="1" si="0"/>
        <v>=D3*inputs!E11*inputs!E13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</row>
    <row r="28" spans="1:125" s="12" customFormat="1" ht="16.149999999999999" customHeight="1" x14ac:dyDescent="0.25">
      <c r="A28" t="s">
        <v>16</v>
      </c>
      <c r="B28" t="s">
        <v>59</v>
      </c>
      <c r="C28" t="s">
        <v>111</v>
      </c>
      <c r="D28" s="10">
        <f>D4*inputs!$E$11*inputs!$E$13*inputs!$E$15</f>
        <v>1289.2557250146601</v>
      </c>
      <c r="E28" t="str">
        <f t="shared" ca="1" si="0"/>
        <v>=D4*inputs!$E$11*inputs!$E$13*inputs!$E$15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</row>
    <row r="29" spans="1:125" s="12" customFormat="1" ht="16.149999999999999" customHeight="1" x14ac:dyDescent="0.25">
      <c r="A29" t="s">
        <v>16</v>
      </c>
      <c r="B29" t="s">
        <v>59</v>
      </c>
      <c r="C29" t="s">
        <v>112</v>
      </c>
      <c r="D29" s="10">
        <f>D5*inputs!$E$11*inputs!$E$13*inputs!$E$15</f>
        <v>1288.3532460071501</v>
      </c>
      <c r="E29" t="str">
        <f t="shared" ca="1" si="0"/>
        <v>=D5*inputs!$E$11*inputs!$E$13*inputs!$E$15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</row>
    <row r="30" spans="1:125" s="12" customFormat="1" ht="16.149999999999999" customHeight="1" x14ac:dyDescent="0.25">
      <c r="A30" t="s">
        <v>16</v>
      </c>
      <c r="B30" t="s">
        <v>59</v>
      </c>
      <c r="C30" t="s">
        <v>113</v>
      </c>
      <c r="D30" s="10">
        <f>D6*inputs!$E$11*inputs!$E$13*inputs!$E$15</f>
        <v>1287.4513987349451</v>
      </c>
      <c r="E30" t="str">
        <f t="shared" ca="1" si="0"/>
        <v>=D6*inputs!$E$11*inputs!$E$13*inputs!$E$15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</row>
    <row r="31" spans="1:125" s="12" customFormat="1" ht="16.149999999999999" customHeight="1" x14ac:dyDescent="0.25">
      <c r="A31" t="s">
        <v>16</v>
      </c>
      <c r="B31" t="s">
        <v>59</v>
      </c>
      <c r="C31" t="s">
        <v>114</v>
      </c>
      <c r="D31" s="10">
        <f>D7*inputs!$E$11*inputs!$E$13*inputs!$E$15</f>
        <v>1286.5501827558307</v>
      </c>
      <c r="E31" t="str">
        <f t="shared" ca="1" si="0"/>
        <v>=D7*inputs!$E$11*inputs!$E$13*inputs!$E$15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</row>
    <row r="32" spans="1:125" s="12" customFormat="1" ht="16.149999999999999" customHeight="1" x14ac:dyDescent="0.25">
      <c r="A32" t="s">
        <v>16</v>
      </c>
      <c r="B32" t="s">
        <v>59</v>
      </c>
      <c r="C32" t="s">
        <v>115</v>
      </c>
      <c r="D32" s="10">
        <f>D8*inputs!$E$11*inputs!$E$13*inputs!$E$15</f>
        <v>1285.6495976279018</v>
      </c>
      <c r="E32" t="str">
        <f t="shared" ca="1" si="0"/>
        <v>=D8*inputs!$E$11*inputs!$E$13*inputs!$E$15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</row>
    <row r="33" spans="1:125" s="12" customFormat="1" ht="16.149999999999999" customHeight="1" x14ac:dyDescent="0.25">
      <c r="A33" t="s">
        <v>16</v>
      </c>
      <c r="B33" t="s">
        <v>59</v>
      </c>
      <c r="C33" t="s">
        <v>116</v>
      </c>
      <c r="D33" s="10">
        <f>D9*inputs!$E$11*inputs!$E$13*inputs!$E$15</f>
        <v>1284.7496429095622</v>
      </c>
      <c r="E33" t="str">
        <f t="shared" ca="1" si="0"/>
        <v>=D9*inputs!$E$11*inputs!$E$13*inputs!$E$15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</row>
    <row r="34" spans="1:125" s="12" customFormat="1" ht="16.149999999999999" customHeight="1" x14ac:dyDescent="0.25">
      <c r="A34" t="s">
        <v>16</v>
      </c>
      <c r="B34" t="s">
        <v>59</v>
      </c>
      <c r="C34" t="s">
        <v>117</v>
      </c>
      <c r="D34" s="10">
        <f>D10*inputs!$E$11*inputs!$E$13*inputs!$E$15</f>
        <v>1283.8503181595254</v>
      </c>
      <c r="E34" t="str">
        <f t="shared" ca="1" si="0"/>
        <v>=D10*inputs!$E$11*inputs!$E$13*inputs!$E$15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</row>
    <row r="35" spans="1:125" s="12" customFormat="1" ht="16.149999999999999" customHeight="1" x14ac:dyDescent="0.25">
      <c r="A35" t="s">
        <v>16</v>
      </c>
      <c r="B35" t="s">
        <v>59</v>
      </c>
      <c r="C35" t="s">
        <v>118</v>
      </c>
      <c r="D35" s="10">
        <f>D11*inputs!$E$11*inputs!$E$13*inputs!$E$15</f>
        <v>1282.9516229368137</v>
      </c>
      <c r="E35" t="str">
        <f t="shared" ca="1" si="0"/>
        <v>=D11*inputs!$E$11*inputs!$E$13*inputs!$E$15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</row>
    <row r="36" spans="1:125" s="12" customFormat="1" ht="16.149999999999999" customHeight="1" x14ac:dyDescent="0.25">
      <c r="A36" t="s">
        <v>16</v>
      </c>
      <c r="B36" t="s">
        <v>59</v>
      </c>
      <c r="C36" t="s">
        <v>119</v>
      </c>
      <c r="D36" s="10">
        <f>D12*inputs!$E$11*inputs!$E$13*inputs!$E$15</f>
        <v>1282.0535568007581</v>
      </c>
      <c r="E36" t="str">
        <f t="shared" ca="1" si="0"/>
        <v>=D12*inputs!$E$11*inputs!$E$13*inputs!$E$15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</row>
    <row r="37" spans="1:125" s="12" customFormat="1" ht="16.149999999999999" customHeight="1" x14ac:dyDescent="0.25">
      <c r="A37" t="s">
        <v>16</v>
      </c>
      <c r="B37" t="s">
        <v>59</v>
      </c>
      <c r="C37" t="s">
        <v>120</v>
      </c>
      <c r="D37" s="10">
        <f>D13*inputs!$E$11*inputs!$E$13*inputs!$E$15</f>
        <v>1281.1561193109974</v>
      </c>
      <c r="E37" t="str">
        <f t="shared" ca="1" si="0"/>
        <v>=D13*inputs!$E$11*inputs!$E$13*inputs!$E$15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</row>
    <row r="38" spans="1:125" s="12" customFormat="1" ht="16.149999999999999" customHeight="1" x14ac:dyDescent="0.25">
      <c r="A38" t="s">
        <v>16</v>
      </c>
      <c r="B38" t="s">
        <v>63</v>
      </c>
      <c r="C38" t="s">
        <v>64</v>
      </c>
      <c r="D38" s="10">
        <f>D2*inputs!E10</f>
        <v>22672.979620520029</v>
      </c>
      <c r="E38" t="str">
        <f t="shared" ca="1" si="0"/>
        <v>=D2*inputs!E10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</row>
    <row r="39" spans="1:125" s="12" customFormat="1" ht="16.149999999999999" customHeight="1" x14ac:dyDescent="0.25">
      <c r="A39" t="s">
        <v>16</v>
      </c>
      <c r="B39" t="s">
        <v>63</v>
      </c>
      <c r="C39" t="s">
        <v>65</v>
      </c>
      <c r="D39" s="10">
        <f>D3*inputs!E14</f>
        <v>64507.941810000004</v>
      </c>
      <c r="E39" t="str">
        <f t="shared" ca="1" si="0"/>
        <v>=D3*inputs!E14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</row>
    <row r="40" spans="1:125" s="12" customFormat="1" ht="16.149999999999999" customHeight="1" x14ac:dyDescent="0.25">
      <c r="A40" t="s">
        <v>16</v>
      </c>
      <c r="B40" t="s">
        <v>63</v>
      </c>
      <c r="C40" t="s">
        <v>121</v>
      </c>
      <c r="D40" s="10">
        <f>D4*inputs!$E$14*inputs!$E$16</f>
        <v>3223.1393125366503</v>
      </c>
      <c r="E40" t="str">
        <f t="shared" ca="1" si="0"/>
        <v>=D4*inputs!$E$14*inputs!$E$16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</row>
    <row r="41" spans="1:125" s="12" customFormat="1" ht="16.149999999999999" customHeight="1" x14ac:dyDescent="0.25">
      <c r="A41" t="s">
        <v>16</v>
      </c>
      <c r="B41" t="s">
        <v>63</v>
      </c>
      <c r="C41" t="s">
        <v>122</v>
      </c>
      <c r="D41" s="10">
        <f>D5*inputs!$E$14*inputs!$E$16</f>
        <v>3220.8831150178748</v>
      </c>
      <c r="E41" t="str">
        <f t="shared" ca="1" si="0"/>
        <v>=D5*inputs!$E$14*inputs!$E$16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</row>
    <row r="42" spans="1:125" s="12" customFormat="1" ht="16.149999999999999" customHeight="1" x14ac:dyDescent="0.25">
      <c r="A42" t="s">
        <v>16</v>
      </c>
      <c r="B42" t="s">
        <v>63</v>
      </c>
      <c r="C42" t="s">
        <v>123</v>
      </c>
      <c r="D42" s="10">
        <f>D6*inputs!$E$14*inputs!$E$16</f>
        <v>3218.6284968373625</v>
      </c>
      <c r="E42" t="str">
        <f t="shared" ca="1" si="0"/>
        <v>=D6*inputs!$E$14*inputs!$E$16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</row>
    <row r="43" spans="1:125" s="12" customFormat="1" ht="16.149999999999999" customHeight="1" x14ac:dyDescent="0.25">
      <c r="A43" t="s">
        <v>16</v>
      </c>
      <c r="B43" t="s">
        <v>63</v>
      </c>
      <c r="C43" t="s">
        <v>124</v>
      </c>
      <c r="D43" s="10">
        <f>D7*inputs!$E$14*inputs!$E$16</f>
        <v>3216.3754568895765</v>
      </c>
      <c r="E43" t="str">
        <f t="shared" ca="1" si="0"/>
        <v>=D7*inputs!$E$14*inputs!$E$16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</row>
    <row r="44" spans="1:125" s="12" customFormat="1" ht="16.149999999999999" customHeight="1" x14ac:dyDescent="0.25">
      <c r="A44" t="s">
        <v>16</v>
      </c>
      <c r="B44" t="s">
        <v>63</v>
      </c>
      <c r="C44" t="s">
        <v>125</v>
      </c>
      <c r="D44" s="10">
        <f>D8*inputs!$E$14*inputs!$E$16</f>
        <v>3214.1239940697542</v>
      </c>
      <c r="E44" t="str">
        <f t="shared" ca="1" si="0"/>
        <v>=D8*inputs!$E$14*inputs!$E$16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</row>
    <row r="45" spans="1:125" s="12" customFormat="1" ht="16.149999999999999" customHeight="1" x14ac:dyDescent="0.25">
      <c r="A45" t="s">
        <v>16</v>
      </c>
      <c r="B45" t="s">
        <v>63</v>
      </c>
      <c r="C45" t="s">
        <v>126</v>
      </c>
      <c r="D45" s="10">
        <f>D9*inputs!$E$14*inputs!$E$16</f>
        <v>3211.8741072739053</v>
      </c>
      <c r="E45" t="str">
        <f t="shared" ca="1" si="0"/>
        <v>=D9*inputs!$E$14*inputs!$E$16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</row>
    <row r="46" spans="1:125" s="12" customFormat="1" ht="16.149999999999999" customHeight="1" x14ac:dyDescent="0.25">
      <c r="A46" t="s">
        <v>16</v>
      </c>
      <c r="B46" t="s">
        <v>63</v>
      </c>
      <c r="C46" t="s">
        <v>127</v>
      </c>
      <c r="D46" s="10">
        <f>D10*inputs!$E$14*inputs!$E$16</f>
        <v>3209.6257953988134</v>
      </c>
      <c r="E46" t="str">
        <f t="shared" ca="1" si="0"/>
        <v>=D10*inputs!$E$14*inputs!$E$16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</row>
    <row r="47" spans="1:125" s="12" customFormat="1" ht="16.149999999999999" customHeight="1" x14ac:dyDescent="0.25">
      <c r="A47" t="s">
        <v>16</v>
      </c>
      <c r="B47" t="s">
        <v>63</v>
      </c>
      <c r="C47" t="s">
        <v>128</v>
      </c>
      <c r="D47" s="10">
        <f>D11*inputs!$E$14*inputs!$E$16</f>
        <v>3207.3790573420342</v>
      </c>
      <c r="E47" t="str">
        <f t="shared" ca="1" si="0"/>
        <v>=D11*inputs!$E$14*inputs!$E$16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</row>
    <row r="48" spans="1:125" s="12" customFormat="1" ht="16.149999999999999" customHeight="1" x14ac:dyDescent="0.25">
      <c r="A48" t="s">
        <v>16</v>
      </c>
      <c r="B48" t="s">
        <v>63</v>
      </c>
      <c r="C48" t="s">
        <v>129</v>
      </c>
      <c r="D48" s="10">
        <f>D12*inputs!$E$14*inputs!$E$16</f>
        <v>3205.1338920018948</v>
      </c>
      <c r="E48" t="str">
        <f t="shared" ca="1" si="0"/>
        <v>=D12*inputs!$E$14*inputs!$E$16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</row>
    <row r="49" spans="1:125" s="12" customFormat="1" ht="16.149999999999999" customHeight="1" x14ac:dyDescent="0.25">
      <c r="A49" t="s">
        <v>16</v>
      </c>
      <c r="B49" t="s">
        <v>63</v>
      </c>
      <c r="C49" t="s">
        <v>130</v>
      </c>
      <c r="D49" s="10">
        <f>D13*inputs!$E$14*inputs!$E$16</f>
        <v>3202.8902982774935</v>
      </c>
      <c r="E49" t="str">
        <f t="shared" ca="1" si="0"/>
        <v>=D13*inputs!$E$14*inputs!$E$16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</row>
    <row r="50" spans="1:125" s="12" customFormat="1" ht="16.149999999999999" customHeight="1" x14ac:dyDescent="0.25">
      <c r="A50" t="s">
        <v>16</v>
      </c>
      <c r="B50" t="s">
        <v>107</v>
      </c>
      <c r="C50" t="s">
        <v>150</v>
      </c>
      <c r="D50" s="30">
        <f>inputs!E24*(D2+D3)/100000</f>
        <v>71.108335970602909</v>
      </c>
      <c r="E50" t="str">
        <f t="shared" ca="1" si="0"/>
        <v>=inputs!E24*(D2+D3)/100000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</row>
    <row r="51" spans="1:125" s="12" customFormat="1" x14ac:dyDescent="0.25">
      <c r="A51" t="s">
        <v>16</v>
      </c>
      <c r="B51" t="s">
        <v>190</v>
      </c>
      <c r="C51" t="s">
        <v>66</v>
      </c>
      <c r="D51" s="10">
        <f>(D14*inputs!E17*inputs!E18)/(inputs!E31^0)</f>
        <v>10261.142776829636</v>
      </c>
      <c r="E51" t="str">
        <f t="shared" ca="1" si="0"/>
        <v>=(D14*inputs!E17*inputs!E18)/(inputs!E31^0)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</row>
    <row r="52" spans="1:125" s="12" customFormat="1" x14ac:dyDescent="0.25">
      <c r="A52" t="s">
        <v>16</v>
      </c>
      <c r="B52" t="s">
        <v>190</v>
      </c>
      <c r="C52" t="s">
        <v>67</v>
      </c>
      <c r="D52" s="10">
        <f>(D15*inputs!E17*inputs!E18)/(inputs!E31^1)</f>
        <v>9920.4446434019428</v>
      </c>
      <c r="E52" t="str">
        <f t="shared" ca="1" si="0"/>
        <v>=(D15*inputs!E17*inputs!E18)/(inputs!E31^1)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</row>
    <row r="53" spans="1:125" s="12" customFormat="1" x14ac:dyDescent="0.25">
      <c r="A53" t="s">
        <v>16</v>
      </c>
      <c r="B53" t="s">
        <v>190</v>
      </c>
      <c r="C53" t="s">
        <v>151</v>
      </c>
      <c r="D53" s="10">
        <f>(D16*inputs!$E$18)/(inputs!$E$31^2)</f>
        <v>1924.9515208061284</v>
      </c>
      <c r="E53" t="str">
        <f t="shared" ca="1" si="0"/>
        <v>=(D16*inputs!$E$18)/(inputs!$E$31^2)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</row>
    <row r="54" spans="1:125" s="12" customFormat="1" x14ac:dyDescent="0.25">
      <c r="A54" t="s">
        <v>16</v>
      </c>
      <c r="B54" t="s">
        <v>190</v>
      </c>
      <c r="C54" t="s">
        <v>152</v>
      </c>
      <c r="D54" s="10">
        <f>(D17*inputs!$E$18)/(inputs!$E$31^3)</f>
        <v>1867.5767521762762</v>
      </c>
      <c r="E54" t="str">
        <f t="shared" ca="1" si="0"/>
        <v>=(D17*inputs!$E$18)/(inputs!$E$31^3)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</row>
    <row r="55" spans="1:125" s="12" customFormat="1" x14ac:dyDescent="0.25">
      <c r="A55" t="s">
        <v>16</v>
      </c>
      <c r="B55" t="s">
        <v>190</v>
      </c>
      <c r="C55" t="s">
        <v>166</v>
      </c>
      <c r="D55" s="10">
        <f>(D18*inputs!$E$18)/(inputs!$E$31^4)</f>
        <v>1811.9120858735466</v>
      </c>
      <c r="E55" t="str">
        <f t="shared" ca="1" si="0"/>
        <v>=(D18*inputs!$E$18)/(inputs!$E$31^4)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</row>
    <row r="56" spans="1:125" s="12" customFormat="1" x14ac:dyDescent="0.25">
      <c r="A56" t="s">
        <v>16</v>
      </c>
      <c r="B56" t="s">
        <v>190</v>
      </c>
      <c r="C56" t="s">
        <v>167</v>
      </c>
      <c r="D56" s="10">
        <f>(D19*inputs!$E$18)/(inputs!$E$31^5)</f>
        <v>1757.9065508868307</v>
      </c>
      <c r="E56" t="str">
        <f t="shared" ca="1" si="0"/>
        <v>=(D19*inputs!$E$18)/(inputs!$E$31^5)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</row>
    <row r="57" spans="1:125" s="12" customFormat="1" x14ac:dyDescent="0.25">
      <c r="A57" t="s">
        <v>16</v>
      </c>
      <c r="B57" t="s">
        <v>190</v>
      </c>
      <c r="C57" t="s">
        <v>168</v>
      </c>
      <c r="D57" s="10">
        <f>(D20*inputs!$E$18)/(inputs!$E$31^6)</f>
        <v>1705.5106954380678</v>
      </c>
      <c r="E57" t="str">
        <f t="shared" ca="1" si="0"/>
        <v>=(D20*inputs!$E$18)/(inputs!$E$31^6)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</row>
    <row r="58" spans="1:125" s="12" customFormat="1" x14ac:dyDescent="0.25">
      <c r="A58" t="s">
        <v>16</v>
      </c>
      <c r="B58" t="s">
        <v>190</v>
      </c>
      <c r="C58" t="s">
        <v>169</v>
      </c>
      <c r="D58" s="10">
        <f>(D21*inputs!$E$18)/(inputs!$E$31^7)</f>
        <v>1654.6765417002532</v>
      </c>
      <c r="E58" t="str">
        <f t="shared" ca="1" si="0"/>
        <v>=(D21*inputs!$E$18)/(inputs!$E$31^7)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</row>
    <row r="59" spans="1:125" s="12" customFormat="1" x14ac:dyDescent="0.25">
      <c r="A59" t="s">
        <v>16</v>
      </c>
      <c r="B59" t="s">
        <v>190</v>
      </c>
      <c r="C59" t="s">
        <v>170</v>
      </c>
      <c r="D59" s="10">
        <f>(D22*inputs!$E$18)/(inputs!$E$31^8)</f>
        <v>1605.3575418651099</v>
      </c>
      <c r="E59" t="str">
        <f t="shared" ca="1" si="0"/>
        <v>=(D22*inputs!$E$18)/(inputs!$E$31^8)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</row>
    <row r="60" spans="1:125" s="12" customFormat="1" x14ac:dyDescent="0.25">
      <c r="A60" t="s">
        <v>16</v>
      </c>
      <c r="B60" t="s">
        <v>190</v>
      </c>
      <c r="C60" t="s">
        <v>171</v>
      </c>
      <c r="D60" s="10">
        <f>(D23*inputs!$E$18)/(inputs!$E$31^9)</f>
        <v>1557.5085355201984</v>
      </c>
      <c r="E60" t="str">
        <f t="shared" ca="1" si="0"/>
        <v>=(D23*inputs!$E$18)/(inputs!$E$31^9)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</row>
    <row r="61" spans="1:125" s="12" customFormat="1" x14ac:dyDescent="0.25">
      <c r="A61" t="s">
        <v>16</v>
      </c>
      <c r="B61" t="s">
        <v>190</v>
      </c>
      <c r="C61" t="s">
        <v>172</v>
      </c>
      <c r="D61" s="10">
        <f>(D24*inputs!$E$18)/(inputs!$E$31^10)</f>
        <v>1511.085708296441</v>
      </c>
      <c r="E61" t="str">
        <f t="shared" ca="1" si="0"/>
        <v>=(D24*inputs!$E$18)/(inputs!$E$31^10)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</row>
    <row r="62" spans="1:125" s="12" customFormat="1" x14ac:dyDescent="0.25">
      <c r="A62" t="s">
        <v>16</v>
      </c>
      <c r="B62" t="s">
        <v>190</v>
      </c>
      <c r="C62" t="s">
        <v>173</v>
      </c>
      <c r="D62" s="10">
        <f>(D25*inputs!$E$18)/(inputs!$E$31^11)</f>
        <v>1466.0465517481878</v>
      </c>
      <c r="E62" t="str">
        <f t="shared" ca="1" si="0"/>
        <v>=(D25*inputs!$E$18)/(inputs!$E$31^11)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</row>
    <row r="63" spans="1:125" s="12" customFormat="1" x14ac:dyDescent="0.25">
      <c r="A63" t="s">
        <v>16</v>
      </c>
      <c r="B63" t="s">
        <v>190</v>
      </c>
      <c r="C63" t="s">
        <v>71</v>
      </c>
      <c r="D63" s="10">
        <f>D26*inputs!E17*inputs!E19</f>
        <v>4262.5201686577657</v>
      </c>
      <c r="E63" t="str">
        <f t="shared" ca="1" si="0"/>
        <v>=D26*inputs!E17*inputs!E19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</row>
    <row r="64" spans="1:125" s="12" customFormat="1" x14ac:dyDescent="0.25">
      <c r="A64" t="s">
        <v>16</v>
      </c>
      <c r="B64" t="s">
        <v>190</v>
      </c>
      <c r="C64" t="s">
        <v>69</v>
      </c>
      <c r="D64" s="10">
        <f>(D27*inputs!E17*inputs!E19)/(inputs!E31^1)</f>
        <v>4120.9927874737868</v>
      </c>
      <c r="E64" t="str">
        <f t="shared" ca="1" si="0"/>
        <v>=(D27*inputs!E17*inputs!E19)/(inputs!E31^1)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</row>
    <row r="65" spans="1:125" s="12" customFormat="1" x14ac:dyDescent="0.25">
      <c r="A65" t="s">
        <v>16</v>
      </c>
      <c r="B65" t="s">
        <v>190</v>
      </c>
      <c r="C65" t="s">
        <v>70</v>
      </c>
      <c r="D65" s="10">
        <f>(D28*inputs!$E$19)/(inputs!$E$31^2)</f>
        <v>799.63263932476809</v>
      </c>
      <c r="E65" t="str">
        <f t="shared" ca="1" si="0"/>
        <v>=(D28*inputs!$E$19)/(inputs!$E$31^2)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</row>
    <row r="66" spans="1:125" s="12" customFormat="1" x14ac:dyDescent="0.25">
      <c r="A66" t="s">
        <v>16</v>
      </c>
      <c r="B66" t="s">
        <v>190</v>
      </c>
      <c r="C66" t="s">
        <v>164</v>
      </c>
      <c r="D66" s="10">
        <f>(D29*inputs!$E$19)/(inputs!$E$31^3)</f>
        <v>775.79892861868041</v>
      </c>
      <c r="E66" t="str">
        <f t="shared" ca="1" si="0"/>
        <v>=(D29*inputs!$E$19)/(inputs!$E$31^3)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</row>
    <row r="67" spans="1:125" s="12" customFormat="1" x14ac:dyDescent="0.25">
      <c r="A67" t="s">
        <v>16</v>
      </c>
      <c r="B67" t="s">
        <v>190</v>
      </c>
      <c r="C67" t="s">
        <v>165</v>
      </c>
      <c r="D67" s="10">
        <f>(D30*inputs!$E$19)/(inputs!$E$31^4)</f>
        <v>752.67560132878384</v>
      </c>
      <c r="E67" t="str">
        <f t="shared" ref="E67:E131" ca="1" si="1">_xlfn.FORMULATEXT(D67)</f>
        <v>=(D30*inputs!$E$19)/(inputs!$E$31^4)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</row>
    <row r="68" spans="1:125" s="12" customFormat="1" x14ac:dyDescent="0.25">
      <c r="A68" t="s">
        <v>16</v>
      </c>
      <c r="B68" t="s">
        <v>190</v>
      </c>
      <c r="C68" t="s">
        <v>174</v>
      </c>
      <c r="D68" s="10">
        <f>(D31*inputs!$E$19)/(inputs!$E$31^5)</f>
        <v>730.24148389112031</v>
      </c>
      <c r="E68" t="str">
        <f t="shared" ca="1" si="1"/>
        <v>=(D31*inputs!$E$19)/(inputs!$E$31^5)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</row>
    <row r="69" spans="1:125" s="12" customFormat="1" x14ac:dyDescent="0.25">
      <c r="A69" t="s">
        <v>16</v>
      </c>
      <c r="B69" t="s">
        <v>190</v>
      </c>
      <c r="C69" t="s">
        <v>175</v>
      </c>
      <c r="D69" s="10">
        <f>(D32*inputs!$E$19)/(inputs!$E$31^6)</f>
        <v>708.47603383727812</v>
      </c>
      <c r="E69" t="str">
        <f t="shared" ca="1" si="1"/>
        <v>=(D32*inputs!$E$19)/(inputs!$E$31^6)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</row>
    <row r="70" spans="1:125" s="12" customFormat="1" x14ac:dyDescent="0.25">
      <c r="A70" t="s">
        <v>16</v>
      </c>
      <c r="B70" t="s">
        <v>190</v>
      </c>
      <c r="C70" t="s">
        <v>176</v>
      </c>
      <c r="D70" s="10">
        <f>(D33*inputs!$E$19)/(inputs!$E$31^7)</f>
        <v>687.35932098406988</v>
      </c>
      <c r="E70" t="str">
        <f t="shared" ca="1" si="1"/>
        <v>=(D33*inputs!$E$19)/(inputs!$E$31^7)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</row>
    <row r="71" spans="1:125" s="12" customFormat="1" x14ac:dyDescent="0.25">
      <c r="A71" t="s">
        <v>16</v>
      </c>
      <c r="B71" t="s">
        <v>190</v>
      </c>
      <c r="C71" t="s">
        <v>177</v>
      </c>
      <c r="D71" s="10">
        <f>(D34*inputs!$E$19)/(inputs!$E$31^8)</f>
        <v>666.87200918386509</v>
      </c>
      <c r="E71" t="str">
        <f t="shared" ca="1" si="1"/>
        <v>=(D34*inputs!$E$19)/(inputs!$E$31^8)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</row>
    <row r="72" spans="1:125" s="12" customFormat="1" x14ac:dyDescent="0.25">
      <c r="A72" t="s">
        <v>16</v>
      </c>
      <c r="B72" t="s">
        <v>190</v>
      </c>
      <c r="C72" t="s">
        <v>178</v>
      </c>
      <c r="D72" s="10">
        <f>(D35*inputs!$E$19)/(inputs!$E$31^9)</f>
        <v>646.99533861887028</v>
      </c>
      <c r="E72" t="str">
        <f t="shared" ca="1" si="1"/>
        <v>=(D35*inputs!$E$19)/(inputs!$E$31^9)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</row>
    <row r="73" spans="1:125" s="12" customFormat="1" x14ac:dyDescent="0.25">
      <c r="A73" t="s">
        <v>16</v>
      </c>
      <c r="B73" t="s">
        <v>190</v>
      </c>
      <c r="C73" t="s">
        <v>179</v>
      </c>
      <c r="D73" s="10">
        <f>(D36*inputs!$E$19)/(inputs!$E$31^10)</f>
        <v>627.71110862314276</v>
      </c>
      <c r="E73" t="str">
        <f t="shared" ca="1" si="1"/>
        <v>=(D36*inputs!$E$19)/(inputs!$E$31^10)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</row>
    <row r="74" spans="1:125" s="12" customFormat="1" x14ac:dyDescent="0.25">
      <c r="A74" t="s">
        <v>16</v>
      </c>
      <c r="B74" t="s">
        <v>190</v>
      </c>
      <c r="C74" t="s">
        <v>180</v>
      </c>
      <c r="D74" s="10">
        <f>(D37*inputs!$E$19)/(inputs!$E$31^11)</f>
        <v>609.0016610166083</v>
      </c>
      <c r="E74" t="str">
        <f t="shared" ca="1" si="1"/>
        <v>=(D37*inputs!$E$19)/(inputs!$E$31^11)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</row>
    <row r="75" spans="1:125" s="12" customFormat="1" x14ac:dyDescent="0.25">
      <c r="A75" t="s">
        <v>16</v>
      </c>
      <c r="B75" t="s">
        <v>190</v>
      </c>
      <c r="C75" t="s">
        <v>72</v>
      </c>
      <c r="D75" s="10">
        <f>D38*inputs!E17*inputs!E20</f>
        <v>753.87657238229099</v>
      </c>
      <c r="E75" t="str">
        <f t="shared" ca="1" si="1"/>
        <v>=D38*inputs!E17*inputs!E20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</row>
    <row r="76" spans="1:125" s="12" customFormat="1" x14ac:dyDescent="0.25">
      <c r="A76" t="s">
        <v>16</v>
      </c>
      <c r="B76" t="s">
        <v>190</v>
      </c>
      <c r="C76" t="s">
        <v>73</v>
      </c>
      <c r="D76" s="10">
        <f>(D39*inputs!E17*inputs!E20)/(inputs!E31^1)</f>
        <v>2082.4165681383497</v>
      </c>
      <c r="E76" t="str">
        <f t="shared" ca="1" si="1"/>
        <v>=(D39*inputs!E17*inputs!E20)/(inputs!E31^1)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</row>
    <row r="77" spans="1:125" s="12" customFormat="1" x14ac:dyDescent="0.25">
      <c r="A77" t="s">
        <v>16</v>
      </c>
      <c r="B77" t="s">
        <v>190</v>
      </c>
      <c r="C77" t="s">
        <v>74</v>
      </c>
      <c r="D77" s="10">
        <f>(D40*inputs!$E$20)/(inputs!$E$31^2)</f>
        <v>404.06968476517534</v>
      </c>
      <c r="E77" t="str">
        <f t="shared" ca="1" si="1"/>
        <v>=(D40*inputs!$E$20)/(inputs!$E$31^2)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</row>
    <row r="78" spans="1:125" s="12" customFormat="1" x14ac:dyDescent="0.25">
      <c r="A78" t="s">
        <v>16</v>
      </c>
      <c r="B78" t="s">
        <v>190</v>
      </c>
      <c r="C78" t="s">
        <v>75</v>
      </c>
      <c r="D78" s="10">
        <f>(D41*inputs!$E$20)/(inputs!$E$31^3)</f>
        <v>392.02605435518421</v>
      </c>
      <c r="E78" t="str">
        <f t="shared" ca="1" si="1"/>
        <v>=(D41*inputs!$E$20)/(inputs!$E$31^3)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</row>
    <row r="79" spans="1:125" s="12" customFormat="1" x14ac:dyDescent="0.25">
      <c r="A79" t="s">
        <v>16</v>
      </c>
      <c r="B79" t="s">
        <v>190</v>
      </c>
      <c r="C79" t="s">
        <v>76</v>
      </c>
      <c r="D79" s="10">
        <f>(D42*inputs!$E$20)/(inputs!$E$31^4)</f>
        <v>380.34139428848124</v>
      </c>
      <c r="E79" t="str">
        <f t="shared" ca="1" si="1"/>
        <v>=(D42*inputs!$E$20)/(inputs!$E$31^4)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</row>
    <row r="80" spans="1:125" s="12" customFormat="1" x14ac:dyDescent="0.25">
      <c r="A80" t="s">
        <v>16</v>
      </c>
      <c r="B80" t="s">
        <v>190</v>
      </c>
      <c r="C80" t="s">
        <v>77</v>
      </c>
      <c r="D80" s="10">
        <f>(D43*inputs!$E$20)/(inputs!$E$31^5)</f>
        <v>369.00500515774689</v>
      </c>
      <c r="E80" t="str">
        <f t="shared" ca="1" si="1"/>
        <v>=(D43*inputs!$E$20)/(inputs!$E$31^5)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</row>
    <row r="81" spans="1:125" s="12" customFormat="1" x14ac:dyDescent="0.25">
      <c r="A81" t="s">
        <v>16</v>
      </c>
      <c r="B81" t="s">
        <v>190</v>
      </c>
      <c r="C81" t="s">
        <v>78</v>
      </c>
      <c r="D81" s="10">
        <f>(D44*inputs!$E$20)/(inputs!$E$31^6)</f>
        <v>358.0065064603267</v>
      </c>
      <c r="E81" t="str">
        <f t="shared" ca="1" si="1"/>
        <v>=(D44*inputs!$E$20)/(inputs!$E$31^6)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</row>
    <row r="82" spans="1:125" s="12" customFormat="1" x14ac:dyDescent="0.25">
      <c r="A82" t="s">
        <v>16</v>
      </c>
      <c r="B82" t="s">
        <v>190</v>
      </c>
      <c r="C82" t="s">
        <v>79</v>
      </c>
      <c r="D82" s="10">
        <f>(D45*inputs!$E$20)/(inputs!$E$31^7)</f>
        <v>347.33582709301402</v>
      </c>
      <c r="E82" t="str">
        <f t="shared" ca="1" si="1"/>
        <v>=(D45*inputs!$E$20)/(inputs!$E$31^7)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</row>
    <row r="83" spans="1:125" s="12" customFormat="1" x14ac:dyDescent="0.25">
      <c r="A83" t="s">
        <v>16</v>
      </c>
      <c r="B83" t="s">
        <v>190</v>
      </c>
      <c r="C83" t="s">
        <v>80</v>
      </c>
      <c r="D83" s="10">
        <f>(D46*inputs!$E$20)/(inputs!$E$31^8)</f>
        <v>336.98319613014456</v>
      </c>
      <c r="E83" t="str">
        <f t="shared" ca="1" si="1"/>
        <v>=(D46*inputs!$E$20)/(inputs!$E$31^8)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</row>
    <row r="84" spans="1:125" s="12" customFormat="1" x14ac:dyDescent="0.25">
      <c r="A84" t="s">
        <v>16</v>
      </c>
      <c r="B84" t="s">
        <v>190</v>
      </c>
      <c r="C84" t="s">
        <v>81</v>
      </c>
      <c r="D84" s="10">
        <f>(D47*inputs!$E$20)/(inputs!$E$31^9)</f>
        <v>326.93913387655681</v>
      </c>
      <c r="E84" t="str">
        <f t="shared" ca="1" si="1"/>
        <v>=(D47*inputs!$E$20)/(inputs!$E$31^9)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</row>
    <row r="85" spans="1:125" s="12" customFormat="1" x14ac:dyDescent="0.25">
      <c r="A85" t="s">
        <v>16</v>
      </c>
      <c r="B85" t="s">
        <v>190</v>
      </c>
      <c r="C85" t="s">
        <v>82</v>
      </c>
      <c r="D85" s="10">
        <f>(D48*inputs!$E$20)/(inputs!$E$31^10)</f>
        <v>317.1944431872264</v>
      </c>
      <c r="E85" t="str">
        <f t="shared" ca="1" si="1"/>
        <v>=(D48*inputs!$E$20)/(inputs!$E$31^10)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</row>
    <row r="86" spans="1:125" s="12" customFormat="1" x14ac:dyDescent="0.25">
      <c r="A86" t="s">
        <v>16</v>
      </c>
      <c r="B86" t="s">
        <v>190</v>
      </c>
      <c r="C86" t="s">
        <v>83</v>
      </c>
      <c r="D86" s="10">
        <f>(D49*inputs!$E$20)/(inputs!$E$31^11)</f>
        <v>307.74020104562652</v>
      </c>
      <c r="E86" t="str">
        <f t="shared" ca="1" si="1"/>
        <v>=(D49*inputs!$E$20)/(inputs!$E$31^11)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</row>
    <row r="87" spans="1:125" s="12" customFormat="1" x14ac:dyDescent="0.25">
      <c r="A87" t="s">
        <v>16</v>
      </c>
      <c r="B87" t="s">
        <v>190</v>
      </c>
      <c r="C87" t="s">
        <v>153</v>
      </c>
      <c r="D87" s="10">
        <f>D50*inputs!E25</f>
        <v>4266.5001582361747</v>
      </c>
      <c r="E87" t="str">
        <f t="shared" ca="1" si="1"/>
        <v>=D50*inputs!E25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</row>
    <row r="88" spans="1:125" s="12" customFormat="1" x14ac:dyDescent="0.25">
      <c r="A88" t="s">
        <v>16</v>
      </c>
      <c r="B88" t="s">
        <v>84</v>
      </c>
      <c r="C88" t="s">
        <v>85</v>
      </c>
      <c r="D88" s="10">
        <f>D51*(inputs!$E$26*inputs!$E$27)</f>
        <v>36796457.997711077</v>
      </c>
      <c r="E88" t="str">
        <f t="shared" ca="1" si="1"/>
        <v>=D51*(inputs!$E$26*inputs!$E$27)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</row>
    <row r="89" spans="1:125" s="12" customFormat="1" x14ac:dyDescent="0.25">
      <c r="A89" t="s">
        <v>16</v>
      </c>
      <c r="B89" t="s">
        <v>84</v>
      </c>
      <c r="C89" t="s">
        <v>86</v>
      </c>
      <c r="D89" s="10">
        <f>D52*(inputs!$E$26*inputs!$E$27)</f>
        <v>35574714.491239369</v>
      </c>
      <c r="E89" t="str">
        <f t="shared" ca="1" si="1"/>
        <v>=D52*(inputs!$E$26*inputs!$E$27)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</row>
    <row r="90" spans="1:125" s="12" customFormat="1" x14ac:dyDescent="0.25">
      <c r="A90" t="s">
        <v>16</v>
      </c>
      <c r="B90" t="s">
        <v>84</v>
      </c>
      <c r="C90" t="s">
        <v>163</v>
      </c>
      <c r="D90" s="10">
        <f>D53*(inputs!$E$26*inputs!$E$27)</f>
        <v>6902876.1536107762</v>
      </c>
      <c r="E90" t="str">
        <f t="shared" ca="1" si="1"/>
        <v>=D53*(inputs!$E$26*inputs!$E$27)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</row>
    <row r="91" spans="1:125" s="12" customFormat="1" x14ac:dyDescent="0.25">
      <c r="A91" t="s">
        <v>16</v>
      </c>
      <c r="B91" t="s">
        <v>84</v>
      </c>
      <c r="C91" t="s">
        <v>181</v>
      </c>
      <c r="D91" s="10">
        <f>D54*(inputs!$E$26*inputs!$E$27)</f>
        <v>6697130.2333041262</v>
      </c>
      <c r="E91" t="str">
        <f t="shared" ca="1" si="1"/>
        <v>=D54*(inputs!$E$26*inputs!$E$27)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</row>
    <row r="92" spans="1:125" s="12" customFormat="1" x14ac:dyDescent="0.25">
      <c r="A92" t="s">
        <v>16</v>
      </c>
      <c r="B92" t="s">
        <v>84</v>
      </c>
      <c r="C92" t="s">
        <v>182</v>
      </c>
      <c r="D92" s="10">
        <f>D55*(inputs!$E$26*inputs!$E$27)</f>
        <v>6497516.7399425386</v>
      </c>
      <c r="E92" t="str">
        <f t="shared" ca="1" si="1"/>
        <v>=D55*(inputs!$E$26*inputs!$E$27)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</row>
    <row r="93" spans="1:125" s="12" customFormat="1" x14ac:dyDescent="0.25">
      <c r="A93" t="s">
        <v>16</v>
      </c>
      <c r="B93" t="s">
        <v>84</v>
      </c>
      <c r="C93" t="s">
        <v>183</v>
      </c>
      <c r="D93" s="10">
        <f>D56*(inputs!$E$26*inputs!$E$27)</f>
        <v>6303852.8914801748</v>
      </c>
      <c r="E93" t="str">
        <f t="shared" ca="1" si="1"/>
        <v>=D56*(inputs!$E$26*inputs!$E$27)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</row>
    <row r="94" spans="1:125" s="12" customFormat="1" x14ac:dyDescent="0.25">
      <c r="A94" t="s">
        <v>16</v>
      </c>
      <c r="B94" t="s">
        <v>84</v>
      </c>
      <c r="C94" t="s">
        <v>184</v>
      </c>
      <c r="D94" s="10">
        <f>D57*(inputs!$E$26*inputs!$E$27)</f>
        <v>6115961.3538409108</v>
      </c>
      <c r="E94" t="str">
        <f t="shared" ca="1" si="1"/>
        <v>=D57*(inputs!$E$26*inputs!$E$27)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</row>
    <row r="95" spans="1:125" s="12" customFormat="1" x14ac:dyDescent="0.25">
      <c r="A95" t="s">
        <v>16</v>
      </c>
      <c r="B95" t="s">
        <v>84</v>
      </c>
      <c r="C95" t="s">
        <v>185</v>
      </c>
      <c r="D95" s="10">
        <f>D58*(inputs!$E$26*inputs!$E$27)</f>
        <v>5933670.0785371084</v>
      </c>
      <c r="E95" t="str">
        <f t="shared" ca="1" si="1"/>
        <v>=D58*(inputs!$E$26*inputs!$E$27)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</row>
    <row r="96" spans="1:125" s="12" customFormat="1" x14ac:dyDescent="0.25">
      <c r="A96" t="s">
        <v>16</v>
      </c>
      <c r="B96" t="s">
        <v>84</v>
      </c>
      <c r="C96" t="s">
        <v>186</v>
      </c>
      <c r="D96" s="10">
        <f>D59*(inputs!$E$26*inputs!$E$27)</f>
        <v>5756812.1451282836</v>
      </c>
      <c r="E96" t="str">
        <f t="shared" ca="1" si="1"/>
        <v>=D59*(inputs!$E$26*inputs!$E$27)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</row>
    <row r="97" spans="1:125" s="12" customFormat="1" x14ac:dyDescent="0.25">
      <c r="A97" t="s">
        <v>16</v>
      </c>
      <c r="B97" t="s">
        <v>84</v>
      </c>
      <c r="C97" t="s">
        <v>187</v>
      </c>
      <c r="D97" s="10">
        <f>D60*(inputs!$E$26*inputs!$E$27)</f>
        <v>5585225.608375431</v>
      </c>
      <c r="E97" t="str">
        <f t="shared" ca="1" si="1"/>
        <v>=D60*(inputs!$E$26*inputs!$E$27)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</row>
    <row r="98" spans="1:125" s="12" customFormat="1" x14ac:dyDescent="0.25">
      <c r="A98" t="s">
        <v>16</v>
      </c>
      <c r="B98" t="s">
        <v>84</v>
      </c>
      <c r="C98" t="s">
        <v>188</v>
      </c>
      <c r="D98" s="10">
        <f>D61*(inputs!$E$26*inputs!$E$27)</f>
        <v>5418753.3499510372</v>
      </c>
      <c r="E98" t="str">
        <f t="shared" ca="1" si="1"/>
        <v>=D61*(inputs!$E$26*inputs!$E$27)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</row>
    <row r="99" spans="1:125" s="12" customFormat="1" x14ac:dyDescent="0.25">
      <c r="A99" t="s">
        <v>16</v>
      </c>
      <c r="B99" t="s">
        <v>84</v>
      </c>
      <c r="C99" t="s">
        <v>189</v>
      </c>
      <c r="D99" s="10">
        <f>D62*(inputs!$E$26*inputs!$E$27)</f>
        <v>5257242.9345690012</v>
      </c>
      <c r="E99" t="str">
        <f t="shared" ca="1" si="1"/>
        <v>=D62*(inputs!$E$26*inputs!$E$27)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</row>
    <row r="100" spans="1:125" s="12" customFormat="1" x14ac:dyDescent="0.25">
      <c r="A100" t="s">
        <v>16</v>
      </c>
      <c r="B100" t="s">
        <v>84</v>
      </c>
      <c r="C100" t="s">
        <v>87</v>
      </c>
      <c r="D100" s="10">
        <f>D63*(inputs!$E$26*inputs!$E$27)</f>
        <v>15285397.324806748</v>
      </c>
      <c r="E100" t="str">
        <f t="shared" ca="1" si="1"/>
        <v>=D63*(inputs!$E$26*inputs!$E$27)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</row>
    <row r="101" spans="1:125" s="12" customFormat="1" x14ac:dyDescent="0.25">
      <c r="A101" t="s">
        <v>16</v>
      </c>
      <c r="B101" t="s">
        <v>84</v>
      </c>
      <c r="C101" t="s">
        <v>88</v>
      </c>
      <c r="D101" s="10">
        <f>D64*(inputs!$E$26*inputs!$E$27)</f>
        <v>14777880.135880999</v>
      </c>
      <c r="E101" t="str">
        <f t="shared" ca="1" si="1"/>
        <v>=D64*(inputs!$E$26*inputs!$E$27)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</row>
    <row r="102" spans="1:125" s="12" customFormat="1" x14ac:dyDescent="0.25">
      <c r="A102" t="s">
        <v>16</v>
      </c>
      <c r="B102" t="s">
        <v>84</v>
      </c>
      <c r="C102" t="s">
        <v>89</v>
      </c>
      <c r="D102" s="10">
        <f>D65*(inputs!$E$26*inputs!$E$27)</f>
        <v>2867482.6446186183</v>
      </c>
      <c r="E102" t="str">
        <f t="shared" ca="1" si="1"/>
        <v>=D65*(inputs!$E$26*inputs!$E$27)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</row>
    <row r="103" spans="1:125" s="12" customFormat="1" x14ac:dyDescent="0.25">
      <c r="A103" t="s">
        <v>16</v>
      </c>
      <c r="B103" t="s">
        <v>84</v>
      </c>
      <c r="C103" t="s">
        <v>154</v>
      </c>
      <c r="D103" s="10">
        <f>D66*(inputs!$E$26*inputs!$E$27)</f>
        <v>2782014.958026588</v>
      </c>
      <c r="E103" t="str">
        <f t="shared" ca="1" si="1"/>
        <v>=D66*(inputs!$E$26*inputs!$E$27)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</row>
    <row r="104" spans="1:125" s="12" customFormat="1" x14ac:dyDescent="0.25">
      <c r="A104" t="s">
        <v>16</v>
      </c>
      <c r="B104" t="s">
        <v>84</v>
      </c>
      <c r="C104" t="s">
        <v>155</v>
      </c>
      <c r="D104" s="10">
        <f>D67*(inputs!$E$26*inputs!$E$27)</f>
        <v>2699094.7063650191</v>
      </c>
      <c r="E104" t="str">
        <f t="shared" ca="1" si="1"/>
        <v>=D67*(inputs!$E$26*inputs!$E$27)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</row>
    <row r="105" spans="1:125" s="12" customFormat="1" x14ac:dyDescent="0.25">
      <c r="A105" t="s">
        <v>16</v>
      </c>
      <c r="B105" t="s">
        <v>84</v>
      </c>
      <c r="C105" t="s">
        <v>156</v>
      </c>
      <c r="D105" s="10">
        <f>D68*(inputs!$E$26*inputs!$E$27)</f>
        <v>2618645.9612335572</v>
      </c>
      <c r="E105" t="str">
        <f t="shared" ca="1" si="1"/>
        <v>=D68*(inputs!$E$26*inputs!$E$27)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</row>
    <row r="106" spans="1:125" s="12" customFormat="1" x14ac:dyDescent="0.25">
      <c r="A106" t="s">
        <v>16</v>
      </c>
      <c r="B106" t="s">
        <v>84</v>
      </c>
      <c r="C106" t="s">
        <v>157</v>
      </c>
      <c r="D106" s="10">
        <f>D69*(inputs!$E$26*inputs!$E$27)</f>
        <v>2540595.0573404795</v>
      </c>
      <c r="E106" t="str">
        <f t="shared" ca="1" si="1"/>
        <v>=D69*(inputs!$E$26*inputs!$E$27)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</row>
    <row r="107" spans="1:125" s="12" customFormat="1" x14ac:dyDescent="0.25">
      <c r="A107" t="s">
        <v>16</v>
      </c>
      <c r="B107" t="s">
        <v>84</v>
      </c>
      <c r="C107" t="s">
        <v>158</v>
      </c>
      <c r="D107" s="10">
        <f>D70*(inputs!$E$26*inputs!$E$27)</f>
        <v>2464870.5250488748</v>
      </c>
      <c r="E107" t="str">
        <f t="shared" ca="1" si="1"/>
        <v>=D70*(inputs!$E$26*inputs!$E$27)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</row>
    <row r="108" spans="1:125" s="12" customFormat="1" x14ac:dyDescent="0.25">
      <c r="A108" t="s">
        <v>16</v>
      </c>
      <c r="B108" t="s">
        <v>84</v>
      </c>
      <c r="C108" t="s">
        <v>159</v>
      </c>
      <c r="D108" s="10">
        <f>D71*(inputs!$E$26*inputs!$E$27)</f>
        <v>2391403.02493334</v>
      </c>
      <c r="E108" t="str">
        <f t="shared" ca="1" si="1"/>
        <v>=D71*(inputs!$E$26*inputs!$E$27)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</row>
    <row r="109" spans="1:125" s="12" customFormat="1" x14ac:dyDescent="0.25">
      <c r="A109" t="s">
        <v>16</v>
      </c>
      <c r="B109" t="s">
        <v>84</v>
      </c>
      <c r="C109" t="s">
        <v>160</v>
      </c>
      <c r="D109" s="10">
        <f>D72*(inputs!$E$26*inputs!$E$27)</f>
        <v>2320125.2842872688</v>
      </c>
      <c r="E109" t="str">
        <f t="shared" ca="1" si="1"/>
        <v>=D72*(inputs!$E$26*inputs!$E$27)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</row>
    <row r="110" spans="1:125" s="12" customFormat="1" x14ac:dyDescent="0.25">
      <c r="A110" t="s">
        <v>16</v>
      </c>
      <c r="B110" t="s">
        <v>84</v>
      </c>
      <c r="C110" t="s">
        <v>161</v>
      </c>
      <c r="D110" s="10">
        <f>D73*(inputs!$E$26*inputs!$E$27)</f>
        <v>2250972.0355225899</v>
      </c>
      <c r="E110" t="str">
        <f t="shared" ca="1" si="1"/>
        <v>=D73*(inputs!$E$26*inputs!$E$27)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</row>
    <row r="111" spans="1:125" s="12" customFormat="1" x14ac:dyDescent="0.25">
      <c r="A111" t="s">
        <v>16</v>
      </c>
      <c r="B111" t="s">
        <v>84</v>
      </c>
      <c r="C111" t="s">
        <v>162</v>
      </c>
      <c r="D111" s="10">
        <f>D74*(inputs!$E$26*inputs!$E$27)</f>
        <v>2183879.9564055572</v>
      </c>
      <c r="E111" t="str">
        <f t="shared" ca="1" si="1"/>
        <v>=D74*(inputs!$E$26*inputs!$E$27)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</row>
    <row r="112" spans="1:125" s="12" customFormat="1" x14ac:dyDescent="0.25">
      <c r="A112" t="s">
        <v>16</v>
      </c>
      <c r="B112" t="s">
        <v>84</v>
      </c>
      <c r="C112" t="s">
        <v>90</v>
      </c>
      <c r="D112" s="10">
        <f>D75*(inputs!$E$26*inputs!$E$27)</f>
        <v>2703401.3885628954</v>
      </c>
      <c r="E112" t="str">
        <f t="shared" ca="1" si="1"/>
        <v>=D75*(inputs!$E$26*inputs!$E$27)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</row>
    <row r="113" spans="1:125" s="12" customFormat="1" x14ac:dyDescent="0.25">
      <c r="A113" t="s">
        <v>16</v>
      </c>
      <c r="B113" t="s">
        <v>84</v>
      </c>
      <c r="C113" t="s">
        <v>91</v>
      </c>
      <c r="D113" s="10">
        <f>D76*(inputs!$E$26*inputs!$E$27)</f>
        <v>7467545.8133441219</v>
      </c>
      <c r="E113" t="str">
        <f t="shared" ca="1" si="1"/>
        <v>=D76*(inputs!$E$26*inputs!$E$27)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</row>
    <row r="114" spans="1:125" s="12" customFormat="1" x14ac:dyDescent="0.25">
      <c r="A114" t="s">
        <v>16</v>
      </c>
      <c r="B114" t="s">
        <v>84</v>
      </c>
      <c r="C114" t="s">
        <v>92</v>
      </c>
      <c r="D114" s="10">
        <f>D77*(inputs!$E$26*inputs!$E$27)</f>
        <v>1448993.8895679188</v>
      </c>
      <c r="E114" t="str">
        <f t="shared" ca="1" si="1"/>
        <v>=D77*(inputs!$E$26*inputs!$E$27)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</row>
    <row r="115" spans="1:125" s="12" customFormat="1" x14ac:dyDescent="0.25">
      <c r="A115" t="s">
        <v>16</v>
      </c>
      <c r="B115" t="s">
        <v>84</v>
      </c>
      <c r="C115" t="s">
        <v>93</v>
      </c>
      <c r="D115" s="10">
        <f>D78*(inputs!$E$26*inputs!$E$27)</f>
        <v>1405805.4309176905</v>
      </c>
      <c r="E115" t="str">
        <f t="shared" ca="1" si="1"/>
        <v>=D78*(inputs!$E$26*inputs!$E$27)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</row>
    <row r="116" spans="1:125" s="12" customFormat="1" x14ac:dyDescent="0.25">
      <c r="A116" t="s">
        <v>16</v>
      </c>
      <c r="B116" t="s">
        <v>84</v>
      </c>
      <c r="C116" t="s">
        <v>94</v>
      </c>
      <c r="D116" s="10">
        <f>D79*(inputs!$E$26*inputs!$E$27)</f>
        <v>1363904.2399184937</v>
      </c>
      <c r="E116" t="str">
        <f t="shared" ca="1" si="1"/>
        <v>=D79*(inputs!$E$26*inputs!$E$27)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</row>
    <row r="117" spans="1:125" s="12" customFormat="1" x14ac:dyDescent="0.25">
      <c r="A117" t="s">
        <v>16</v>
      </c>
      <c r="B117" t="s">
        <v>84</v>
      </c>
      <c r="C117" t="s">
        <v>95</v>
      </c>
      <c r="D117" s="10">
        <f>D80*(inputs!$E$26*inputs!$E$27)</f>
        <v>1323251.9484956805</v>
      </c>
      <c r="E117" t="str">
        <f t="shared" ca="1" si="1"/>
        <v>=D80*(inputs!$E$26*inputs!$E$27)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</row>
    <row r="118" spans="1:125" s="12" customFormat="1" x14ac:dyDescent="0.25">
      <c r="A118" t="s">
        <v>16</v>
      </c>
      <c r="B118" t="s">
        <v>84</v>
      </c>
      <c r="C118" t="s">
        <v>96</v>
      </c>
      <c r="D118" s="10">
        <f>D81*(inputs!$E$26*inputs!$E$27)</f>
        <v>1283811.3321667316</v>
      </c>
      <c r="E118" t="str">
        <f t="shared" ca="1" si="1"/>
        <v>=D81*(inputs!$E$26*inputs!$E$27)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</row>
    <row r="119" spans="1:125" s="12" customFormat="1" x14ac:dyDescent="0.25">
      <c r="A119" t="s">
        <v>16</v>
      </c>
      <c r="B119" t="s">
        <v>84</v>
      </c>
      <c r="C119" t="s">
        <v>97</v>
      </c>
      <c r="D119" s="10">
        <f>D82*(inputs!$E$26*inputs!$E$27)</f>
        <v>1245546.2759555483</v>
      </c>
      <c r="E119" t="str">
        <f t="shared" ca="1" si="1"/>
        <v>=D82*(inputs!$E$26*inputs!$E$27)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</row>
    <row r="120" spans="1:125" s="12" customFormat="1" x14ac:dyDescent="0.25">
      <c r="A120" t="s">
        <v>16</v>
      </c>
      <c r="B120" t="s">
        <v>84</v>
      </c>
      <c r="C120" t="s">
        <v>98</v>
      </c>
      <c r="D120" s="10">
        <f>D83*(inputs!$E$26*inputs!$E$27)</f>
        <v>1208421.7413226983</v>
      </c>
      <c r="E120" t="str">
        <f t="shared" ca="1" si="1"/>
        <v>=D83*(inputs!$E$26*inputs!$E$27)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</row>
    <row r="121" spans="1:125" s="12" customFormat="1" x14ac:dyDescent="0.25">
      <c r="A121" t="s">
        <v>16</v>
      </c>
      <c r="B121" t="s">
        <v>84</v>
      </c>
      <c r="C121" t="s">
        <v>99</v>
      </c>
      <c r="D121" s="10">
        <f>D84*(inputs!$E$26*inputs!$E$27)</f>
        <v>1172403.7340813328</v>
      </c>
      <c r="E121" t="str">
        <f t="shared" ca="1" si="1"/>
        <v>=D84*(inputs!$E$26*inputs!$E$27)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</row>
    <row r="122" spans="1:125" s="12" customFormat="1" x14ac:dyDescent="0.25">
      <c r="A122" t="s">
        <v>16</v>
      </c>
      <c r="B122" t="s">
        <v>84</v>
      </c>
      <c r="C122" t="s">
        <v>100</v>
      </c>
      <c r="D122" s="10">
        <f>D85*(inputs!$E$26*inputs!$E$27)</f>
        <v>1137459.2732693939</v>
      </c>
      <c r="E122" t="str">
        <f t="shared" ca="1" si="1"/>
        <v>=D85*(inputs!$E$26*inputs!$E$27)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</row>
    <row r="123" spans="1:125" s="12" customFormat="1" x14ac:dyDescent="0.25">
      <c r="A123" t="s">
        <v>16</v>
      </c>
      <c r="B123" t="s">
        <v>84</v>
      </c>
      <c r="C123" t="s">
        <v>101</v>
      </c>
      <c r="D123" s="10">
        <f>D86*(inputs!$E$26*inputs!$E$27)</f>
        <v>1103556.3609496166</v>
      </c>
      <c r="E123" t="str">
        <f t="shared" ca="1" si="1"/>
        <v>=D86*(inputs!$E$26*inputs!$E$27)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</row>
    <row r="124" spans="1:125" s="12" customFormat="1" x14ac:dyDescent="0.25">
      <c r="A124" t="s">
        <v>16</v>
      </c>
      <c r="B124" t="s">
        <v>84</v>
      </c>
      <c r="C124" t="s">
        <v>755</v>
      </c>
      <c r="D124" s="10">
        <f>D87*(inputs!E26*inputs!E27)</f>
        <v>15299669.567434922</v>
      </c>
      <c r="E124" t="str">
        <f t="shared" ca="1" si="1"/>
        <v>=D87*(inputs!E26*inputs!E27)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</row>
    <row r="125" spans="1:125" x14ac:dyDescent="0.25">
      <c r="A125" t="s">
        <v>16</v>
      </c>
      <c r="B125" t="s">
        <v>191</v>
      </c>
      <c r="C125" t="s">
        <v>824</v>
      </c>
      <c r="D125">
        <f>(D14+D26)*inputs!E28</f>
        <v>287234261.82110232</v>
      </c>
      <c r="E125" t="str">
        <f t="shared" ca="1" si="1"/>
        <v>=(D14+D26)*inputs!E28</v>
      </c>
    </row>
    <row r="126" spans="1:125" x14ac:dyDescent="0.25">
      <c r="A126" t="s">
        <v>16</v>
      </c>
      <c r="B126" t="s">
        <v>191</v>
      </c>
      <c r="C126" t="s">
        <v>825</v>
      </c>
      <c r="D126" s="10">
        <f>((D15+D27)*inputs!E28)/(inputs!E31^1)</f>
        <v>277697295.13159227</v>
      </c>
      <c r="E126" t="str">
        <f t="shared" ca="1" si="1"/>
        <v>=((D15+D27)*inputs!E28)/(inputs!E31^1)</v>
      </c>
    </row>
    <row r="127" spans="1:125" s="12" customFormat="1" x14ac:dyDescent="0.25">
      <c r="A127" t="s">
        <v>16</v>
      </c>
      <c r="B127" t="s">
        <v>191</v>
      </c>
      <c r="C127" t="s">
        <v>826</v>
      </c>
      <c r="D127" s="18">
        <f>(($D$16+$D$28)*inputs!$E$28)/(inputs!$E$31^2)</f>
        <v>13471014.904126221</v>
      </c>
      <c r="E127" s="17" t="str">
        <f t="shared" ca="1" si="1"/>
        <v>=(($D$16+$D$28)*inputs!$E$28)/(inputs!$E$31^2)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</row>
    <row r="128" spans="1:125" s="12" customFormat="1" x14ac:dyDescent="0.25">
      <c r="A128" t="s">
        <v>16</v>
      </c>
      <c r="B128" t="s">
        <v>191</v>
      </c>
      <c r="C128" t="s">
        <v>827</v>
      </c>
      <c r="D128" s="18">
        <f>(($D$17+$D$29)*inputs!$E$28)/(inputs!$E$31^3)</f>
        <v>13069500.188051781</v>
      </c>
      <c r="E128" s="17" t="str">
        <f ca="1">_xlfn.FORMULATEXT(D128)</f>
        <v>=(($D$17+$D$29)*inputs!$E$28)/(inputs!$E$31^3)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</row>
    <row r="129" spans="1:85" s="12" customFormat="1" x14ac:dyDescent="0.25">
      <c r="A129" t="s">
        <v>16</v>
      </c>
      <c r="B129" t="s">
        <v>191</v>
      </c>
      <c r="C129" t="s">
        <v>828</v>
      </c>
      <c r="D129" s="18">
        <f>(($D$18+$D$30)*inputs!$E$28)/(inputs!$E$31^4)</f>
        <v>12679952.949437035</v>
      </c>
      <c r="E129" s="17" t="str">
        <f t="shared" ca="1" si="1"/>
        <v>=(($D$18+$D$30)*inputs!$E$28)/(inputs!$E$31^4)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</row>
    <row r="130" spans="1:85" s="12" customFormat="1" x14ac:dyDescent="0.25">
      <c r="A130" t="s">
        <v>16</v>
      </c>
      <c r="B130" t="s">
        <v>191</v>
      </c>
      <c r="C130" t="s">
        <v>829</v>
      </c>
      <c r="D130" s="18">
        <f>(($D$19+$D$31)*inputs!$E$28)/(inputs!$E$31^5)</f>
        <v>12302016.487740226</v>
      </c>
      <c r="E130" s="17" t="str">
        <f t="shared" ca="1" si="1"/>
        <v>=(($D$19+$D$31)*inputs!$E$28)/(inputs!$E$31^5)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</row>
    <row r="131" spans="1:85" s="12" customFormat="1" x14ac:dyDescent="0.25">
      <c r="A131" t="s">
        <v>16</v>
      </c>
      <c r="B131" t="s">
        <v>191</v>
      </c>
      <c r="C131" t="s">
        <v>830</v>
      </c>
      <c r="D131" s="18">
        <f>(($D$20+$D$32)*inputs!$E$28)/(inputs!$E$31^6)</f>
        <v>11935344.734173598</v>
      </c>
      <c r="E131" s="17" t="str">
        <f t="shared" ca="1" si="1"/>
        <v>=(($D$20+$D$32)*inputs!$E$28)/(inputs!$E$31^6)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</row>
    <row r="132" spans="1:85" s="12" customFormat="1" x14ac:dyDescent="0.25">
      <c r="A132" t="s">
        <v>16</v>
      </c>
      <c r="B132" t="s">
        <v>191</v>
      </c>
      <c r="C132" t="s">
        <v>831</v>
      </c>
      <c r="D132" s="18">
        <f>(($D$21+$D$33)*inputs!$E$28)/(inputs!$E$31^7)</f>
        <v>11579601.934815221</v>
      </c>
      <c r="E132" s="17" t="str">
        <f t="shared" ref="E132:E148" ca="1" si="2">_xlfn.FORMULATEXT(D132)</f>
        <v>=(($D$21+$D$33)*inputs!$E$28)/(inputs!$E$31^7)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</row>
    <row r="133" spans="1:85" s="12" customFormat="1" x14ac:dyDescent="0.25">
      <c r="A133" t="s">
        <v>16</v>
      </c>
      <c r="B133" t="s">
        <v>191</v>
      </c>
      <c r="C133" t="s">
        <v>832</v>
      </c>
      <c r="D133" s="18">
        <f>(($D$22+$D$34)*inputs!$E$28)/(inputs!$E$31^8)</f>
        <v>11234462.343165873</v>
      </c>
      <c r="E133" s="17" t="str">
        <f t="shared" ca="1" si="2"/>
        <v>=(($D$22+$D$34)*inputs!$E$28)/(inputs!$E$31^8)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</row>
    <row r="134" spans="1:85" s="12" customFormat="1" x14ac:dyDescent="0.25">
      <c r="A134" t="s">
        <v>16</v>
      </c>
      <c r="B134" t="s">
        <v>191</v>
      </c>
      <c r="C134" t="s">
        <v>833</v>
      </c>
      <c r="D134" s="18">
        <f>(($D$23+$D$35)*inputs!$E$28)/(inputs!$E$31^9)</f>
        <v>10899609.921869569</v>
      </c>
      <c r="E134" s="17" t="str">
        <f t="shared" ca="1" si="2"/>
        <v>=(($D$23+$D$35)*inputs!$E$28)/(inputs!$E$31^9)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</row>
    <row r="135" spans="1:85" s="12" customFormat="1" x14ac:dyDescent="0.25">
      <c r="A135" t="s">
        <v>16</v>
      </c>
      <c r="B135" t="s">
        <v>191</v>
      </c>
      <c r="C135" t="s">
        <v>834</v>
      </c>
      <c r="D135" s="18">
        <f>(($D$24+$D$36)*inputs!$E$28)/(inputs!$E$31^10)</f>
        <v>10574738.053324526</v>
      </c>
      <c r="E135" s="17" t="str">
        <f t="shared" ca="1" si="2"/>
        <v>=(($D$24+$D$36)*inputs!$E$28)/(inputs!$E$31^10)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</row>
    <row r="136" spans="1:85" s="12" customFormat="1" x14ac:dyDescent="0.25">
      <c r="A136" t="s">
        <v>16</v>
      </c>
      <c r="B136" t="s">
        <v>191</v>
      </c>
      <c r="C136" t="s">
        <v>835</v>
      </c>
      <c r="D136" s="18">
        <f>(($D$25+$D$37)*inputs!$E$28)/(inputs!$E$31^11)</f>
        <v>10259549.258919608</v>
      </c>
      <c r="E136" s="17" t="str">
        <f t="shared" ca="1" si="2"/>
        <v>=(($D$25+$D$37)*inputs!$E$28)/(inputs!$E$31^11)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</row>
    <row r="137" spans="1:85" s="12" customFormat="1" x14ac:dyDescent="0.25">
      <c r="A137" t="s">
        <v>16</v>
      </c>
      <c r="B137" t="s">
        <v>192</v>
      </c>
      <c r="C137" t="s">
        <v>131</v>
      </c>
      <c r="D137" s="10">
        <f>D38*inputs!E29</f>
        <v>50265995.818692908</v>
      </c>
      <c r="E137" t="str">
        <f t="shared" ca="1" si="2"/>
        <v>=D38*inputs!E29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</row>
    <row r="138" spans="1:85" s="12" customFormat="1" x14ac:dyDescent="0.25">
      <c r="A138" t="s">
        <v>16</v>
      </c>
      <c r="B138" t="s">
        <v>192</v>
      </c>
      <c r="C138" t="s">
        <v>132</v>
      </c>
      <c r="D138" s="10">
        <f>(D39*inputs!E29)/(inputs!E31^1)</f>
        <v>138848647.56579614</v>
      </c>
      <c r="E138" t="str">
        <f t="shared" ca="1" si="2"/>
        <v>=(D39*inputs!E29)/(inputs!E31^1)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</row>
    <row r="139" spans="1:85" s="12" customFormat="1" x14ac:dyDescent="0.25">
      <c r="A139" t="s">
        <v>16</v>
      </c>
      <c r="B139" t="s">
        <v>192</v>
      </c>
      <c r="C139" t="s">
        <v>133</v>
      </c>
      <c r="D139" s="10">
        <f>(D40*inputs!$E$29)/(inputs!$E$31^2)</f>
        <v>6735507.4520631107</v>
      </c>
      <c r="E139" t="str">
        <f t="shared" ca="1" si="2"/>
        <v>=(D40*inputs!$E$29)/(inputs!$E$31^2)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</row>
    <row r="140" spans="1:85" s="12" customFormat="1" x14ac:dyDescent="0.25">
      <c r="A140" t="s">
        <v>16</v>
      </c>
      <c r="B140" t="s">
        <v>192</v>
      </c>
      <c r="C140" t="s">
        <v>134</v>
      </c>
      <c r="D140" s="10">
        <f>(D41*inputs!$E$29)/(inputs!$E$31^3)</f>
        <v>6534750.0940258894</v>
      </c>
      <c r="E140" t="str">
        <f t="shared" ca="1" si="2"/>
        <v>=(D41*inputs!$E$29)/(inputs!$E$31^3)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</row>
    <row r="141" spans="1:85" s="12" customFormat="1" x14ac:dyDescent="0.25">
      <c r="A141" t="s">
        <v>16</v>
      </c>
      <c r="B141" t="s">
        <v>192</v>
      </c>
      <c r="C141" t="s">
        <v>135</v>
      </c>
      <c r="D141" s="10">
        <f>(D42*inputs!$E$29)/(inputs!$E$31^4)</f>
        <v>6339976.4747185167</v>
      </c>
      <c r="E141" t="str">
        <f t="shared" ca="1" si="2"/>
        <v>=(D42*inputs!$E$29)/(inputs!$E$31^4)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</row>
    <row r="142" spans="1:85" s="12" customFormat="1" x14ac:dyDescent="0.25">
      <c r="A142" t="s">
        <v>16</v>
      </c>
      <c r="B142" t="s">
        <v>192</v>
      </c>
      <c r="C142" t="s">
        <v>136</v>
      </c>
      <c r="D142" s="10">
        <f>(D43*inputs!$E$29)/(inputs!$E$31^5)</f>
        <v>6151008.2438701121</v>
      </c>
      <c r="E142" t="str">
        <f t="shared" ca="1" si="2"/>
        <v>=(D43*inputs!$E$29)/(inputs!$E$31^5)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</row>
    <row r="143" spans="1:85" s="12" customFormat="1" x14ac:dyDescent="0.25">
      <c r="A143" t="s">
        <v>16</v>
      </c>
      <c r="B143" t="s">
        <v>192</v>
      </c>
      <c r="C143" t="s">
        <v>137</v>
      </c>
      <c r="D143" s="10">
        <f>(D44*inputs!$E$29)/(inputs!$E$31^6)</f>
        <v>5967672.3670867989</v>
      </c>
      <c r="E143" t="str">
        <f t="shared" ca="1" si="2"/>
        <v>=(D44*inputs!$E$29)/(inputs!$E$31^6)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</row>
    <row r="144" spans="1:85" s="12" customFormat="1" x14ac:dyDescent="0.25">
      <c r="A144" t="s">
        <v>16</v>
      </c>
      <c r="B144" t="s">
        <v>192</v>
      </c>
      <c r="C144" t="s">
        <v>138</v>
      </c>
      <c r="D144" s="10">
        <f>(D45*inputs!$E$29)/(inputs!$E$31^7)</f>
        <v>5789800.9674076093</v>
      </c>
      <c r="E144" t="str">
        <f t="shared" ca="1" si="2"/>
        <v>=(D45*inputs!$E$29)/(inputs!$E$31^7)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</row>
    <row r="145" spans="1:119" s="12" customFormat="1" x14ac:dyDescent="0.25">
      <c r="A145" s="12" t="s">
        <v>16</v>
      </c>
      <c r="B145" s="12" t="s">
        <v>192</v>
      </c>
      <c r="C145" s="12" t="s">
        <v>139</v>
      </c>
      <c r="D145" s="13">
        <f>(D46*inputs!$E$29)/(inputs!$E$31^8)</f>
        <v>5617231.1715829363</v>
      </c>
      <c r="E145" s="12" t="str">
        <f t="shared" ca="1" si="2"/>
        <v>=(D46*inputs!$E$29)/(inputs!$E$31^8)</v>
      </c>
    </row>
    <row r="146" spans="1:119" s="12" customFormat="1" x14ac:dyDescent="0.25">
      <c r="A146" s="12" t="s">
        <v>16</v>
      </c>
      <c r="B146" s="12" t="s">
        <v>192</v>
      </c>
      <c r="C146" s="12" t="s">
        <v>140</v>
      </c>
      <c r="D146" s="13">
        <f>(D47*inputs!$E$29)/(inputs!$E$31^9)</f>
        <v>5449804.9609347843</v>
      </c>
      <c r="E146" s="12" t="str">
        <f t="shared" ca="1" si="2"/>
        <v>=(D47*inputs!$E$29)/(inputs!$E$31^9)</v>
      </c>
    </row>
    <row r="147" spans="1:119" s="12" customFormat="1" x14ac:dyDescent="0.25">
      <c r="A147" s="12" t="s">
        <v>16</v>
      </c>
      <c r="B147" s="12" t="s">
        <v>192</v>
      </c>
      <c r="C147" s="12" t="s">
        <v>141</v>
      </c>
      <c r="D147" s="13">
        <f>(D48*inputs!$E$29)/(inputs!$E$31^10)</f>
        <v>5287369.0266622622</v>
      </c>
      <c r="E147" s="12" t="str">
        <f t="shared" ca="1" si="2"/>
        <v>=(D48*inputs!$E$29)/(inputs!$E$31^10)</v>
      </c>
    </row>
    <row r="148" spans="1:119" s="12" customFormat="1" x14ac:dyDescent="0.25">
      <c r="A148" s="12" t="s">
        <v>16</v>
      </c>
      <c r="B148" s="12" t="s">
        <v>192</v>
      </c>
      <c r="C148" s="12" t="s">
        <v>142</v>
      </c>
      <c r="D148" s="13">
        <f>(D49*inputs!$E$29)/(inputs!$E$31^11)</f>
        <v>5129774.6294598039</v>
      </c>
      <c r="E148" s="12" t="str">
        <f t="shared" ca="1" si="2"/>
        <v>=(D49*inputs!$E$29)/(inputs!$E$31^11)</v>
      </c>
    </row>
    <row r="149" spans="1:119" x14ac:dyDescent="0.25">
      <c r="A149" t="s">
        <v>32</v>
      </c>
      <c r="B149" t="s">
        <v>289</v>
      </c>
      <c r="C149" t="s">
        <v>252</v>
      </c>
      <c r="D149" s="10">
        <f>(D2*inputs!E39*inputs!E50*inputs!E61)-inputs!E32*(D2*inputs!E39*inputs!E50*inputs!E61)</f>
        <v>31005.364411002916</v>
      </c>
      <c r="E149" t="str">
        <f ca="1">_xlfn.FORMULATEXT(D149)</f>
        <v>=(D2*inputs!E39*inputs!E50*inputs!E61)-inputs!E32*(D2*inputs!E39*inputs!E50*inputs!E61)</v>
      </c>
    </row>
    <row r="150" spans="1:119" x14ac:dyDescent="0.25">
      <c r="A150" t="s">
        <v>32</v>
      </c>
      <c r="B150" t="s">
        <v>289</v>
      </c>
      <c r="C150" t="s">
        <v>279</v>
      </c>
      <c r="D150" s="28">
        <f>(D2*inputs!E40*inputs!E51*inputs!E62)-inputs!E32*(D2*inputs!E40*inputs!E51*inputs!E62)</f>
        <v>21356.39208392732</v>
      </c>
      <c r="E150" t="str">
        <f ca="1">_xlfn.FORMULATEXT(D150)</f>
        <v>=(D2*inputs!E40*inputs!E51*inputs!E62)-inputs!E32*(D2*inputs!E40*inputs!E51*inputs!E62)</v>
      </c>
    </row>
    <row r="151" spans="1:119" s="14" customFormat="1" x14ac:dyDescent="0.25">
      <c r="A151" t="s">
        <v>32</v>
      </c>
      <c r="B151" t="s">
        <v>289</v>
      </c>
      <c r="C151" t="s">
        <v>280</v>
      </c>
      <c r="D151" s="10">
        <f>(D3*inputs!E41*inputs!E52*inputs!E63)-inputs!E33*(D3*inputs!E41*inputs!E52*inputs!E63)</f>
        <v>0</v>
      </c>
      <c r="E151" t="str">
        <f ca="1">_xlfn.FORMULATEXT(D151)</f>
        <v>=(D3*inputs!E41*inputs!E52*inputs!E63)-inputs!E33*(D3*inputs!E41*inputs!E52*inputs!E63)</v>
      </c>
      <c r="F151" t="s">
        <v>814</v>
      </c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</row>
    <row r="152" spans="1:119" s="14" customFormat="1" x14ac:dyDescent="0.25">
      <c r="A152" t="s">
        <v>32</v>
      </c>
      <c r="B152" t="s">
        <v>289</v>
      </c>
      <c r="C152" t="s">
        <v>281</v>
      </c>
      <c r="D152" s="10">
        <f>(D3*inputs!E42*inputs!E53*inputs!E64)-inputs!E33*(D3*inputs!E42*inputs!E53*inputs!E64)</f>
        <v>0</v>
      </c>
      <c r="E152" t="str">
        <f t="shared" ref="E152:E214" ca="1" si="3">_xlfn.FORMULATEXT(D152)</f>
        <v>=(D3*inputs!E42*inputs!E53*inputs!E64)-inputs!E33*(D3*inputs!E42*inputs!E53*inputs!E64)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</row>
    <row r="153" spans="1:119" s="14" customFormat="1" x14ac:dyDescent="0.25">
      <c r="A153" t="s">
        <v>32</v>
      </c>
      <c r="B153" t="s">
        <v>289</v>
      </c>
      <c r="C153" t="s">
        <v>282</v>
      </c>
      <c r="D153" s="10">
        <f>(D3*inputs!E43*inputs!E54*inputs!E65)-inputs!E33*(D3*inputs!E43*inputs!E54*inputs!E65)</f>
        <v>0</v>
      </c>
      <c r="E153" t="str">
        <f t="shared" ca="1" si="3"/>
        <v>=(D3*inputs!E43*inputs!E54*inputs!E65)-inputs!E33*(D3*inputs!E43*inputs!E54*inputs!E65)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</row>
    <row r="154" spans="1:119" s="14" customFormat="1" x14ac:dyDescent="0.25">
      <c r="A154" t="s">
        <v>32</v>
      </c>
      <c r="B154" t="s">
        <v>289</v>
      </c>
      <c r="C154" t="s">
        <v>283</v>
      </c>
      <c r="D154" s="10">
        <f>(D3*inputs!E44*inputs!E55*inputs!E66)-inputs!E33*(D3*inputs!E44*inputs!E55*inputs!E66)</f>
        <v>0</v>
      </c>
      <c r="E154" t="str">
        <f t="shared" ca="1" si="3"/>
        <v>=(D3*inputs!E44*inputs!E55*inputs!E66)-inputs!E33*(D3*inputs!E44*inputs!E55*inputs!E66)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</row>
    <row r="155" spans="1:119" s="14" customFormat="1" x14ac:dyDescent="0.25">
      <c r="A155" t="s">
        <v>32</v>
      </c>
      <c r="B155" t="s">
        <v>289</v>
      </c>
      <c r="C155" t="s">
        <v>284</v>
      </c>
      <c r="D155" s="10">
        <f>(D3*inputs!E45*inputs!E56*inputs!E67)-inputs!E33*(D3*inputs!E45*inputs!E56*inputs!E67)</f>
        <v>27348.321004395963</v>
      </c>
      <c r="E155" t="str">
        <f t="shared" ca="1" si="3"/>
        <v>=(D3*inputs!E45*inputs!E56*inputs!E67)-inputs!E33*(D3*inputs!E45*inputs!E56*inputs!E67)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</row>
    <row r="156" spans="1:119" s="14" customFormat="1" x14ac:dyDescent="0.25">
      <c r="A156" t="s">
        <v>32</v>
      </c>
      <c r="B156" t="s">
        <v>289</v>
      </c>
      <c r="C156" t="s">
        <v>285</v>
      </c>
      <c r="D156" s="10">
        <f>(D3*inputs!E46*inputs!E57*inputs!E68)-inputs!E33*(D3*inputs!E46*inputs!E57*inputs!E68)</f>
        <v>16251.124535719164</v>
      </c>
      <c r="E156" t="str">
        <f t="shared" ca="1" si="3"/>
        <v>=(D3*inputs!E46*inputs!E57*inputs!E68)-inputs!E33*(D3*inputs!E46*inputs!E57*inputs!E68)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</row>
    <row r="157" spans="1:119" s="14" customFormat="1" x14ac:dyDescent="0.25">
      <c r="A157" t="s">
        <v>32</v>
      </c>
      <c r="B157" t="s">
        <v>289</v>
      </c>
      <c r="C157" t="s">
        <v>286</v>
      </c>
      <c r="D157" s="10">
        <f>(D3*inputs!E47*inputs!E58*inputs!E69)-inputs!E33*(D3*inputs!E47*inputs!E58*inputs!E69)</f>
        <v>0</v>
      </c>
      <c r="E157" t="str">
        <f t="shared" ca="1" si="3"/>
        <v>=(D3*inputs!E47*inputs!E58*inputs!E69)-inputs!E33*(D3*inputs!E47*inputs!E58*inputs!E69)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</row>
    <row r="158" spans="1:119" s="14" customFormat="1" x14ac:dyDescent="0.25">
      <c r="A158" t="s">
        <v>32</v>
      </c>
      <c r="B158" t="s">
        <v>289</v>
      </c>
      <c r="C158" t="s">
        <v>287</v>
      </c>
      <c r="D158" s="10">
        <f>(D3*inputs!E48*inputs!E59*inputs!E70)-inputs!E33*(D3*inputs!E48*inputs!E59*inputs!E70)</f>
        <v>0</v>
      </c>
      <c r="E158" t="str">
        <f t="shared" ca="1" si="3"/>
        <v>=(D3*inputs!E48*inputs!E59*inputs!E70)-inputs!E33*(D3*inputs!E48*inputs!E59*inputs!E70)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</row>
    <row r="159" spans="1:119" s="14" customFormat="1" x14ac:dyDescent="0.25">
      <c r="A159" t="s">
        <v>32</v>
      </c>
      <c r="B159" t="s">
        <v>289</v>
      </c>
      <c r="C159" t="s">
        <v>288</v>
      </c>
      <c r="D159" s="10">
        <f>(D3*inputs!E49*inputs!E60*inputs!E71)-inputs!E33*(D3*inputs!E49*inputs!E60*inputs!E71)</f>
        <v>0</v>
      </c>
      <c r="E159" t="str">
        <f t="shared" ca="1" si="3"/>
        <v>=(D3*inputs!E49*inputs!E60*inputs!E71)-inputs!E33*(D3*inputs!E49*inputs!E60*inputs!E71)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</row>
    <row r="160" spans="1:119" x14ac:dyDescent="0.25">
      <c r="A160" t="s">
        <v>32</v>
      </c>
      <c r="B160" t="s">
        <v>290</v>
      </c>
      <c r="C160" t="s">
        <v>291</v>
      </c>
      <c r="D160" s="10">
        <f>$D$155-$D$155*inputs!$E$33</f>
        <v>27340.116508094645</v>
      </c>
      <c r="E160" t="str">
        <f t="shared" ca="1" si="3"/>
        <v>=$D$155-$D$155*inputs!$E$33</v>
      </c>
    </row>
    <row r="161" spans="1:119" s="16" customFormat="1" x14ac:dyDescent="0.25">
      <c r="A161" t="s">
        <v>32</v>
      </c>
      <c r="B161" t="s">
        <v>290</v>
      </c>
      <c r="C161" t="s">
        <v>292</v>
      </c>
      <c r="D161" s="10">
        <f>D160-D160*inputs!$E$33</f>
        <v>27331.914473142217</v>
      </c>
      <c r="E161" t="str">
        <f t="shared" ca="1" si="3"/>
        <v>=D160-D160*inputs!$E$33</v>
      </c>
      <c r="F161" t="s">
        <v>815</v>
      </c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</row>
    <row r="162" spans="1:119" s="16" customFormat="1" x14ac:dyDescent="0.25">
      <c r="A162" t="s">
        <v>32</v>
      </c>
      <c r="B162" t="s">
        <v>290</v>
      </c>
      <c r="C162" t="s">
        <v>293</v>
      </c>
      <c r="D162" s="10">
        <f>D161-D161*inputs!$E$33</f>
        <v>27323.714898800274</v>
      </c>
      <c r="E162" t="str">
        <f t="shared" ca="1" si="3"/>
        <v>=D161-D161*inputs!$E$33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</row>
    <row r="163" spans="1:119" s="16" customFormat="1" x14ac:dyDescent="0.25">
      <c r="A163" t="s">
        <v>32</v>
      </c>
      <c r="B163" t="s">
        <v>290</v>
      </c>
      <c r="C163" t="s">
        <v>294</v>
      </c>
      <c r="D163" s="10">
        <f>D162-D162*inputs!$E$33</f>
        <v>27315.517784330634</v>
      </c>
      <c r="E163" t="str">
        <f t="shared" ca="1" si="3"/>
        <v>=D162-D162*inputs!$E$33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</row>
    <row r="164" spans="1:119" s="16" customFormat="1" x14ac:dyDescent="0.25">
      <c r="A164" t="s">
        <v>32</v>
      </c>
      <c r="B164" t="s">
        <v>290</v>
      </c>
      <c r="C164" t="s">
        <v>295</v>
      </c>
      <c r="D164" s="10">
        <f>D163-D163*inputs!$E$34</f>
        <v>27307.323128995333</v>
      </c>
      <c r="E164" t="str">
        <f t="shared" ca="1" si="3"/>
        <v>=D163-D163*inputs!$E$34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</row>
    <row r="165" spans="1:119" s="16" customFormat="1" x14ac:dyDescent="0.25">
      <c r="A165" t="s">
        <v>32</v>
      </c>
      <c r="B165" t="s">
        <v>290</v>
      </c>
      <c r="C165" t="s">
        <v>296</v>
      </c>
      <c r="D165" s="10">
        <f>D164-D164*inputs!$E$34</f>
        <v>27299.130932056632</v>
      </c>
      <c r="E165" t="str">
        <f t="shared" ca="1" si="3"/>
        <v>=D164-D164*inputs!$E$34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</row>
    <row r="166" spans="1:119" s="16" customFormat="1" x14ac:dyDescent="0.25">
      <c r="A166" t="s">
        <v>32</v>
      </c>
      <c r="B166" t="s">
        <v>290</v>
      </c>
      <c r="C166" t="s">
        <v>297</v>
      </c>
      <c r="D166" s="10">
        <f>D165-D165*inputs!$E$34</f>
        <v>27290.941192777016</v>
      </c>
      <c r="E166" t="str">
        <f t="shared" ca="1" si="3"/>
        <v>=D165-D165*inputs!$E$34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</row>
    <row r="167" spans="1:119" s="16" customFormat="1" x14ac:dyDescent="0.25">
      <c r="A167" t="s">
        <v>32</v>
      </c>
      <c r="B167" t="s">
        <v>290</v>
      </c>
      <c r="C167" t="s">
        <v>298</v>
      </c>
      <c r="D167" s="10">
        <f>D166-D166*inputs!$E$34</f>
        <v>27282.753910419182</v>
      </c>
      <c r="E167" t="str">
        <f t="shared" ca="1" si="3"/>
        <v>=D166-D166*inputs!$E$34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</row>
    <row r="168" spans="1:119" s="16" customFormat="1" x14ac:dyDescent="0.25">
      <c r="A168" t="s">
        <v>32</v>
      </c>
      <c r="B168" t="s">
        <v>290</v>
      </c>
      <c r="C168" t="s">
        <v>299</v>
      </c>
      <c r="D168" s="10">
        <f>D167-D167*inputs!$E$34</f>
        <v>27274.569084246057</v>
      </c>
      <c r="E168" t="str">
        <f t="shared" ca="1" si="3"/>
        <v>=D167-D167*inputs!$E$34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</row>
    <row r="169" spans="1:119" s="16" customFormat="1" x14ac:dyDescent="0.25">
      <c r="A169" t="s">
        <v>32</v>
      </c>
      <c r="B169" t="s">
        <v>290</v>
      </c>
      <c r="C169" t="s">
        <v>300</v>
      </c>
      <c r="D169" s="10">
        <f>D168-D168*inputs!$E$35</f>
        <v>27266.386713520784</v>
      </c>
      <c r="E169" t="str">
        <f t="shared" ca="1" si="3"/>
        <v>=D168-D168*inputs!$E$35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</row>
    <row r="170" spans="1:119" s="16" customFormat="1" x14ac:dyDescent="0.25">
      <c r="A170" t="s">
        <v>32</v>
      </c>
      <c r="B170" t="s">
        <v>290</v>
      </c>
      <c r="C170" t="s">
        <v>301</v>
      </c>
      <c r="D170" s="10">
        <f>D169-D169*inputs!$E$35</f>
        <v>27258.206797506729</v>
      </c>
      <c r="E170" t="str">
        <f t="shared" ca="1" si="3"/>
        <v>=D169-D169*inputs!$E$35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</row>
    <row r="171" spans="1:119" s="16" customFormat="1" x14ac:dyDescent="0.25">
      <c r="A171" t="s">
        <v>32</v>
      </c>
      <c r="B171" t="s">
        <v>290</v>
      </c>
      <c r="C171" t="s">
        <v>302</v>
      </c>
      <c r="D171" s="10">
        <f>D170-D170*inputs!$E$35</f>
        <v>27250.029335467476</v>
      </c>
      <c r="E171" t="str">
        <f t="shared" ca="1" si="3"/>
        <v>=D170-D170*inputs!$E$35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</row>
    <row r="172" spans="1:119" s="16" customFormat="1" x14ac:dyDescent="0.25">
      <c r="A172" t="s">
        <v>32</v>
      </c>
      <c r="B172" t="s">
        <v>290</v>
      </c>
      <c r="C172" t="s">
        <v>303</v>
      </c>
      <c r="D172" s="10">
        <f>D171-D171*inputs!$E$35</f>
        <v>27241.854326666835</v>
      </c>
      <c r="E172" t="str">
        <f t="shared" ca="1" si="3"/>
        <v>=D171-D171*inputs!$E$35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</row>
    <row r="173" spans="1:119" s="16" customFormat="1" x14ac:dyDescent="0.25">
      <c r="A173" t="s">
        <v>32</v>
      </c>
      <c r="B173" t="s">
        <v>290</v>
      </c>
      <c r="C173" t="s">
        <v>304</v>
      </c>
      <c r="D173" s="10">
        <f>D172-D172*inputs!$E$35</f>
        <v>27233.681770368836</v>
      </c>
      <c r="E173" t="str">
        <f t="shared" ca="1" si="3"/>
        <v>=D172-D172*inputs!$E$35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</row>
    <row r="174" spans="1:119" s="16" customFormat="1" x14ac:dyDescent="0.25">
      <c r="A174" t="s">
        <v>32</v>
      </c>
      <c r="B174" t="s">
        <v>290</v>
      </c>
      <c r="C174" t="s">
        <v>305</v>
      </c>
      <c r="D174" s="10">
        <f>D173-D173*inputs!$E$35</f>
        <v>27225.511665837726</v>
      </c>
      <c r="E174" t="str">
        <f t="shared" ca="1" si="3"/>
        <v>=D173-D173*inputs!$E$35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</row>
    <row r="175" spans="1:119" s="16" customFormat="1" x14ac:dyDescent="0.25">
      <c r="A175" t="s">
        <v>32</v>
      </c>
      <c r="B175" t="s">
        <v>290</v>
      </c>
      <c r="C175" t="s">
        <v>306</v>
      </c>
      <c r="D175" s="10">
        <f>D174-D174*inputs!$E$35</f>
        <v>27217.344012337977</v>
      </c>
      <c r="E175" t="str">
        <f t="shared" ca="1" si="3"/>
        <v>=D174-D174*inputs!$E$35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</row>
    <row r="176" spans="1:119" s="16" customFormat="1" x14ac:dyDescent="0.25">
      <c r="A176" t="s">
        <v>32</v>
      </c>
      <c r="B176" t="s">
        <v>290</v>
      </c>
      <c r="C176" t="s">
        <v>307</v>
      </c>
      <c r="D176" s="10">
        <f>D175-D175*inputs!$E$35</f>
        <v>27209.178809134275</v>
      </c>
      <c r="E176" t="str">
        <f t="shared" ca="1" si="3"/>
        <v>=D175-D175*inputs!$E$35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</row>
    <row r="177" spans="1:121" s="16" customFormat="1" x14ac:dyDescent="0.25">
      <c r="A177" t="s">
        <v>32</v>
      </c>
      <c r="B177" t="s">
        <v>290</v>
      </c>
      <c r="C177" t="s">
        <v>308</v>
      </c>
      <c r="D177" s="10">
        <f>D176-D176*inputs!$E$35</f>
        <v>27201.016055491535</v>
      </c>
      <c r="E177" t="str">
        <f t="shared" ca="1" si="3"/>
        <v>=D176-D176*inputs!$E$35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</row>
    <row r="178" spans="1:121" s="16" customFormat="1" x14ac:dyDescent="0.25">
      <c r="A178" t="s">
        <v>32</v>
      </c>
      <c r="B178" t="s">
        <v>290</v>
      </c>
      <c r="C178" t="s">
        <v>309</v>
      </c>
      <c r="D178" s="10">
        <f>D177-D177*inputs!$E$35</f>
        <v>27192.855750674888</v>
      </c>
      <c r="E178" t="str">
        <f t="shared" ca="1" si="3"/>
        <v>=D177-D177*inputs!$E$35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</row>
    <row r="179" spans="1:121" s="16" customFormat="1" x14ac:dyDescent="0.25">
      <c r="A179" t="s">
        <v>32</v>
      </c>
      <c r="B179" t="s">
        <v>290</v>
      </c>
      <c r="C179" t="s">
        <v>310</v>
      </c>
      <c r="D179" s="10">
        <f>D178-D178*inputs!$E$36</f>
        <v>27165.662894924211</v>
      </c>
      <c r="E179" t="str">
        <f t="shared" ca="1" si="3"/>
        <v>=D178-D178*inputs!$E$36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</row>
    <row r="180" spans="1:121" s="16" customFormat="1" x14ac:dyDescent="0.25">
      <c r="A180" t="s">
        <v>32</v>
      </c>
      <c r="B180" t="s">
        <v>290</v>
      </c>
      <c r="C180" t="s">
        <v>311</v>
      </c>
      <c r="D180" s="10">
        <f>D179-D179*inputs!$E$36</f>
        <v>27138.497232029287</v>
      </c>
      <c r="E180" t="str">
        <f t="shared" ca="1" si="3"/>
        <v>=D179-D179*inputs!$E$36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</row>
    <row r="181" spans="1:121" s="16" customFormat="1" x14ac:dyDescent="0.25">
      <c r="A181" t="s">
        <v>32</v>
      </c>
      <c r="B181" t="s">
        <v>290</v>
      </c>
      <c r="C181" t="s">
        <v>312</v>
      </c>
      <c r="D181" s="10">
        <f>D180-D180*inputs!$E$36</f>
        <v>27111.358734797257</v>
      </c>
      <c r="E181" t="str">
        <f t="shared" ca="1" si="3"/>
        <v>=D180-D180*inputs!$E$36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</row>
    <row r="182" spans="1:121" s="16" customFormat="1" x14ac:dyDescent="0.25">
      <c r="A182" t="s">
        <v>32</v>
      </c>
      <c r="B182" t="s">
        <v>290</v>
      </c>
      <c r="C182" t="s">
        <v>313</v>
      </c>
      <c r="D182" s="10">
        <f>D181-D181*inputs!$E$36</f>
        <v>27084.24737606246</v>
      </c>
      <c r="E182" t="str">
        <f t="shared" ca="1" si="3"/>
        <v>=D181-D181*inputs!$E$36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</row>
    <row r="183" spans="1:121" s="16" customFormat="1" x14ac:dyDescent="0.25">
      <c r="A183" t="s">
        <v>32</v>
      </c>
      <c r="B183" t="s">
        <v>290</v>
      </c>
      <c r="C183" t="s">
        <v>314</v>
      </c>
      <c r="D183" s="18">
        <f>D182-D182*inputs!$E$36</f>
        <v>27057.163128686396</v>
      </c>
      <c r="E183" s="17" t="str">
        <f t="shared" ca="1" si="3"/>
        <v>=D182-D182*inputs!$E$36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</row>
    <row r="184" spans="1:121" s="16" customFormat="1" x14ac:dyDescent="0.25">
      <c r="A184" t="s">
        <v>32</v>
      </c>
      <c r="B184" t="s">
        <v>290</v>
      </c>
      <c r="C184" t="s">
        <v>315</v>
      </c>
      <c r="D184" s="10">
        <f>D183-D183*inputs!$E$37</f>
        <v>27003.048802429024</v>
      </c>
      <c r="E184" t="str">
        <f t="shared" ca="1" si="3"/>
        <v>=D183-D183*inputs!$E$37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</row>
    <row r="185" spans="1:121" s="16" customFormat="1" x14ac:dyDescent="0.25">
      <c r="A185" t="s">
        <v>32</v>
      </c>
      <c r="B185" t="s">
        <v>290</v>
      </c>
      <c r="C185" t="s">
        <v>316</v>
      </c>
      <c r="D185" s="10">
        <f>D184-D184*inputs!$E$37</f>
        <v>26949.042704824165</v>
      </c>
      <c r="E185" t="str">
        <f t="shared" ca="1" si="3"/>
        <v>=D184-D184*inputs!$E$37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</row>
    <row r="186" spans="1:121" s="16" customFormat="1" x14ac:dyDescent="0.25">
      <c r="A186" t="s">
        <v>32</v>
      </c>
      <c r="B186" t="s">
        <v>290</v>
      </c>
      <c r="C186" t="s">
        <v>317</v>
      </c>
      <c r="D186" s="10">
        <f>D185-D185*inputs!$E$37</f>
        <v>26895.144619414517</v>
      </c>
      <c r="E186" t="str">
        <f t="shared" ca="1" si="3"/>
        <v>=D185-D185*inputs!$E$37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</row>
    <row r="187" spans="1:121" s="16" customFormat="1" x14ac:dyDescent="0.25">
      <c r="A187" t="s">
        <v>32</v>
      </c>
      <c r="B187" t="s">
        <v>290</v>
      </c>
      <c r="C187" t="s">
        <v>318</v>
      </c>
      <c r="D187" s="10">
        <f>D186-D186*inputs!$E$37</f>
        <v>26841.354330175687</v>
      </c>
      <c r="E187" t="str">
        <f t="shared" ca="1" si="3"/>
        <v>=D186-D186*inputs!$E$37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</row>
    <row r="188" spans="1:121" s="16" customFormat="1" x14ac:dyDescent="0.25">
      <c r="A188" t="s">
        <v>32</v>
      </c>
      <c r="B188" t="s">
        <v>290</v>
      </c>
      <c r="C188" t="s">
        <v>319</v>
      </c>
      <c r="D188" s="10">
        <f>D187-D187*inputs!$E$38</f>
        <v>26787.671621515336</v>
      </c>
      <c r="E188" t="str">
        <f t="shared" ca="1" si="3"/>
        <v>=D187-D187*inputs!$E$38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</row>
    <row r="189" spans="1:121" s="16" customFormat="1" x14ac:dyDescent="0.25">
      <c r="A189" t="s">
        <v>32</v>
      </c>
      <c r="B189" t="s">
        <v>290</v>
      </c>
      <c r="C189" t="s">
        <v>320</v>
      </c>
      <c r="D189" s="10">
        <f>D188-D188*inputs!$E$38</f>
        <v>26734.096278272304</v>
      </c>
      <c r="E189" t="str">
        <f t="shared" ca="1" si="3"/>
        <v>=D188-D188*inputs!$E$38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</row>
    <row r="190" spans="1:121" s="16" customFormat="1" x14ac:dyDescent="0.25">
      <c r="A190" t="s">
        <v>32</v>
      </c>
      <c r="B190" t="s">
        <v>290</v>
      </c>
      <c r="C190" t="s">
        <v>321</v>
      </c>
      <c r="D190" s="10">
        <f>D189-D189*inputs!$E$38</f>
        <v>26680.628085715758</v>
      </c>
      <c r="E190" t="str">
        <f t="shared" ca="1" si="3"/>
        <v>=D189-D189*inputs!$E$38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</row>
    <row r="191" spans="1:121" s="16" customFormat="1" x14ac:dyDescent="0.25">
      <c r="A191" t="s">
        <v>32</v>
      </c>
      <c r="B191" t="s">
        <v>290</v>
      </c>
      <c r="C191" t="s">
        <v>322</v>
      </c>
      <c r="D191" s="10">
        <f>D190-D190*inputs!$E$38</f>
        <v>26627.266829544325</v>
      </c>
      <c r="E191" t="str">
        <f t="shared" ca="1" si="3"/>
        <v>=D190-D190*inputs!$E$38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</row>
    <row r="192" spans="1:121" s="16" customFormat="1" x14ac:dyDescent="0.25">
      <c r="A192" t="s">
        <v>32</v>
      </c>
      <c r="B192" t="s">
        <v>290</v>
      </c>
      <c r="C192" t="s">
        <v>323</v>
      </c>
      <c r="D192" s="10">
        <f>D191-D191*inputs!$E$38</f>
        <v>26574.012295885237</v>
      </c>
      <c r="E192" t="str">
        <f t="shared" ca="1" si="3"/>
        <v>=D191-D191*inputs!$E$38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</row>
    <row r="193" spans="1:121" s="16" customFormat="1" x14ac:dyDescent="0.25">
      <c r="A193" t="s">
        <v>32</v>
      </c>
      <c r="B193" t="s">
        <v>290</v>
      </c>
      <c r="C193" t="s">
        <v>324</v>
      </c>
      <c r="D193" s="10">
        <f>D192-D192*inputs!$E$38</f>
        <v>26520.864271293467</v>
      </c>
      <c r="E193" t="str">
        <f t="shared" ca="1" si="3"/>
        <v>=D192-D192*inputs!$E$38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</row>
    <row r="194" spans="1:121" s="16" customFormat="1" x14ac:dyDescent="0.25">
      <c r="A194" t="s">
        <v>32</v>
      </c>
      <c r="B194" t="s">
        <v>290</v>
      </c>
      <c r="C194" t="s">
        <v>325</v>
      </c>
      <c r="D194" s="10">
        <f>D193-D193*inputs!$E$38</f>
        <v>26467.822542750881</v>
      </c>
      <c r="E194" t="str">
        <f t="shared" ca="1" si="3"/>
        <v>=D193-D193*inputs!$E$38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</row>
    <row r="195" spans="1:121" s="16" customFormat="1" x14ac:dyDescent="0.25">
      <c r="A195" t="s">
        <v>32</v>
      </c>
      <c r="B195" t="s">
        <v>290</v>
      </c>
      <c r="C195" t="s">
        <v>326</v>
      </c>
      <c r="D195" s="10">
        <f>D194-D194*inputs!$E$38</f>
        <v>26414.886897665379</v>
      </c>
      <c r="E195" t="str">
        <f t="shared" ca="1" si="3"/>
        <v>=D194-D194*inputs!$E$38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</row>
    <row r="196" spans="1:121" s="16" customFormat="1" x14ac:dyDescent="0.25">
      <c r="A196" t="s">
        <v>32</v>
      </c>
      <c r="B196" t="s">
        <v>290</v>
      </c>
      <c r="C196" t="s">
        <v>327</v>
      </c>
      <c r="D196" s="10">
        <f>D195-D195*inputs!$E$38</f>
        <v>26362.05712387005</v>
      </c>
      <c r="E196" t="str">
        <f t="shared" ca="1" si="3"/>
        <v>=D195-D195*inputs!$E$38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</row>
    <row r="197" spans="1:121" s="16" customFormat="1" x14ac:dyDescent="0.25">
      <c r="A197" t="s">
        <v>32</v>
      </c>
      <c r="B197" t="s">
        <v>290</v>
      </c>
      <c r="C197" t="s">
        <v>328</v>
      </c>
      <c r="D197" s="10">
        <f>D196-D196*inputs!$E$38</f>
        <v>26309.333009622311</v>
      </c>
      <c r="E197" t="str">
        <f t="shared" ca="1" si="3"/>
        <v>=D196-D196*inputs!$E$38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</row>
    <row r="198" spans="1:121" s="16" customFormat="1" x14ac:dyDescent="0.25">
      <c r="A198" t="s">
        <v>32</v>
      </c>
      <c r="B198" t="s">
        <v>290</v>
      </c>
      <c r="C198" t="s">
        <v>329</v>
      </c>
      <c r="D198" s="10">
        <f>D197-D197*inputs!$E$38</f>
        <v>26256.714343603067</v>
      </c>
      <c r="E198" t="str">
        <f t="shared" ca="1" si="3"/>
        <v>=D197-D197*inputs!$E$38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</row>
    <row r="199" spans="1:121" s="14" customFormat="1" x14ac:dyDescent="0.25">
      <c r="A199" t="s">
        <v>32</v>
      </c>
      <c r="B199" t="s">
        <v>290</v>
      </c>
      <c r="C199" t="s">
        <v>330</v>
      </c>
      <c r="D199" s="10">
        <f>$D$156*(1 - inputs!$E$33)</f>
        <v>16246.249198358448</v>
      </c>
      <c r="E199" t="str">
        <f t="shared" ca="1" si="3"/>
        <v>=$D$156*(1 - inputs!$E$33)</v>
      </c>
      <c r="F199" t="s">
        <v>816</v>
      </c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</row>
    <row r="200" spans="1:121" s="14" customFormat="1" x14ac:dyDescent="0.25">
      <c r="A200" t="s">
        <v>32</v>
      </c>
      <c r="B200" t="s">
        <v>290</v>
      </c>
      <c r="C200" t="s">
        <v>331</v>
      </c>
      <c r="D200" s="10">
        <f>$D$199*(1 - inputs!$E$33)</f>
        <v>16241.375323598941</v>
      </c>
      <c r="E200" t="str">
        <f t="shared" ca="1" si="3"/>
        <v>=$D$199*(1 - inputs!$E$33)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</row>
    <row r="201" spans="1:121" s="14" customFormat="1" x14ac:dyDescent="0.25">
      <c r="A201" t="s">
        <v>32</v>
      </c>
      <c r="B201" t="s">
        <v>290</v>
      </c>
      <c r="C201" t="s">
        <v>332</v>
      </c>
      <c r="D201" s="10">
        <f>$D$200*(1 - inputs!$E$33)</f>
        <v>16236.502911001862</v>
      </c>
      <c r="E201" t="str">
        <f t="shared" ca="1" si="3"/>
        <v>=$D$200*(1 - inputs!$E$33)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</row>
    <row r="202" spans="1:121" s="14" customFormat="1" x14ac:dyDescent="0.25">
      <c r="A202" t="s">
        <v>32</v>
      </c>
      <c r="B202" t="s">
        <v>290</v>
      </c>
      <c r="C202" t="s">
        <v>333</v>
      </c>
      <c r="D202" s="10">
        <f>$D$201*(1 - inputs!$E$33)</f>
        <v>16231.631960128561</v>
      </c>
      <c r="E202" t="str">
        <f t="shared" ca="1" si="3"/>
        <v>=$D$201*(1 - inputs!$E$33)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</row>
    <row r="203" spans="1:121" s="14" customFormat="1" x14ac:dyDescent="0.25">
      <c r="A203" t="s">
        <v>32</v>
      </c>
      <c r="B203" t="s">
        <v>290</v>
      </c>
      <c r="C203" t="s">
        <v>334</v>
      </c>
      <c r="D203" s="10">
        <f>$D$202*(1 - inputs!$E$34)</f>
        <v>16226.762470540523</v>
      </c>
      <c r="E203" t="str">
        <f t="shared" ca="1" si="3"/>
        <v>=$D$202*(1 - inputs!$E$34)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</row>
    <row r="204" spans="1:121" s="14" customFormat="1" x14ac:dyDescent="0.25">
      <c r="A204" t="s">
        <v>32</v>
      </c>
      <c r="B204" t="s">
        <v>290</v>
      </c>
      <c r="C204" t="s">
        <v>335</v>
      </c>
      <c r="D204" s="10">
        <f>$D$203*(1 - inputs!$E$34)</f>
        <v>16221.894441799363</v>
      </c>
      <c r="E204" t="str">
        <f t="shared" ca="1" si="3"/>
        <v>=$D$203*(1 - inputs!$E$34)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</row>
    <row r="205" spans="1:121" s="14" customFormat="1" x14ac:dyDescent="0.25">
      <c r="A205" t="s">
        <v>32</v>
      </c>
      <c r="B205" t="s">
        <v>290</v>
      </c>
      <c r="C205" t="s">
        <v>336</v>
      </c>
      <c r="D205" s="10">
        <f>$D$204*(1 - inputs!$E$34)</f>
        <v>16217.027873466823</v>
      </c>
      <c r="E205" t="str">
        <f t="shared" ca="1" si="3"/>
        <v>=$D$204*(1 - inputs!$E$34)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</row>
    <row r="206" spans="1:121" s="14" customFormat="1" x14ac:dyDescent="0.25">
      <c r="A206" t="s">
        <v>32</v>
      </c>
      <c r="B206" t="s">
        <v>290</v>
      </c>
      <c r="C206" t="s">
        <v>337</v>
      </c>
      <c r="D206" s="10">
        <f>$D$205*(1 - inputs!$E$34)</f>
        <v>16212.162765104784</v>
      </c>
      <c r="E206" t="str">
        <f t="shared" ca="1" si="3"/>
        <v>=$D$205*(1 - inputs!$E$34)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</row>
    <row r="207" spans="1:121" s="14" customFormat="1" x14ac:dyDescent="0.25">
      <c r="A207" t="s">
        <v>32</v>
      </c>
      <c r="B207" t="s">
        <v>290</v>
      </c>
      <c r="C207" t="s">
        <v>338</v>
      </c>
      <c r="D207" s="10">
        <f>$D$206*(1 - inputs!$E$34)</f>
        <v>16207.299116275253</v>
      </c>
      <c r="E207" t="str">
        <f t="shared" ca="1" si="3"/>
        <v>=$D$206*(1 - inputs!$E$34)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</row>
    <row r="208" spans="1:121" s="14" customFormat="1" x14ac:dyDescent="0.25">
      <c r="A208" t="s">
        <v>32</v>
      </c>
      <c r="B208" t="s">
        <v>290</v>
      </c>
      <c r="C208" t="s">
        <v>339</v>
      </c>
      <c r="D208" s="10">
        <f>$D$207*(1 - inputs!$E$35)</f>
        <v>16202.436926540371</v>
      </c>
      <c r="E208" t="str">
        <f t="shared" ca="1" si="3"/>
        <v>=$D$207*(1 - inputs!$E$35)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</row>
    <row r="209" spans="1:110" s="14" customFormat="1" x14ac:dyDescent="0.25">
      <c r="A209" t="s">
        <v>32</v>
      </c>
      <c r="B209" t="s">
        <v>290</v>
      </c>
      <c r="C209" t="s">
        <v>340</v>
      </c>
      <c r="D209" s="10">
        <f>$D$208*(1 - inputs!$E$35)</f>
        <v>16197.57619546241</v>
      </c>
      <c r="E209" t="str">
        <f t="shared" ca="1" si="3"/>
        <v>=$D$208*(1 - inputs!$E$35)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</row>
    <row r="210" spans="1:110" s="14" customFormat="1" x14ac:dyDescent="0.25">
      <c r="A210" t="s">
        <v>32</v>
      </c>
      <c r="B210" t="s">
        <v>290</v>
      </c>
      <c r="C210" t="s">
        <v>341</v>
      </c>
      <c r="D210" s="10">
        <f>$D$209*(1 - inputs!$E$35)</f>
        <v>16192.716922603771</v>
      </c>
      <c r="E210" t="str">
        <f t="shared" ca="1" si="3"/>
        <v>=$D$209*(1 - inputs!$E$35)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</row>
    <row r="211" spans="1:110" s="14" customFormat="1" x14ac:dyDescent="0.25">
      <c r="A211" t="s">
        <v>32</v>
      </c>
      <c r="B211" t="s">
        <v>290</v>
      </c>
      <c r="C211" t="s">
        <v>342</v>
      </c>
      <c r="D211" s="10">
        <f>$D$210*(1 - inputs!$E$35)</f>
        <v>16187.859107526991</v>
      </c>
      <c r="E211" t="str">
        <f t="shared" ca="1" si="3"/>
        <v>=$D$210*(1 - inputs!$E$35)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</row>
    <row r="212" spans="1:110" s="14" customFormat="1" x14ac:dyDescent="0.25">
      <c r="A212" t="s">
        <v>32</v>
      </c>
      <c r="B212" t="s">
        <v>290</v>
      </c>
      <c r="C212" t="s">
        <v>343</v>
      </c>
      <c r="D212" s="10">
        <f>$D$211*(1 - inputs!$E$35)</f>
        <v>16183.002749794732</v>
      </c>
      <c r="E212" t="str">
        <f t="shared" ca="1" si="3"/>
        <v>=$D$211*(1 - inputs!$E$35)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</row>
    <row r="213" spans="1:110" s="14" customFormat="1" x14ac:dyDescent="0.25">
      <c r="A213" t="s">
        <v>32</v>
      </c>
      <c r="B213" t="s">
        <v>290</v>
      </c>
      <c r="C213" t="s">
        <v>344</v>
      </c>
      <c r="D213" s="10">
        <f>$D$212*(1 - inputs!$E$35)</f>
        <v>16178.147848969795</v>
      </c>
      <c r="E213" t="str">
        <f t="shared" ca="1" si="3"/>
        <v>=$D$212*(1 - inputs!$E$35)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</row>
    <row r="214" spans="1:110" s="14" customFormat="1" x14ac:dyDescent="0.25">
      <c r="A214" t="s">
        <v>32</v>
      </c>
      <c r="B214" t="s">
        <v>290</v>
      </c>
      <c r="C214" t="s">
        <v>345</v>
      </c>
      <c r="D214" s="10">
        <f>$D$213*(1 - inputs!$E$35)</f>
        <v>16173.294404615104</v>
      </c>
      <c r="E214" t="str">
        <f t="shared" ca="1" si="3"/>
        <v>=$D$213*(1 - inputs!$E$35)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</row>
    <row r="215" spans="1:110" s="14" customFormat="1" x14ac:dyDescent="0.25">
      <c r="A215" t="s">
        <v>32</v>
      </c>
      <c r="B215" t="s">
        <v>290</v>
      </c>
      <c r="C215" t="s">
        <v>346</v>
      </c>
      <c r="D215" s="10">
        <f>$D$214*(1 - inputs!$E$35)</f>
        <v>16168.442416293719</v>
      </c>
      <c r="E215" t="str">
        <f t="shared" ref="E215:E279" ca="1" si="4">_xlfn.FORMULATEXT(D215)</f>
        <v>=$D$214*(1 - inputs!$E$35)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</row>
    <row r="216" spans="1:110" s="14" customFormat="1" x14ac:dyDescent="0.25">
      <c r="A216" t="s">
        <v>32</v>
      </c>
      <c r="B216" t="s">
        <v>290</v>
      </c>
      <c r="C216" t="s">
        <v>347</v>
      </c>
      <c r="D216" s="10">
        <f>$D$215*(1 - inputs!$E$35)</f>
        <v>16163.591883568832</v>
      </c>
      <c r="E216" t="str">
        <f t="shared" ca="1" si="4"/>
        <v>=$D$215*(1 - inputs!$E$35)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</row>
    <row r="217" spans="1:110" s="14" customFormat="1" x14ac:dyDescent="0.25">
      <c r="A217" t="s">
        <v>32</v>
      </c>
      <c r="B217" t="s">
        <v>290</v>
      </c>
      <c r="C217" t="s">
        <v>348</v>
      </c>
      <c r="D217" s="10">
        <f>$D$216*(1 - inputs!$E$35)</f>
        <v>16158.742806003762</v>
      </c>
      <c r="E217" t="str">
        <f t="shared" ca="1" si="4"/>
        <v>=$D$216*(1 - inputs!$E$35)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</row>
    <row r="218" spans="1:110" s="14" customFormat="1" x14ac:dyDescent="0.25">
      <c r="A218" t="s">
        <v>32</v>
      </c>
      <c r="B218" t="s">
        <v>290</v>
      </c>
      <c r="C218" t="s">
        <v>349</v>
      </c>
      <c r="D218" s="10">
        <f>$D$217*(1 - inputs!$E$36)</f>
        <v>16142.584063197759</v>
      </c>
      <c r="E218" t="str">
        <f t="shared" ca="1" si="4"/>
        <v>=$D$217*(1 - inputs!$E$36)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</row>
    <row r="219" spans="1:110" s="14" customFormat="1" x14ac:dyDescent="0.25">
      <c r="A219" t="s">
        <v>32</v>
      </c>
      <c r="B219" t="s">
        <v>290</v>
      </c>
      <c r="C219" t="s">
        <v>350</v>
      </c>
      <c r="D219" s="10">
        <f>$D$218*(1 - inputs!$E$36)</f>
        <v>16126.441479134561</v>
      </c>
      <c r="E219" t="str">
        <f t="shared" ca="1" si="4"/>
        <v>=$D$218*(1 - inputs!$E$36)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</row>
    <row r="220" spans="1:110" s="14" customFormat="1" x14ac:dyDescent="0.25">
      <c r="A220" t="s">
        <v>32</v>
      </c>
      <c r="B220" t="s">
        <v>290</v>
      </c>
      <c r="C220" t="s">
        <v>351</v>
      </c>
      <c r="D220" s="10">
        <f>$D$219*(1 - inputs!$E$36)</f>
        <v>16110.315037655426</v>
      </c>
      <c r="E220" t="str">
        <f t="shared" ca="1" si="4"/>
        <v>=$D$219*(1 - inputs!$E$36)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</row>
    <row r="221" spans="1:110" s="14" customFormat="1" x14ac:dyDescent="0.25">
      <c r="A221" t="s">
        <v>32</v>
      </c>
      <c r="B221" t="s">
        <v>290</v>
      </c>
      <c r="C221" t="s">
        <v>352</v>
      </c>
      <c r="D221" s="10">
        <f>$D$220*(1 - inputs!$E$36)</f>
        <v>16094.204722617771</v>
      </c>
      <c r="E221" t="str">
        <f t="shared" ca="1" si="4"/>
        <v>=$D$220*(1 - inputs!$E$36)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</row>
    <row r="222" spans="1:110" s="14" customFormat="1" x14ac:dyDescent="0.25">
      <c r="A222" t="s">
        <v>32</v>
      </c>
      <c r="B222" t="s">
        <v>290</v>
      </c>
      <c r="C222" t="s">
        <v>353</v>
      </c>
      <c r="D222" s="10">
        <f>$D$221*(1 - inputs!$E$36)</f>
        <v>16078.110517895153</v>
      </c>
      <c r="E222" t="str">
        <f t="shared" ca="1" si="4"/>
        <v>=$D$221*(1 - inputs!$E$36)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</row>
    <row r="223" spans="1:110" s="14" customFormat="1" x14ac:dyDescent="0.25">
      <c r="A223" t="s">
        <v>32</v>
      </c>
      <c r="B223" t="s">
        <v>290</v>
      </c>
      <c r="C223" t="s">
        <v>354</v>
      </c>
      <c r="D223" s="10">
        <f>$D$222*(1 - inputs!$E$37)</f>
        <v>16045.954296859363</v>
      </c>
      <c r="E223" t="str">
        <f t="shared" ca="1" si="4"/>
        <v>=$D$222*(1 - inputs!$E$37)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</row>
    <row r="224" spans="1:110" s="14" customFormat="1" x14ac:dyDescent="0.25">
      <c r="A224" t="s">
        <v>32</v>
      </c>
      <c r="B224" t="s">
        <v>290</v>
      </c>
      <c r="C224" t="s">
        <v>355</v>
      </c>
      <c r="D224" s="10">
        <f>$D$223*(1 - inputs!$E$37)</f>
        <v>16013.862388265645</v>
      </c>
      <c r="E224" t="str">
        <f t="shared" ca="1" si="4"/>
        <v>=$D$223*(1 - inputs!$E$37)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</row>
    <row r="225" spans="1:110" s="14" customFormat="1" x14ac:dyDescent="0.25">
      <c r="A225" t="s">
        <v>32</v>
      </c>
      <c r="B225" t="s">
        <v>290</v>
      </c>
      <c r="C225" t="s">
        <v>356</v>
      </c>
      <c r="D225" s="10">
        <f>$D$224*(1 - inputs!$E$37)</f>
        <v>15981.834663489113</v>
      </c>
      <c r="E225" t="str">
        <f t="shared" ca="1" si="4"/>
        <v>=$D$224*(1 - inputs!$E$37)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</row>
    <row r="226" spans="1:110" s="14" customFormat="1" x14ac:dyDescent="0.25">
      <c r="A226" t="s">
        <v>32</v>
      </c>
      <c r="B226" t="s">
        <v>290</v>
      </c>
      <c r="C226" t="s">
        <v>357</v>
      </c>
      <c r="D226" s="10">
        <f>$D$225*(1 - inputs!$E$37)</f>
        <v>15949.870994162135</v>
      </c>
      <c r="E226" t="str">
        <f t="shared" ca="1" si="4"/>
        <v>=$D$225*(1 - inputs!$E$37)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</row>
    <row r="227" spans="1:110" s="14" customFormat="1" x14ac:dyDescent="0.25">
      <c r="A227" t="s">
        <v>32</v>
      </c>
      <c r="B227" t="s">
        <v>290</v>
      </c>
      <c r="C227" t="s">
        <v>358</v>
      </c>
      <c r="D227" s="10">
        <f>$D$226*(1 - inputs!$E$37)</f>
        <v>15917.971252173811</v>
      </c>
      <c r="E227" t="str">
        <f t="shared" ca="1" si="4"/>
        <v>=$D$226*(1 - inputs!$E$37)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</row>
    <row r="228" spans="1:110" s="14" customFormat="1" x14ac:dyDescent="0.25">
      <c r="A228" t="s">
        <v>32</v>
      </c>
      <c r="B228" t="s">
        <v>290</v>
      </c>
      <c r="C228" t="s">
        <v>359</v>
      </c>
      <c r="D228" s="10">
        <f>$D$227*(1 - inputs!$E$38)</f>
        <v>15886.135309669464</v>
      </c>
      <c r="E228" t="str">
        <f t="shared" ca="1" si="4"/>
        <v>=$D$227*(1 - inputs!$E$38)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</row>
    <row r="229" spans="1:110" s="14" customFormat="1" x14ac:dyDescent="0.25">
      <c r="A229" t="s">
        <v>32</v>
      </c>
      <c r="B229" t="s">
        <v>290</v>
      </c>
      <c r="C229" t="s">
        <v>360</v>
      </c>
      <c r="D229" s="10">
        <f>$D$228*(1 - inputs!$E$38)</f>
        <v>15854.363039050126</v>
      </c>
      <c r="E229" t="str">
        <f t="shared" ca="1" si="4"/>
        <v>=$D$228*(1 - inputs!$E$38)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</row>
    <row r="230" spans="1:110" s="14" customFormat="1" x14ac:dyDescent="0.25">
      <c r="A230" t="s">
        <v>32</v>
      </c>
      <c r="B230" t="s">
        <v>290</v>
      </c>
      <c r="C230" t="s">
        <v>361</v>
      </c>
      <c r="D230" s="10">
        <f>$D$229*(1 - inputs!$E$38)</f>
        <v>15822.654312972025</v>
      </c>
      <c r="E230" t="str">
        <f t="shared" ca="1" si="4"/>
        <v>=$D$229*(1 - inputs!$E$38)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</row>
    <row r="231" spans="1:110" s="14" customFormat="1" x14ac:dyDescent="0.25">
      <c r="A231" t="s">
        <v>32</v>
      </c>
      <c r="B231" t="s">
        <v>290</v>
      </c>
      <c r="C231" t="s">
        <v>362</v>
      </c>
      <c r="D231" s="10">
        <f>$D$230*(1 - inputs!$E$38)</f>
        <v>15791.00900434608</v>
      </c>
      <c r="E231" t="str">
        <f t="shared" ca="1" si="4"/>
        <v>=$D$230*(1 - inputs!$E$38)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</row>
    <row r="232" spans="1:110" s="14" customFormat="1" x14ac:dyDescent="0.25">
      <c r="A232" t="s">
        <v>32</v>
      </c>
      <c r="B232" t="s">
        <v>290</v>
      </c>
      <c r="C232" t="s">
        <v>363</v>
      </c>
      <c r="D232" s="10">
        <f>$D$231*(1 - inputs!$E$38)</f>
        <v>15759.426986337388</v>
      </c>
      <c r="E232" t="str">
        <f t="shared" ca="1" si="4"/>
        <v>=$D$231*(1 - inputs!$E$38)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</row>
    <row r="233" spans="1:110" s="14" customFormat="1" x14ac:dyDescent="0.25">
      <c r="A233" t="s">
        <v>32</v>
      </c>
      <c r="B233" t="s">
        <v>290</v>
      </c>
      <c r="C233" t="s">
        <v>364</v>
      </c>
      <c r="D233" s="10">
        <f>$D$232*(1 - inputs!$E$38)</f>
        <v>15727.908132364713</v>
      </c>
      <c r="E233" t="str">
        <f t="shared" ca="1" si="4"/>
        <v>=$D$232*(1 - inputs!$E$38)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</row>
    <row r="234" spans="1:110" s="14" customFormat="1" x14ac:dyDescent="0.25">
      <c r="A234" t="s">
        <v>32</v>
      </c>
      <c r="B234" t="s">
        <v>290</v>
      </c>
      <c r="C234" t="s">
        <v>365</v>
      </c>
      <c r="D234" s="10">
        <f>$D$233*(1 - inputs!$E$38)</f>
        <v>15696.452316099983</v>
      </c>
      <c r="E234" t="str">
        <f t="shared" ca="1" si="4"/>
        <v>=$D$233*(1 - inputs!$E$38)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</row>
    <row r="235" spans="1:110" s="14" customFormat="1" x14ac:dyDescent="0.25">
      <c r="A235" t="s">
        <v>32</v>
      </c>
      <c r="B235" t="s">
        <v>290</v>
      </c>
      <c r="C235" t="s">
        <v>366</v>
      </c>
      <c r="D235" s="10">
        <f>$D$234*(1 - inputs!$E$38)</f>
        <v>15665.059411467784</v>
      </c>
      <c r="E235" t="str">
        <f t="shared" ca="1" si="4"/>
        <v>=$D$234*(1 - inputs!$E$38)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</row>
    <row r="236" spans="1:110" s="14" customFormat="1" x14ac:dyDescent="0.25">
      <c r="A236" t="s">
        <v>32</v>
      </c>
      <c r="B236" t="s">
        <v>290</v>
      </c>
      <c r="C236" t="s">
        <v>367</v>
      </c>
      <c r="D236" s="10">
        <f>$D$235*(1 - inputs!$E$38)</f>
        <v>15633.729292644848</v>
      </c>
      <c r="E236" t="str">
        <f t="shared" ca="1" si="4"/>
        <v>=$D$235*(1 - inputs!$E$38)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</row>
    <row r="237" spans="1:110" s="14" customFormat="1" x14ac:dyDescent="0.25">
      <c r="A237" t="s">
        <v>32</v>
      </c>
      <c r="B237" t="s">
        <v>290</v>
      </c>
      <c r="C237" t="s">
        <v>368</v>
      </c>
      <c r="D237" s="10">
        <f>$D$236*(1 - inputs!$E$38)</f>
        <v>15602.461834059559</v>
      </c>
      <c r="E237" t="str">
        <f t="shared" ca="1" si="4"/>
        <v>=$D$236*(1 - inputs!$E$38)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</row>
    <row r="238" spans="1:110" s="16" customFormat="1" x14ac:dyDescent="0.25">
      <c r="A238" t="s">
        <v>32</v>
      </c>
      <c r="B238" t="s">
        <v>290</v>
      </c>
      <c r="C238" t="s">
        <v>369</v>
      </c>
      <c r="D238" s="10">
        <f>$D$157-$D$157*inputs!$E$33</f>
        <v>0</v>
      </c>
      <c r="E238" t="str">
        <f t="shared" ca="1" si="4"/>
        <v>=$D$157-$D$157*inputs!$E$33</v>
      </c>
      <c r="F238" t="s">
        <v>817</v>
      </c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</row>
    <row r="239" spans="1:110" s="16" customFormat="1" x14ac:dyDescent="0.25">
      <c r="A239" t="s">
        <v>32</v>
      </c>
      <c r="B239" t="s">
        <v>290</v>
      </c>
      <c r="C239" t="s">
        <v>370</v>
      </c>
      <c r="D239" s="10">
        <f>D238-D238*inputs!$E$33</f>
        <v>0</v>
      </c>
      <c r="E239" t="str">
        <f t="shared" ca="1" si="4"/>
        <v>=D238-D238*inputs!$E$33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</row>
    <row r="240" spans="1:110" s="16" customFormat="1" x14ac:dyDescent="0.25">
      <c r="A240" t="s">
        <v>32</v>
      </c>
      <c r="B240" t="s">
        <v>290</v>
      </c>
      <c r="C240" t="s">
        <v>371</v>
      </c>
      <c r="D240" s="10">
        <f>D239-D239*inputs!$E$33</f>
        <v>0</v>
      </c>
      <c r="E240" t="str">
        <f t="shared" ca="1" si="4"/>
        <v>=D239-D239*inputs!$E$33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</row>
    <row r="241" spans="1:110" s="16" customFormat="1" x14ac:dyDescent="0.25">
      <c r="A241" t="s">
        <v>32</v>
      </c>
      <c r="B241" t="s">
        <v>290</v>
      </c>
      <c r="C241" t="s">
        <v>372</v>
      </c>
      <c r="D241" s="10">
        <f>D240-D240*inputs!$E$33</f>
        <v>0</v>
      </c>
      <c r="E241" t="str">
        <f t="shared" ca="1" si="4"/>
        <v>=D240-D240*inputs!$E$33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</row>
    <row r="242" spans="1:110" s="16" customFormat="1" x14ac:dyDescent="0.25">
      <c r="A242" t="s">
        <v>32</v>
      </c>
      <c r="B242" t="s">
        <v>290</v>
      </c>
      <c r="C242" t="s">
        <v>373</v>
      </c>
      <c r="D242" s="10">
        <f>D241-D241*inputs!$E$34</f>
        <v>0</v>
      </c>
      <c r="E242" t="str">
        <f t="shared" ca="1" si="4"/>
        <v>=D241-D241*inputs!$E$34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</row>
    <row r="243" spans="1:110" s="16" customFormat="1" x14ac:dyDescent="0.25">
      <c r="A243" t="s">
        <v>32</v>
      </c>
      <c r="B243" t="s">
        <v>290</v>
      </c>
      <c r="C243" t="s">
        <v>374</v>
      </c>
      <c r="D243" s="10">
        <f>D242-D242*inputs!$E$34</f>
        <v>0</v>
      </c>
      <c r="E243" t="str">
        <f t="shared" ca="1" si="4"/>
        <v>=D242-D242*inputs!$E$34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</row>
    <row r="244" spans="1:110" s="16" customFormat="1" x14ac:dyDescent="0.25">
      <c r="A244" t="s">
        <v>32</v>
      </c>
      <c r="B244" t="s">
        <v>290</v>
      </c>
      <c r="C244" t="s">
        <v>375</v>
      </c>
      <c r="D244" s="10">
        <f>D243-D243*inputs!$E$34</f>
        <v>0</v>
      </c>
      <c r="E244" t="str">
        <f t="shared" ca="1" si="4"/>
        <v>=D243-D243*inputs!$E$34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</row>
    <row r="245" spans="1:110" s="16" customFormat="1" x14ac:dyDescent="0.25">
      <c r="A245" t="s">
        <v>32</v>
      </c>
      <c r="B245" t="s">
        <v>290</v>
      </c>
      <c r="C245" t="s">
        <v>376</v>
      </c>
      <c r="D245" s="10">
        <f>D244-D244*inputs!$E$34</f>
        <v>0</v>
      </c>
      <c r="E245" t="str">
        <f t="shared" ca="1" si="4"/>
        <v>=D244-D244*inputs!$E$34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</row>
    <row r="246" spans="1:110" s="16" customFormat="1" x14ac:dyDescent="0.25">
      <c r="A246" t="s">
        <v>32</v>
      </c>
      <c r="B246" t="s">
        <v>290</v>
      </c>
      <c r="C246" t="s">
        <v>377</v>
      </c>
      <c r="D246" s="10">
        <f>D245-D245*inputs!$E$34</f>
        <v>0</v>
      </c>
      <c r="E246" t="str">
        <f t="shared" ca="1" si="4"/>
        <v>=D245-D245*inputs!$E$34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</row>
    <row r="247" spans="1:110" s="16" customFormat="1" x14ac:dyDescent="0.25">
      <c r="A247" t="s">
        <v>32</v>
      </c>
      <c r="B247" t="s">
        <v>290</v>
      </c>
      <c r="C247" t="s">
        <v>378</v>
      </c>
      <c r="D247" s="10">
        <f>D246-D246*inputs!$E$35</f>
        <v>0</v>
      </c>
      <c r="E247" t="str">
        <f t="shared" ca="1" si="4"/>
        <v>=D246-D246*inputs!$E$35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</row>
    <row r="248" spans="1:110" s="16" customFormat="1" x14ac:dyDescent="0.25">
      <c r="A248" t="s">
        <v>32</v>
      </c>
      <c r="B248" t="s">
        <v>290</v>
      </c>
      <c r="C248" t="s">
        <v>379</v>
      </c>
      <c r="D248" s="10">
        <f>D247-D247*inputs!$E$35</f>
        <v>0</v>
      </c>
      <c r="E248" t="str">
        <f t="shared" ca="1" si="4"/>
        <v>=D247-D247*inputs!$E$35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</row>
    <row r="249" spans="1:110" s="16" customFormat="1" x14ac:dyDescent="0.25">
      <c r="A249" t="s">
        <v>32</v>
      </c>
      <c r="B249" t="s">
        <v>290</v>
      </c>
      <c r="C249" t="s">
        <v>380</v>
      </c>
      <c r="D249" s="10">
        <f>D248-D248*inputs!$E$35</f>
        <v>0</v>
      </c>
      <c r="E249" t="str">
        <f t="shared" ca="1" si="4"/>
        <v>=D248-D248*inputs!$E$35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</row>
    <row r="250" spans="1:110" s="16" customFormat="1" x14ac:dyDescent="0.25">
      <c r="A250" t="s">
        <v>32</v>
      </c>
      <c r="B250" t="s">
        <v>290</v>
      </c>
      <c r="C250" t="s">
        <v>381</v>
      </c>
      <c r="D250" s="10">
        <f>D249-D249*inputs!$E$35</f>
        <v>0</v>
      </c>
      <c r="E250" t="str">
        <f t="shared" ca="1" si="4"/>
        <v>=D249-D249*inputs!$E$35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</row>
    <row r="251" spans="1:110" s="16" customFormat="1" x14ac:dyDescent="0.25">
      <c r="A251" t="s">
        <v>32</v>
      </c>
      <c r="B251" t="s">
        <v>290</v>
      </c>
      <c r="C251" t="s">
        <v>382</v>
      </c>
      <c r="D251" s="10">
        <f>D250-D250*inputs!$E$35</f>
        <v>0</v>
      </c>
      <c r="E251" t="str">
        <f t="shared" ca="1" si="4"/>
        <v>=D250-D250*inputs!$E$35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</row>
    <row r="252" spans="1:110" s="16" customFormat="1" x14ac:dyDescent="0.25">
      <c r="A252" t="s">
        <v>32</v>
      </c>
      <c r="B252" t="s">
        <v>290</v>
      </c>
      <c r="C252" t="s">
        <v>383</v>
      </c>
      <c r="D252" s="10">
        <f>D251-D251*inputs!$E$35</f>
        <v>0</v>
      </c>
      <c r="E252" t="str">
        <f t="shared" ca="1" si="4"/>
        <v>=D251-D251*inputs!$E$35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</row>
    <row r="253" spans="1:110" s="16" customFormat="1" x14ac:dyDescent="0.25">
      <c r="A253" t="s">
        <v>32</v>
      </c>
      <c r="B253" t="s">
        <v>290</v>
      </c>
      <c r="C253" t="s">
        <v>384</v>
      </c>
      <c r="D253" s="10">
        <f>D252-D252*inputs!$E$35</f>
        <v>0</v>
      </c>
      <c r="E253" t="str">
        <f t="shared" ca="1" si="4"/>
        <v>=D252-D252*inputs!$E$35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</row>
    <row r="254" spans="1:110" s="16" customFormat="1" x14ac:dyDescent="0.25">
      <c r="A254" t="s">
        <v>32</v>
      </c>
      <c r="B254" t="s">
        <v>290</v>
      </c>
      <c r="C254" t="s">
        <v>385</v>
      </c>
      <c r="D254" s="10">
        <f>D253-D253*inputs!$E$35</f>
        <v>0</v>
      </c>
      <c r="E254" t="str">
        <f t="shared" ca="1" si="4"/>
        <v>=D253-D253*inputs!$E$35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</row>
    <row r="255" spans="1:110" s="16" customFormat="1" x14ac:dyDescent="0.25">
      <c r="A255" t="s">
        <v>32</v>
      </c>
      <c r="B255" t="s">
        <v>290</v>
      </c>
      <c r="C255" t="s">
        <v>386</v>
      </c>
      <c r="D255" s="10">
        <f>D254-D254*inputs!$E$35</f>
        <v>0</v>
      </c>
      <c r="E255" t="str">
        <f t="shared" ca="1" si="4"/>
        <v>=D254-D254*inputs!$E$35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</row>
    <row r="256" spans="1:110" s="16" customFormat="1" x14ac:dyDescent="0.25">
      <c r="A256" t="s">
        <v>32</v>
      </c>
      <c r="B256" t="s">
        <v>290</v>
      </c>
      <c r="C256" t="s">
        <v>387</v>
      </c>
      <c r="D256" s="10">
        <f>D255-D255*inputs!$E$35</f>
        <v>0</v>
      </c>
      <c r="E256" t="str">
        <f t="shared" ca="1" si="4"/>
        <v>=D255-D255*inputs!$E$35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</row>
    <row r="257" spans="1:110" s="16" customFormat="1" x14ac:dyDescent="0.25">
      <c r="A257" t="s">
        <v>32</v>
      </c>
      <c r="B257" t="s">
        <v>290</v>
      </c>
      <c r="C257" t="s">
        <v>388</v>
      </c>
      <c r="D257" s="10">
        <f>D256-D256*inputs!$E$36</f>
        <v>0</v>
      </c>
      <c r="E257" t="str">
        <f t="shared" ca="1" si="4"/>
        <v>=D256-D256*inputs!$E$36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</row>
    <row r="258" spans="1:110" s="16" customFormat="1" x14ac:dyDescent="0.25">
      <c r="A258" t="s">
        <v>32</v>
      </c>
      <c r="B258" t="s">
        <v>290</v>
      </c>
      <c r="C258" t="s">
        <v>389</v>
      </c>
      <c r="D258" s="10">
        <f>D257-D257*inputs!$E$36</f>
        <v>0</v>
      </c>
      <c r="E258" t="str">
        <f t="shared" ca="1" si="4"/>
        <v>=D257-D257*inputs!$E$36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</row>
    <row r="259" spans="1:110" s="16" customFormat="1" x14ac:dyDescent="0.25">
      <c r="A259" t="s">
        <v>32</v>
      </c>
      <c r="B259" t="s">
        <v>290</v>
      </c>
      <c r="C259" t="s">
        <v>390</v>
      </c>
      <c r="D259" s="10">
        <f>D258-D258*inputs!$E$36</f>
        <v>0</v>
      </c>
      <c r="E259" t="str">
        <f t="shared" ca="1" si="4"/>
        <v>=D258-D258*inputs!$E$36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</row>
    <row r="260" spans="1:110" s="16" customFormat="1" x14ac:dyDescent="0.25">
      <c r="A260" t="s">
        <v>32</v>
      </c>
      <c r="B260" t="s">
        <v>290</v>
      </c>
      <c r="C260" t="s">
        <v>391</v>
      </c>
      <c r="D260" s="10">
        <f>D259-D259*inputs!$E$36</f>
        <v>0</v>
      </c>
      <c r="E260" t="str">
        <f t="shared" ca="1" si="4"/>
        <v>=D259-D259*inputs!$E$36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</row>
    <row r="261" spans="1:110" s="16" customFormat="1" x14ac:dyDescent="0.25">
      <c r="A261" t="s">
        <v>32</v>
      </c>
      <c r="B261" t="s">
        <v>290</v>
      </c>
      <c r="C261" t="s">
        <v>392</v>
      </c>
      <c r="D261" s="10">
        <f>D260-D260*inputs!$E$36</f>
        <v>0</v>
      </c>
      <c r="E261" t="str">
        <f t="shared" ca="1" si="4"/>
        <v>=D260-D260*inputs!$E$36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</row>
    <row r="262" spans="1:110" s="16" customFormat="1" x14ac:dyDescent="0.25">
      <c r="A262" t="s">
        <v>32</v>
      </c>
      <c r="B262" t="s">
        <v>290</v>
      </c>
      <c r="C262" t="s">
        <v>393</v>
      </c>
      <c r="D262" s="10">
        <f>D261-D261*inputs!$E$37</f>
        <v>0</v>
      </c>
      <c r="E262" t="str">
        <f t="shared" ca="1" si="4"/>
        <v>=D261-D261*inputs!$E$37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</row>
    <row r="263" spans="1:110" s="16" customFormat="1" x14ac:dyDescent="0.25">
      <c r="A263" t="s">
        <v>32</v>
      </c>
      <c r="B263" t="s">
        <v>290</v>
      </c>
      <c r="C263" t="s">
        <v>394</v>
      </c>
      <c r="D263" s="10">
        <f>D262-D262*inputs!$E$37</f>
        <v>0</v>
      </c>
      <c r="E263" t="str">
        <f t="shared" ca="1" si="4"/>
        <v>=D262-D262*inputs!$E$37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</row>
    <row r="264" spans="1:110" s="16" customFormat="1" x14ac:dyDescent="0.25">
      <c r="A264" t="s">
        <v>32</v>
      </c>
      <c r="B264" t="s">
        <v>290</v>
      </c>
      <c r="C264" t="s">
        <v>395</v>
      </c>
      <c r="D264" s="10">
        <f>D263-D263*inputs!$E$37</f>
        <v>0</v>
      </c>
      <c r="E264" t="str">
        <f t="shared" ca="1" si="4"/>
        <v>=D263-D263*inputs!$E$37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</row>
    <row r="265" spans="1:110" s="16" customFormat="1" x14ac:dyDescent="0.25">
      <c r="A265" t="s">
        <v>32</v>
      </c>
      <c r="B265" t="s">
        <v>290</v>
      </c>
      <c r="C265" t="s">
        <v>396</v>
      </c>
      <c r="D265" s="10">
        <f>D264-D264*inputs!$E$37</f>
        <v>0</v>
      </c>
      <c r="E265" t="str">
        <f t="shared" ca="1" si="4"/>
        <v>=D264-D264*inputs!$E$37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</row>
    <row r="266" spans="1:110" s="16" customFormat="1" x14ac:dyDescent="0.25">
      <c r="A266" t="s">
        <v>32</v>
      </c>
      <c r="B266" t="s">
        <v>290</v>
      </c>
      <c r="C266" t="s">
        <v>397</v>
      </c>
      <c r="D266" s="10">
        <f>D265-D265*inputs!$E$37</f>
        <v>0</v>
      </c>
      <c r="E266" t="str">
        <f t="shared" ca="1" si="4"/>
        <v>=D265-D265*inputs!$E$37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</row>
    <row r="267" spans="1:110" s="16" customFormat="1" x14ac:dyDescent="0.25">
      <c r="A267" t="s">
        <v>32</v>
      </c>
      <c r="B267" t="s">
        <v>290</v>
      </c>
      <c r="C267" t="s">
        <v>398</v>
      </c>
      <c r="D267" s="10">
        <f>D266-D266*inputs!$E$38</f>
        <v>0</v>
      </c>
      <c r="E267" t="str">
        <f t="shared" ca="1" si="4"/>
        <v>=D266-D266*inputs!$E$38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</row>
    <row r="268" spans="1:110" s="16" customFormat="1" x14ac:dyDescent="0.25">
      <c r="A268" t="s">
        <v>32</v>
      </c>
      <c r="B268" t="s">
        <v>290</v>
      </c>
      <c r="C268" t="s">
        <v>399</v>
      </c>
      <c r="D268" s="10">
        <f>D267-D267*inputs!$E$38</f>
        <v>0</v>
      </c>
      <c r="E268" t="str">
        <f t="shared" ca="1" si="4"/>
        <v>=D267-D267*inputs!$E$38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</row>
    <row r="269" spans="1:110" s="16" customFormat="1" x14ac:dyDescent="0.25">
      <c r="A269" t="s">
        <v>32</v>
      </c>
      <c r="B269" t="s">
        <v>290</v>
      </c>
      <c r="C269" t="s">
        <v>400</v>
      </c>
      <c r="D269" s="10">
        <f>D268-D268*inputs!$E$38</f>
        <v>0</v>
      </c>
      <c r="E269" t="str">
        <f t="shared" ca="1" si="4"/>
        <v>=D268-D268*inputs!$E$38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</row>
    <row r="270" spans="1:110" s="16" customFormat="1" x14ac:dyDescent="0.25">
      <c r="A270" t="s">
        <v>32</v>
      </c>
      <c r="B270" t="s">
        <v>290</v>
      </c>
      <c r="C270" t="s">
        <v>401</v>
      </c>
      <c r="D270" s="10">
        <f>D269-D269*inputs!$E$38</f>
        <v>0</v>
      </c>
      <c r="E270" t="str">
        <f t="shared" ca="1" si="4"/>
        <v>=D269-D269*inputs!$E$38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</row>
    <row r="271" spans="1:110" s="16" customFormat="1" x14ac:dyDescent="0.25">
      <c r="A271" t="s">
        <v>32</v>
      </c>
      <c r="B271" t="s">
        <v>290</v>
      </c>
      <c r="C271" t="s">
        <v>402</v>
      </c>
      <c r="D271" s="10">
        <f>D270-D270*inputs!$E$38</f>
        <v>0</v>
      </c>
      <c r="E271" t="str">
        <f t="shared" ca="1" si="4"/>
        <v>=D270-D270*inputs!$E$38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</row>
    <row r="272" spans="1:110" s="16" customFormat="1" x14ac:dyDescent="0.25">
      <c r="A272" t="s">
        <v>32</v>
      </c>
      <c r="B272" t="s">
        <v>290</v>
      </c>
      <c r="C272" t="s">
        <v>403</v>
      </c>
      <c r="D272" s="10">
        <f>D271-D271*inputs!$E$38</f>
        <v>0</v>
      </c>
      <c r="E272" t="str">
        <f t="shared" ca="1" si="4"/>
        <v>=D271-D271*inputs!$E$38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</row>
    <row r="273" spans="1:110" s="16" customFormat="1" x14ac:dyDescent="0.25">
      <c r="A273" t="s">
        <v>32</v>
      </c>
      <c r="B273" t="s">
        <v>290</v>
      </c>
      <c r="C273" t="s">
        <v>404</v>
      </c>
      <c r="D273" s="10">
        <f>D272-D272*inputs!$E$38</f>
        <v>0</v>
      </c>
      <c r="E273" t="str">
        <f t="shared" ca="1" si="4"/>
        <v>=D272-D272*inputs!$E$38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</row>
    <row r="274" spans="1:110" s="16" customFormat="1" x14ac:dyDescent="0.25">
      <c r="A274" t="s">
        <v>32</v>
      </c>
      <c r="B274" t="s">
        <v>290</v>
      </c>
      <c r="C274" t="s">
        <v>405</v>
      </c>
      <c r="D274" s="10">
        <f>D273-D273*inputs!$E$38</f>
        <v>0</v>
      </c>
      <c r="E274" t="str">
        <f t="shared" ca="1" si="4"/>
        <v>=D273-D273*inputs!$E$38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</row>
    <row r="275" spans="1:110" s="16" customFormat="1" x14ac:dyDescent="0.25">
      <c r="A275" t="s">
        <v>32</v>
      </c>
      <c r="B275" t="s">
        <v>290</v>
      </c>
      <c r="C275" t="s">
        <v>406</v>
      </c>
      <c r="D275" s="10">
        <f>D274-D274*inputs!$E$38</f>
        <v>0</v>
      </c>
      <c r="E275" t="str">
        <f t="shared" ca="1" si="4"/>
        <v>=D274-D274*inputs!$E$38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</row>
    <row r="276" spans="1:110" s="16" customFormat="1" x14ac:dyDescent="0.25">
      <c r="A276" t="s">
        <v>32</v>
      </c>
      <c r="B276" t="s">
        <v>290</v>
      </c>
      <c r="C276" t="s">
        <v>407</v>
      </c>
      <c r="D276" s="10">
        <f>D275-D275*inputs!$E$38</f>
        <v>0</v>
      </c>
      <c r="E276" t="str">
        <f t="shared" ca="1" si="4"/>
        <v>=D275-D275*inputs!$E$38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</row>
    <row r="277" spans="1:110" s="14" customFormat="1" x14ac:dyDescent="0.25">
      <c r="A277" t="s">
        <v>32</v>
      </c>
      <c r="B277" t="s">
        <v>290</v>
      </c>
      <c r="C277" t="s">
        <v>408</v>
      </c>
      <c r="D277" s="10">
        <f>$D$158-$D$158*inputs!$E$33</f>
        <v>0</v>
      </c>
      <c r="E277" t="str">
        <f t="shared" ca="1" si="4"/>
        <v>=$D$158-$D$158*inputs!$E$33</v>
      </c>
      <c r="F277" t="s">
        <v>818</v>
      </c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</row>
    <row r="278" spans="1:110" s="14" customFormat="1" x14ac:dyDescent="0.25">
      <c r="A278" t="s">
        <v>32</v>
      </c>
      <c r="B278" t="s">
        <v>290</v>
      </c>
      <c r="C278" t="s">
        <v>409</v>
      </c>
      <c r="D278" s="10">
        <f>D277-D277*inputs!$E$33</f>
        <v>0</v>
      </c>
      <c r="E278" t="str">
        <f t="shared" ca="1" si="4"/>
        <v>=D277-D277*inputs!$E$33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</row>
    <row r="279" spans="1:110" s="14" customFormat="1" x14ac:dyDescent="0.25">
      <c r="A279" t="s">
        <v>32</v>
      </c>
      <c r="B279" t="s">
        <v>290</v>
      </c>
      <c r="C279" t="s">
        <v>410</v>
      </c>
      <c r="D279" s="10">
        <f>D278-D278*inputs!$E$33</f>
        <v>0</v>
      </c>
      <c r="E279" t="str">
        <f t="shared" ca="1" si="4"/>
        <v>=D278-D278*inputs!$E$33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</row>
    <row r="280" spans="1:110" s="14" customFormat="1" x14ac:dyDescent="0.25">
      <c r="A280" t="s">
        <v>32</v>
      </c>
      <c r="B280" t="s">
        <v>290</v>
      </c>
      <c r="C280" t="s">
        <v>411</v>
      </c>
      <c r="D280" s="10">
        <f>D279-D279*inputs!$E$33</f>
        <v>0</v>
      </c>
      <c r="E280" t="str">
        <f t="shared" ref="E280:E343" ca="1" si="5">_xlfn.FORMULATEXT(D280)</f>
        <v>=D279-D279*inputs!$E$33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</row>
    <row r="281" spans="1:110" s="14" customFormat="1" x14ac:dyDescent="0.25">
      <c r="A281" t="s">
        <v>32</v>
      </c>
      <c r="B281" t="s">
        <v>290</v>
      </c>
      <c r="C281" t="s">
        <v>412</v>
      </c>
      <c r="D281" s="10">
        <f>D280-D280*inputs!$E$34</f>
        <v>0</v>
      </c>
      <c r="E281" t="str">
        <f t="shared" ca="1" si="5"/>
        <v>=D280-D280*inputs!$E$34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</row>
    <row r="282" spans="1:110" s="14" customFormat="1" x14ac:dyDescent="0.25">
      <c r="A282" t="s">
        <v>32</v>
      </c>
      <c r="B282" t="s">
        <v>290</v>
      </c>
      <c r="C282" t="s">
        <v>413</v>
      </c>
      <c r="D282" s="10">
        <f>D281-D281*inputs!$E$34</f>
        <v>0</v>
      </c>
      <c r="E282" t="str">
        <f t="shared" ca="1" si="5"/>
        <v>=D281-D281*inputs!$E$34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</row>
    <row r="283" spans="1:110" s="14" customFormat="1" x14ac:dyDescent="0.25">
      <c r="A283" t="s">
        <v>32</v>
      </c>
      <c r="B283" t="s">
        <v>290</v>
      </c>
      <c r="C283" t="s">
        <v>414</v>
      </c>
      <c r="D283" s="10">
        <f>D282-D282*inputs!$E$34</f>
        <v>0</v>
      </c>
      <c r="E283" t="str">
        <f t="shared" ca="1" si="5"/>
        <v>=D282-D282*inputs!$E$34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</row>
    <row r="284" spans="1:110" s="14" customFormat="1" x14ac:dyDescent="0.25">
      <c r="A284" t="s">
        <v>32</v>
      </c>
      <c r="B284" t="s">
        <v>290</v>
      </c>
      <c r="C284" t="s">
        <v>415</v>
      </c>
      <c r="D284" s="10">
        <f>D283-D283*inputs!$E$34</f>
        <v>0</v>
      </c>
      <c r="E284" t="str">
        <f t="shared" ca="1" si="5"/>
        <v>=D283-D283*inputs!$E$34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</row>
    <row r="285" spans="1:110" s="14" customFormat="1" x14ac:dyDescent="0.25">
      <c r="A285" t="s">
        <v>32</v>
      </c>
      <c r="B285" t="s">
        <v>290</v>
      </c>
      <c r="C285" t="s">
        <v>416</v>
      </c>
      <c r="D285" s="10">
        <f>D284-D284*inputs!$E$34</f>
        <v>0</v>
      </c>
      <c r="E285" t="str">
        <f t="shared" ca="1" si="5"/>
        <v>=D284-D284*inputs!$E$34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</row>
    <row r="286" spans="1:110" s="14" customFormat="1" x14ac:dyDescent="0.25">
      <c r="A286" t="s">
        <v>32</v>
      </c>
      <c r="B286" t="s">
        <v>290</v>
      </c>
      <c r="C286" t="s">
        <v>417</v>
      </c>
      <c r="D286" s="10">
        <f>D285-D285*inputs!$E$35</f>
        <v>0</v>
      </c>
      <c r="E286" t="str">
        <f t="shared" ca="1" si="5"/>
        <v>=D285-D285*inputs!$E$35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</row>
    <row r="287" spans="1:110" s="14" customFormat="1" x14ac:dyDescent="0.25">
      <c r="A287" t="s">
        <v>32</v>
      </c>
      <c r="B287" t="s">
        <v>290</v>
      </c>
      <c r="C287" t="s">
        <v>418</v>
      </c>
      <c r="D287" s="10">
        <f>D286-D286*inputs!$E$35</f>
        <v>0</v>
      </c>
      <c r="E287" t="str">
        <f t="shared" ca="1" si="5"/>
        <v>=D286-D286*inputs!$E$35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</row>
    <row r="288" spans="1:110" s="14" customFormat="1" x14ac:dyDescent="0.25">
      <c r="A288" t="s">
        <v>32</v>
      </c>
      <c r="B288" t="s">
        <v>290</v>
      </c>
      <c r="C288" t="s">
        <v>419</v>
      </c>
      <c r="D288" s="10">
        <f>D287-D287*inputs!$E$35</f>
        <v>0</v>
      </c>
      <c r="E288" t="str">
        <f t="shared" ca="1" si="5"/>
        <v>=D287-D287*inputs!$E$35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</row>
    <row r="289" spans="1:110" s="14" customFormat="1" x14ac:dyDescent="0.25">
      <c r="A289" t="s">
        <v>32</v>
      </c>
      <c r="B289" t="s">
        <v>290</v>
      </c>
      <c r="C289" t="s">
        <v>420</v>
      </c>
      <c r="D289" s="10">
        <f>D288-D288*inputs!$E$35</f>
        <v>0</v>
      </c>
      <c r="E289" t="str">
        <f t="shared" ca="1" si="5"/>
        <v>=D288-D288*inputs!$E$35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</row>
    <row r="290" spans="1:110" s="14" customFormat="1" x14ac:dyDescent="0.25">
      <c r="A290" t="s">
        <v>32</v>
      </c>
      <c r="B290" t="s">
        <v>290</v>
      </c>
      <c r="C290" t="s">
        <v>421</v>
      </c>
      <c r="D290" s="10">
        <f>D289-D289*inputs!$E$35</f>
        <v>0</v>
      </c>
      <c r="E290" t="str">
        <f t="shared" ca="1" si="5"/>
        <v>=D289-D289*inputs!$E$35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</row>
    <row r="291" spans="1:110" s="14" customFormat="1" x14ac:dyDescent="0.25">
      <c r="A291" t="s">
        <v>32</v>
      </c>
      <c r="B291" t="s">
        <v>290</v>
      </c>
      <c r="C291" t="s">
        <v>422</v>
      </c>
      <c r="D291" s="10">
        <f>D290-D290*inputs!$E$35</f>
        <v>0</v>
      </c>
      <c r="E291" t="str">
        <f t="shared" ca="1" si="5"/>
        <v>=D290-D290*inputs!$E$35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</row>
    <row r="292" spans="1:110" s="14" customFormat="1" x14ac:dyDescent="0.25">
      <c r="A292" t="s">
        <v>32</v>
      </c>
      <c r="B292" t="s">
        <v>290</v>
      </c>
      <c r="C292" t="s">
        <v>423</v>
      </c>
      <c r="D292" s="10">
        <f>D291-D291*inputs!$E$35</f>
        <v>0</v>
      </c>
      <c r="E292" t="str">
        <f t="shared" ca="1" si="5"/>
        <v>=D291-D291*inputs!$E$35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</row>
    <row r="293" spans="1:110" s="14" customFormat="1" x14ac:dyDescent="0.25">
      <c r="A293" t="s">
        <v>32</v>
      </c>
      <c r="B293" t="s">
        <v>290</v>
      </c>
      <c r="C293" t="s">
        <v>424</v>
      </c>
      <c r="D293" s="10">
        <f>D292-D292*inputs!$E$35</f>
        <v>0</v>
      </c>
      <c r="E293" t="str">
        <f t="shared" ca="1" si="5"/>
        <v>=D292-D292*inputs!$E$35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</row>
    <row r="294" spans="1:110" s="14" customFormat="1" x14ac:dyDescent="0.25">
      <c r="A294" t="s">
        <v>32</v>
      </c>
      <c r="B294" t="s">
        <v>290</v>
      </c>
      <c r="C294" t="s">
        <v>425</v>
      </c>
      <c r="D294" s="10">
        <f>D293-D293*inputs!$E$35</f>
        <v>0</v>
      </c>
      <c r="E294" t="str">
        <f t="shared" ca="1" si="5"/>
        <v>=D293-D293*inputs!$E$35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</row>
    <row r="295" spans="1:110" s="14" customFormat="1" x14ac:dyDescent="0.25">
      <c r="A295" t="s">
        <v>32</v>
      </c>
      <c r="B295" t="s">
        <v>290</v>
      </c>
      <c r="C295" t="s">
        <v>426</v>
      </c>
      <c r="D295" s="10">
        <f>D294-D294*inputs!$E$35</f>
        <v>0</v>
      </c>
      <c r="E295" t="str">
        <f t="shared" ca="1" si="5"/>
        <v>=D294-D294*inputs!$E$35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</row>
    <row r="296" spans="1:110" s="14" customFormat="1" x14ac:dyDescent="0.25">
      <c r="A296" t="s">
        <v>32</v>
      </c>
      <c r="B296" t="s">
        <v>290</v>
      </c>
      <c r="C296" t="s">
        <v>427</v>
      </c>
      <c r="D296" s="10">
        <f>D295-D295*inputs!$E$36</f>
        <v>0</v>
      </c>
      <c r="E296" t="str">
        <f t="shared" ca="1" si="5"/>
        <v>=D295-D295*inputs!$E$36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</row>
    <row r="297" spans="1:110" s="14" customFormat="1" x14ac:dyDescent="0.25">
      <c r="A297" t="s">
        <v>32</v>
      </c>
      <c r="B297" t="s">
        <v>290</v>
      </c>
      <c r="C297" t="s">
        <v>428</v>
      </c>
      <c r="D297" s="10">
        <f>D296-D296*inputs!$E$36</f>
        <v>0</v>
      </c>
      <c r="E297" t="str">
        <f t="shared" ca="1" si="5"/>
        <v>=D296-D296*inputs!$E$36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</row>
    <row r="298" spans="1:110" s="14" customFormat="1" x14ac:dyDescent="0.25">
      <c r="A298" t="s">
        <v>32</v>
      </c>
      <c r="B298" t="s">
        <v>290</v>
      </c>
      <c r="C298" t="s">
        <v>429</v>
      </c>
      <c r="D298" s="10">
        <f>D297-D297*inputs!$E$36</f>
        <v>0</v>
      </c>
      <c r="E298" t="str">
        <f t="shared" ca="1" si="5"/>
        <v>=D297-D297*inputs!$E$36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</row>
    <row r="299" spans="1:110" s="14" customFormat="1" x14ac:dyDescent="0.25">
      <c r="A299" t="s">
        <v>32</v>
      </c>
      <c r="B299" t="s">
        <v>290</v>
      </c>
      <c r="C299" t="s">
        <v>430</v>
      </c>
      <c r="D299" s="10">
        <f>D298-D298*inputs!$E$36</f>
        <v>0</v>
      </c>
      <c r="E299" t="str">
        <f t="shared" ca="1" si="5"/>
        <v>=D298-D298*inputs!$E$36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</row>
    <row r="300" spans="1:110" s="14" customFormat="1" x14ac:dyDescent="0.25">
      <c r="A300" t="s">
        <v>32</v>
      </c>
      <c r="B300" t="s">
        <v>290</v>
      </c>
      <c r="C300" t="s">
        <v>431</v>
      </c>
      <c r="D300" s="10">
        <f>D299-D299*inputs!$E$36</f>
        <v>0</v>
      </c>
      <c r="E300" t="str">
        <f t="shared" ca="1" si="5"/>
        <v>=D299-D299*inputs!$E$36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</row>
    <row r="301" spans="1:110" s="14" customFormat="1" x14ac:dyDescent="0.25">
      <c r="A301" t="s">
        <v>32</v>
      </c>
      <c r="B301" t="s">
        <v>290</v>
      </c>
      <c r="C301" t="s">
        <v>432</v>
      </c>
      <c r="D301" s="10">
        <f>D300-D300*inputs!$E$37</f>
        <v>0</v>
      </c>
      <c r="E301" t="str">
        <f t="shared" ca="1" si="5"/>
        <v>=D300-D300*inputs!$E$37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</row>
    <row r="302" spans="1:110" s="14" customFormat="1" x14ac:dyDescent="0.25">
      <c r="A302" t="s">
        <v>32</v>
      </c>
      <c r="B302" t="s">
        <v>290</v>
      </c>
      <c r="C302" t="s">
        <v>433</v>
      </c>
      <c r="D302" s="10">
        <f>D301-D301*inputs!$E$37</f>
        <v>0</v>
      </c>
      <c r="E302" t="str">
        <f t="shared" ca="1" si="5"/>
        <v>=D301-D301*inputs!$E$37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</row>
    <row r="303" spans="1:110" s="14" customFormat="1" x14ac:dyDescent="0.25">
      <c r="A303" t="s">
        <v>32</v>
      </c>
      <c r="B303" t="s">
        <v>290</v>
      </c>
      <c r="C303" t="s">
        <v>434</v>
      </c>
      <c r="D303" s="10">
        <f>D302-D302*inputs!$E$37</f>
        <v>0</v>
      </c>
      <c r="E303" t="str">
        <f t="shared" ca="1" si="5"/>
        <v>=D302-D302*inputs!$E$37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</row>
    <row r="304" spans="1:110" s="14" customFormat="1" x14ac:dyDescent="0.25">
      <c r="A304" t="s">
        <v>32</v>
      </c>
      <c r="B304" t="s">
        <v>290</v>
      </c>
      <c r="C304" t="s">
        <v>435</v>
      </c>
      <c r="D304" s="10">
        <f>D303-D303*inputs!$E$37</f>
        <v>0</v>
      </c>
      <c r="E304" t="str">
        <f t="shared" ca="1" si="5"/>
        <v>=D303-D303*inputs!$E$37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</row>
    <row r="305" spans="1:110" s="14" customFormat="1" x14ac:dyDescent="0.25">
      <c r="A305" t="s">
        <v>32</v>
      </c>
      <c r="B305" t="s">
        <v>290</v>
      </c>
      <c r="C305" t="s">
        <v>436</v>
      </c>
      <c r="D305" s="10">
        <f>D304-D304*inputs!$E$37</f>
        <v>0</v>
      </c>
      <c r="E305" t="str">
        <f t="shared" ca="1" si="5"/>
        <v>=D304-D304*inputs!$E$37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</row>
    <row r="306" spans="1:110" s="14" customFormat="1" x14ac:dyDescent="0.25">
      <c r="A306" t="s">
        <v>32</v>
      </c>
      <c r="B306" t="s">
        <v>290</v>
      </c>
      <c r="C306" t="s">
        <v>437</v>
      </c>
      <c r="D306" s="10">
        <f>D305-D305*inputs!$E$38</f>
        <v>0</v>
      </c>
      <c r="E306" t="str">
        <f t="shared" ca="1" si="5"/>
        <v>=D305-D305*inputs!$E$38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</row>
    <row r="307" spans="1:110" s="14" customFormat="1" x14ac:dyDescent="0.25">
      <c r="A307" t="s">
        <v>32</v>
      </c>
      <c r="B307" t="s">
        <v>290</v>
      </c>
      <c r="C307" t="s">
        <v>438</v>
      </c>
      <c r="D307" s="10">
        <f>D306-D306*inputs!$E$38</f>
        <v>0</v>
      </c>
      <c r="E307" t="str">
        <f t="shared" ca="1" si="5"/>
        <v>=D306-D306*inputs!$E$38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</row>
    <row r="308" spans="1:110" s="14" customFormat="1" x14ac:dyDescent="0.25">
      <c r="A308" t="s">
        <v>32</v>
      </c>
      <c r="B308" t="s">
        <v>290</v>
      </c>
      <c r="C308" t="s">
        <v>439</v>
      </c>
      <c r="D308" s="10">
        <f>D307-D307*inputs!$E$38</f>
        <v>0</v>
      </c>
      <c r="E308" t="str">
        <f t="shared" ca="1" si="5"/>
        <v>=D307-D307*inputs!$E$38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</row>
    <row r="309" spans="1:110" s="14" customFormat="1" x14ac:dyDescent="0.25">
      <c r="A309" t="s">
        <v>32</v>
      </c>
      <c r="B309" t="s">
        <v>290</v>
      </c>
      <c r="C309" t="s">
        <v>440</v>
      </c>
      <c r="D309" s="10">
        <f>D308-D308*inputs!$E$38</f>
        <v>0</v>
      </c>
      <c r="E309" t="str">
        <f t="shared" ca="1" si="5"/>
        <v>=D308-D308*inputs!$E$38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</row>
    <row r="310" spans="1:110" s="14" customFormat="1" x14ac:dyDescent="0.25">
      <c r="A310" t="s">
        <v>32</v>
      </c>
      <c r="B310" t="s">
        <v>290</v>
      </c>
      <c r="C310" t="s">
        <v>441</v>
      </c>
      <c r="D310" s="10">
        <f>D309-D309*inputs!$E$38</f>
        <v>0</v>
      </c>
      <c r="E310" t="str">
        <f t="shared" ca="1" si="5"/>
        <v>=D309-D309*inputs!$E$38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</row>
    <row r="311" spans="1:110" s="14" customFormat="1" x14ac:dyDescent="0.25">
      <c r="A311" t="s">
        <v>32</v>
      </c>
      <c r="B311" t="s">
        <v>290</v>
      </c>
      <c r="C311" t="s">
        <v>442</v>
      </c>
      <c r="D311" s="10">
        <f>D310-D310*inputs!$E$38</f>
        <v>0</v>
      </c>
      <c r="E311" t="str">
        <f t="shared" ca="1" si="5"/>
        <v>=D310-D310*inputs!$E$38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</row>
    <row r="312" spans="1:110" s="14" customFormat="1" x14ac:dyDescent="0.25">
      <c r="A312" t="s">
        <v>32</v>
      </c>
      <c r="B312" t="s">
        <v>290</v>
      </c>
      <c r="C312" t="s">
        <v>443</v>
      </c>
      <c r="D312" s="10">
        <f>D311-D311*inputs!$E$38</f>
        <v>0</v>
      </c>
      <c r="E312" t="str">
        <f t="shared" ca="1" si="5"/>
        <v>=D311-D311*inputs!$E$38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</row>
    <row r="313" spans="1:110" s="14" customFormat="1" x14ac:dyDescent="0.25">
      <c r="A313" t="s">
        <v>32</v>
      </c>
      <c r="B313" t="s">
        <v>290</v>
      </c>
      <c r="C313" t="s">
        <v>444</v>
      </c>
      <c r="D313" s="10">
        <f>D312-D312*inputs!$E$38</f>
        <v>0</v>
      </c>
      <c r="E313" t="str">
        <f t="shared" ca="1" si="5"/>
        <v>=D312-D312*inputs!$E$38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</row>
    <row r="314" spans="1:110" s="14" customFormat="1" x14ac:dyDescent="0.25">
      <c r="A314" t="s">
        <v>32</v>
      </c>
      <c r="B314" t="s">
        <v>290</v>
      </c>
      <c r="C314" t="s">
        <v>445</v>
      </c>
      <c r="D314" s="10">
        <f>D313-D313*inputs!$E$38</f>
        <v>0</v>
      </c>
      <c r="E314" t="str">
        <f t="shared" ca="1" si="5"/>
        <v>=D313-D313*inputs!$E$38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</row>
    <row r="315" spans="1:110" s="14" customFormat="1" x14ac:dyDescent="0.25">
      <c r="A315" t="s">
        <v>32</v>
      </c>
      <c r="B315" t="s">
        <v>290</v>
      </c>
      <c r="C315" t="s">
        <v>446</v>
      </c>
      <c r="D315" s="10">
        <f>D314-D314*inputs!$E$38</f>
        <v>0</v>
      </c>
      <c r="E315" t="str">
        <f t="shared" ca="1" si="5"/>
        <v>=D314-D314*inputs!$E$38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</row>
    <row r="316" spans="1:110" s="16" customFormat="1" x14ac:dyDescent="0.25">
      <c r="A316" t="s">
        <v>32</v>
      </c>
      <c r="B316" t="s">
        <v>290</v>
      </c>
      <c r="C316" t="s">
        <v>447</v>
      </c>
      <c r="D316" s="10">
        <f>$D$159-$D$159*inputs!$E$33</f>
        <v>0</v>
      </c>
      <c r="E316" t="str">
        <f t="shared" ca="1" si="5"/>
        <v>=$D$159-$D$159*inputs!$E$33</v>
      </c>
      <c r="F316" t="s">
        <v>818</v>
      </c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</row>
    <row r="317" spans="1:110" s="16" customFormat="1" x14ac:dyDescent="0.25">
      <c r="A317" t="s">
        <v>32</v>
      </c>
      <c r="B317" t="s">
        <v>290</v>
      </c>
      <c r="C317" t="s">
        <v>448</v>
      </c>
      <c r="D317" s="10">
        <f>D316-D316*inputs!$E$33</f>
        <v>0</v>
      </c>
      <c r="E317" t="str">
        <f t="shared" ca="1" si="5"/>
        <v>=D316-D316*inputs!$E$33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</row>
    <row r="318" spans="1:110" s="16" customFormat="1" x14ac:dyDescent="0.25">
      <c r="A318" t="s">
        <v>32</v>
      </c>
      <c r="B318" t="s">
        <v>290</v>
      </c>
      <c r="C318" t="s">
        <v>449</v>
      </c>
      <c r="D318" s="10">
        <f>D317-D317*inputs!$E$33</f>
        <v>0</v>
      </c>
      <c r="E318" t="str">
        <f t="shared" ca="1" si="5"/>
        <v>=D317-D317*inputs!$E$33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</row>
    <row r="319" spans="1:110" s="16" customFormat="1" x14ac:dyDescent="0.25">
      <c r="A319" t="s">
        <v>32</v>
      </c>
      <c r="B319" t="s">
        <v>290</v>
      </c>
      <c r="C319" t="s">
        <v>450</v>
      </c>
      <c r="D319" s="10">
        <f>D318-D318*inputs!$E$33</f>
        <v>0</v>
      </c>
      <c r="E319" t="str">
        <f t="shared" ca="1" si="5"/>
        <v>=D318-D318*inputs!$E$33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</row>
    <row r="320" spans="1:110" s="16" customFormat="1" x14ac:dyDescent="0.25">
      <c r="A320" t="s">
        <v>32</v>
      </c>
      <c r="B320" t="s">
        <v>290</v>
      </c>
      <c r="C320" t="s">
        <v>451</v>
      </c>
      <c r="D320" s="10">
        <f>D319-D319*inputs!$E$34</f>
        <v>0</v>
      </c>
      <c r="E320" t="str">
        <f t="shared" ca="1" si="5"/>
        <v>=D319-D319*inputs!$E$34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</row>
    <row r="321" spans="1:110" s="16" customFormat="1" x14ac:dyDescent="0.25">
      <c r="A321" t="s">
        <v>32</v>
      </c>
      <c r="B321" t="s">
        <v>290</v>
      </c>
      <c r="C321" t="s">
        <v>452</v>
      </c>
      <c r="D321" s="10">
        <f>D320-D320*inputs!$E$34</f>
        <v>0</v>
      </c>
      <c r="E321" t="str">
        <f t="shared" ca="1" si="5"/>
        <v>=D320-D320*inputs!$E$34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</row>
    <row r="322" spans="1:110" s="16" customFormat="1" x14ac:dyDescent="0.25">
      <c r="A322" t="s">
        <v>32</v>
      </c>
      <c r="B322" t="s">
        <v>290</v>
      </c>
      <c r="C322" t="s">
        <v>453</v>
      </c>
      <c r="D322" s="10">
        <f>D321-D321*inputs!$E$34</f>
        <v>0</v>
      </c>
      <c r="E322" t="str">
        <f t="shared" ca="1" si="5"/>
        <v>=D321-D321*inputs!$E$34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</row>
    <row r="323" spans="1:110" s="16" customFormat="1" x14ac:dyDescent="0.25">
      <c r="A323" t="s">
        <v>32</v>
      </c>
      <c r="B323" t="s">
        <v>290</v>
      </c>
      <c r="C323" t="s">
        <v>454</v>
      </c>
      <c r="D323" s="10">
        <f>D322-D322*inputs!$E$34</f>
        <v>0</v>
      </c>
      <c r="E323" t="str">
        <f t="shared" ca="1" si="5"/>
        <v>=D322-D322*inputs!$E$34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</row>
    <row r="324" spans="1:110" s="16" customFormat="1" x14ac:dyDescent="0.25">
      <c r="A324" t="s">
        <v>32</v>
      </c>
      <c r="B324" t="s">
        <v>290</v>
      </c>
      <c r="C324" t="s">
        <v>455</v>
      </c>
      <c r="D324" s="10">
        <f>D323-D323*inputs!$E$34</f>
        <v>0</v>
      </c>
      <c r="E324" t="str">
        <f t="shared" ca="1" si="5"/>
        <v>=D323-D323*inputs!$E$34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</row>
    <row r="325" spans="1:110" s="16" customFormat="1" x14ac:dyDescent="0.25">
      <c r="A325" t="s">
        <v>32</v>
      </c>
      <c r="B325" t="s">
        <v>290</v>
      </c>
      <c r="C325" t="s">
        <v>456</v>
      </c>
      <c r="D325" s="10">
        <f>D324-D324*inputs!$E$35</f>
        <v>0</v>
      </c>
      <c r="E325" t="str">
        <f t="shared" ca="1" si="5"/>
        <v>=D324-D324*inputs!$E$35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</row>
    <row r="326" spans="1:110" s="16" customFormat="1" x14ac:dyDescent="0.25">
      <c r="A326" t="s">
        <v>32</v>
      </c>
      <c r="B326" t="s">
        <v>290</v>
      </c>
      <c r="C326" t="s">
        <v>457</v>
      </c>
      <c r="D326" s="10">
        <f>D325-D325*inputs!$E$35</f>
        <v>0</v>
      </c>
      <c r="E326" t="str">
        <f t="shared" ca="1" si="5"/>
        <v>=D325-D325*inputs!$E$35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</row>
    <row r="327" spans="1:110" s="16" customFormat="1" x14ac:dyDescent="0.25">
      <c r="A327" t="s">
        <v>32</v>
      </c>
      <c r="B327" t="s">
        <v>290</v>
      </c>
      <c r="C327" t="s">
        <v>458</v>
      </c>
      <c r="D327" s="10">
        <f>D326-D326*inputs!$E$35</f>
        <v>0</v>
      </c>
      <c r="E327" t="str">
        <f t="shared" ca="1" si="5"/>
        <v>=D326-D326*inputs!$E$35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</row>
    <row r="328" spans="1:110" s="16" customFormat="1" x14ac:dyDescent="0.25">
      <c r="A328" t="s">
        <v>32</v>
      </c>
      <c r="B328" t="s">
        <v>290</v>
      </c>
      <c r="C328" t="s">
        <v>459</v>
      </c>
      <c r="D328" s="10">
        <f>D327-D327*inputs!$E$35</f>
        <v>0</v>
      </c>
      <c r="E328" t="str">
        <f t="shared" ca="1" si="5"/>
        <v>=D327-D327*inputs!$E$35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</row>
    <row r="329" spans="1:110" s="16" customFormat="1" x14ac:dyDescent="0.25">
      <c r="A329" t="s">
        <v>32</v>
      </c>
      <c r="B329" t="s">
        <v>290</v>
      </c>
      <c r="C329" t="s">
        <v>460</v>
      </c>
      <c r="D329" s="10">
        <f>D328-D328*inputs!$E$35</f>
        <v>0</v>
      </c>
      <c r="E329" t="str">
        <f t="shared" ca="1" si="5"/>
        <v>=D328-D328*inputs!$E$35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</row>
    <row r="330" spans="1:110" s="16" customFormat="1" x14ac:dyDescent="0.25">
      <c r="A330" t="s">
        <v>32</v>
      </c>
      <c r="B330" t="s">
        <v>290</v>
      </c>
      <c r="C330" t="s">
        <v>461</v>
      </c>
      <c r="D330" s="10">
        <f>D329-D329*inputs!$E$35</f>
        <v>0</v>
      </c>
      <c r="E330" t="str">
        <f t="shared" ca="1" si="5"/>
        <v>=D329-D329*inputs!$E$35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</row>
    <row r="331" spans="1:110" s="16" customFormat="1" x14ac:dyDescent="0.25">
      <c r="A331" t="s">
        <v>32</v>
      </c>
      <c r="B331" t="s">
        <v>290</v>
      </c>
      <c r="C331" t="s">
        <v>462</v>
      </c>
      <c r="D331" s="10">
        <f>D330-D330*inputs!$E$35</f>
        <v>0</v>
      </c>
      <c r="E331" t="str">
        <f t="shared" ca="1" si="5"/>
        <v>=D330-D330*inputs!$E$35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</row>
    <row r="332" spans="1:110" s="16" customFormat="1" x14ac:dyDescent="0.25">
      <c r="A332" t="s">
        <v>32</v>
      </c>
      <c r="B332" t="s">
        <v>290</v>
      </c>
      <c r="C332" t="s">
        <v>463</v>
      </c>
      <c r="D332" s="10">
        <f>D331-D331*inputs!$E$35</f>
        <v>0</v>
      </c>
      <c r="E332" t="str">
        <f t="shared" ca="1" si="5"/>
        <v>=D331-D331*inputs!$E$35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</row>
    <row r="333" spans="1:110" s="16" customFormat="1" x14ac:dyDescent="0.25">
      <c r="A333" t="s">
        <v>32</v>
      </c>
      <c r="B333" t="s">
        <v>290</v>
      </c>
      <c r="C333" t="s">
        <v>464</v>
      </c>
      <c r="D333" s="10">
        <f>D332-D332*inputs!$E$35</f>
        <v>0</v>
      </c>
      <c r="E333" t="str">
        <f t="shared" ca="1" si="5"/>
        <v>=D332-D332*inputs!$E$35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</row>
    <row r="334" spans="1:110" s="16" customFormat="1" x14ac:dyDescent="0.25">
      <c r="A334" t="s">
        <v>32</v>
      </c>
      <c r="B334" t="s">
        <v>290</v>
      </c>
      <c r="C334" t="s">
        <v>465</v>
      </c>
      <c r="D334" s="10">
        <f>D333-D333*inputs!$E$35</f>
        <v>0</v>
      </c>
      <c r="E334" t="str">
        <f t="shared" ca="1" si="5"/>
        <v>=D333-D333*inputs!$E$35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</row>
    <row r="335" spans="1:110" s="16" customFormat="1" x14ac:dyDescent="0.25">
      <c r="A335" t="s">
        <v>32</v>
      </c>
      <c r="B335" t="s">
        <v>290</v>
      </c>
      <c r="C335" t="s">
        <v>466</v>
      </c>
      <c r="D335" s="10">
        <f>D334-D334*inputs!$E$36</f>
        <v>0</v>
      </c>
      <c r="E335" t="str">
        <f t="shared" ca="1" si="5"/>
        <v>=D334-D334*inputs!$E$36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</row>
    <row r="336" spans="1:110" s="16" customFormat="1" x14ac:dyDescent="0.25">
      <c r="A336" t="s">
        <v>32</v>
      </c>
      <c r="B336" t="s">
        <v>290</v>
      </c>
      <c r="C336" t="s">
        <v>467</v>
      </c>
      <c r="D336" s="10">
        <f>D335-D335*inputs!$E$36</f>
        <v>0</v>
      </c>
      <c r="E336" t="str">
        <f t="shared" ca="1" si="5"/>
        <v>=D335-D335*inputs!$E$36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</row>
    <row r="337" spans="1:110" s="16" customFormat="1" x14ac:dyDescent="0.25">
      <c r="A337" t="s">
        <v>32</v>
      </c>
      <c r="B337" t="s">
        <v>290</v>
      </c>
      <c r="C337" t="s">
        <v>468</v>
      </c>
      <c r="D337" s="10">
        <f>D336-D336*inputs!$E$36</f>
        <v>0</v>
      </c>
      <c r="E337" t="str">
        <f t="shared" ca="1" si="5"/>
        <v>=D336-D336*inputs!$E$36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</row>
    <row r="338" spans="1:110" s="16" customFormat="1" x14ac:dyDescent="0.25">
      <c r="A338" t="s">
        <v>32</v>
      </c>
      <c r="B338" t="s">
        <v>290</v>
      </c>
      <c r="C338" t="s">
        <v>469</v>
      </c>
      <c r="D338" s="10">
        <f>D337-D337*inputs!$E$36</f>
        <v>0</v>
      </c>
      <c r="E338" t="str">
        <f t="shared" ca="1" si="5"/>
        <v>=D337-D337*inputs!$E$36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</row>
    <row r="339" spans="1:110" s="16" customFormat="1" x14ac:dyDescent="0.25">
      <c r="A339" t="s">
        <v>32</v>
      </c>
      <c r="B339" t="s">
        <v>290</v>
      </c>
      <c r="C339" t="s">
        <v>470</v>
      </c>
      <c r="D339" s="10">
        <f>D338-D338*inputs!$E$36</f>
        <v>0</v>
      </c>
      <c r="E339" t="str">
        <f t="shared" ca="1" si="5"/>
        <v>=D338-D338*inputs!$E$36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</row>
    <row r="340" spans="1:110" s="16" customFormat="1" x14ac:dyDescent="0.25">
      <c r="A340" t="s">
        <v>32</v>
      </c>
      <c r="B340" t="s">
        <v>290</v>
      </c>
      <c r="C340" t="s">
        <v>471</v>
      </c>
      <c r="D340" s="10">
        <f>D339-D339*inputs!$E$37</f>
        <v>0</v>
      </c>
      <c r="E340" t="str">
        <f t="shared" ca="1" si="5"/>
        <v>=D339-D339*inputs!$E$37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</row>
    <row r="341" spans="1:110" s="16" customFormat="1" x14ac:dyDescent="0.25">
      <c r="A341" t="s">
        <v>32</v>
      </c>
      <c r="B341" t="s">
        <v>290</v>
      </c>
      <c r="C341" t="s">
        <v>472</v>
      </c>
      <c r="D341" s="10">
        <f>D340-D340*inputs!$E$37</f>
        <v>0</v>
      </c>
      <c r="E341" t="str">
        <f t="shared" ca="1" si="5"/>
        <v>=D340-D340*inputs!$E$37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</row>
    <row r="342" spans="1:110" s="16" customFormat="1" x14ac:dyDescent="0.25">
      <c r="A342" t="s">
        <v>32</v>
      </c>
      <c r="B342" t="s">
        <v>290</v>
      </c>
      <c r="C342" t="s">
        <v>473</v>
      </c>
      <c r="D342" s="10">
        <f>D341-D341*inputs!$E$37</f>
        <v>0</v>
      </c>
      <c r="E342" t="str">
        <f t="shared" ca="1" si="5"/>
        <v>=D341-D341*inputs!$E$37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</row>
    <row r="343" spans="1:110" s="16" customFormat="1" x14ac:dyDescent="0.25">
      <c r="A343" t="s">
        <v>32</v>
      </c>
      <c r="B343" t="s">
        <v>290</v>
      </c>
      <c r="C343" t="s">
        <v>474</v>
      </c>
      <c r="D343" s="10">
        <f>D342-D342*inputs!$E$37</f>
        <v>0</v>
      </c>
      <c r="E343" t="str">
        <f t="shared" ca="1" si="5"/>
        <v>=D342-D342*inputs!$E$37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</row>
    <row r="344" spans="1:110" s="16" customFormat="1" x14ac:dyDescent="0.25">
      <c r="A344" t="s">
        <v>32</v>
      </c>
      <c r="B344" t="s">
        <v>290</v>
      </c>
      <c r="C344" t="s">
        <v>475</v>
      </c>
      <c r="D344" s="10">
        <f>D343-D343*inputs!$E$37</f>
        <v>0</v>
      </c>
      <c r="E344" t="str">
        <f t="shared" ref="E344:E407" ca="1" si="6">_xlfn.FORMULATEXT(D344)</f>
        <v>=D343-D343*inputs!$E$37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</row>
    <row r="345" spans="1:110" s="16" customFormat="1" x14ac:dyDescent="0.25">
      <c r="A345" t="s">
        <v>32</v>
      </c>
      <c r="B345" t="s">
        <v>290</v>
      </c>
      <c r="C345" t="s">
        <v>476</v>
      </c>
      <c r="D345" s="10">
        <f>D344-D344*inputs!$E$38</f>
        <v>0</v>
      </c>
      <c r="E345" t="str">
        <f t="shared" ca="1" si="6"/>
        <v>=D344-D344*inputs!$E$38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</row>
    <row r="346" spans="1:110" s="16" customFormat="1" x14ac:dyDescent="0.25">
      <c r="A346" t="s">
        <v>32</v>
      </c>
      <c r="B346" t="s">
        <v>290</v>
      </c>
      <c r="C346" t="s">
        <v>477</v>
      </c>
      <c r="D346" s="10">
        <f>D345-D345*inputs!$E$38</f>
        <v>0</v>
      </c>
      <c r="E346" t="str">
        <f t="shared" ca="1" si="6"/>
        <v>=D345-D345*inputs!$E$38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</row>
    <row r="347" spans="1:110" s="16" customFormat="1" x14ac:dyDescent="0.25">
      <c r="A347" t="s">
        <v>32</v>
      </c>
      <c r="B347" t="s">
        <v>290</v>
      </c>
      <c r="C347" t="s">
        <v>478</v>
      </c>
      <c r="D347" s="10">
        <f>D346-D346*inputs!$E$38</f>
        <v>0</v>
      </c>
      <c r="E347" t="str">
        <f t="shared" ca="1" si="6"/>
        <v>=D346-D346*inputs!$E$38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</row>
    <row r="348" spans="1:110" s="16" customFormat="1" x14ac:dyDescent="0.25">
      <c r="A348" t="s">
        <v>32</v>
      </c>
      <c r="B348" t="s">
        <v>290</v>
      </c>
      <c r="C348" t="s">
        <v>479</v>
      </c>
      <c r="D348" s="10">
        <f>D347-D347*inputs!$E$38</f>
        <v>0</v>
      </c>
      <c r="E348" t="str">
        <f t="shared" ca="1" si="6"/>
        <v>=D347-D347*inputs!$E$38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</row>
    <row r="349" spans="1:110" s="16" customFormat="1" x14ac:dyDescent="0.25">
      <c r="A349" t="s">
        <v>32</v>
      </c>
      <c r="B349" t="s">
        <v>290</v>
      </c>
      <c r="C349" t="s">
        <v>480</v>
      </c>
      <c r="D349" s="10">
        <f>D348-D348*inputs!$E$38</f>
        <v>0</v>
      </c>
      <c r="E349" t="str">
        <f t="shared" ca="1" si="6"/>
        <v>=D348-D348*inputs!$E$38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</row>
    <row r="350" spans="1:110" s="16" customFormat="1" x14ac:dyDescent="0.25">
      <c r="A350" t="s">
        <v>32</v>
      </c>
      <c r="B350" t="s">
        <v>290</v>
      </c>
      <c r="C350" t="s">
        <v>481</v>
      </c>
      <c r="D350" s="10">
        <f>D349-D349*inputs!$E$38</f>
        <v>0</v>
      </c>
      <c r="E350" t="str">
        <f t="shared" ca="1" si="6"/>
        <v>=D349-D349*inputs!$E$38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</row>
    <row r="351" spans="1:110" s="16" customFormat="1" x14ac:dyDescent="0.25">
      <c r="A351" t="s">
        <v>32</v>
      </c>
      <c r="B351" t="s">
        <v>290</v>
      </c>
      <c r="C351" t="s">
        <v>482</v>
      </c>
      <c r="D351" s="10">
        <f>D350-D350*inputs!$E$38</f>
        <v>0</v>
      </c>
      <c r="E351" t="str">
        <f t="shared" ca="1" si="6"/>
        <v>=D350-D350*inputs!$E$38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</row>
    <row r="352" spans="1:110" s="16" customFormat="1" x14ac:dyDescent="0.25">
      <c r="A352" t="s">
        <v>32</v>
      </c>
      <c r="B352" t="s">
        <v>290</v>
      </c>
      <c r="C352" t="s">
        <v>483</v>
      </c>
      <c r="D352" s="10">
        <f>D351-D351*inputs!$E$38</f>
        <v>0</v>
      </c>
      <c r="E352" t="str">
        <f t="shared" ca="1" si="6"/>
        <v>=D351-D351*inputs!$E$38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</row>
    <row r="353" spans="1:110" s="16" customFormat="1" x14ac:dyDescent="0.25">
      <c r="A353" t="s">
        <v>32</v>
      </c>
      <c r="B353" t="s">
        <v>290</v>
      </c>
      <c r="C353" t="s">
        <v>484</v>
      </c>
      <c r="D353" s="10">
        <f>D352-D352*inputs!$E$38</f>
        <v>0</v>
      </c>
      <c r="E353" t="str">
        <f t="shared" ca="1" si="6"/>
        <v>=D352-D352*inputs!$E$38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</row>
    <row r="354" spans="1:110" s="16" customFormat="1" x14ac:dyDescent="0.25">
      <c r="A354" t="s">
        <v>32</v>
      </c>
      <c r="B354" t="s">
        <v>290</v>
      </c>
      <c r="C354" t="s">
        <v>485</v>
      </c>
      <c r="D354" s="10">
        <f>D353-D353*inputs!$E$38</f>
        <v>0</v>
      </c>
      <c r="E354" t="str">
        <f t="shared" ca="1" si="6"/>
        <v>=D353-D353*inputs!$E$38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</row>
    <row r="355" spans="1:110" s="14" customFormat="1" x14ac:dyDescent="0.25">
      <c r="A355" t="s">
        <v>32</v>
      </c>
      <c r="B355" t="s">
        <v>190</v>
      </c>
      <c r="C355" t="s">
        <v>494</v>
      </c>
      <c r="D355" s="10">
        <f>$D$150*inputs!E72</f>
        <v>145223.46617070577</v>
      </c>
      <c r="E355" t="str">
        <f ca="1">_xlfn.FORMULATEXT(D355)</f>
        <v>=$D$150*inputs!E72</v>
      </c>
      <c r="F355" t="s">
        <v>819</v>
      </c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</row>
    <row r="356" spans="1:110" s="16" customFormat="1" x14ac:dyDescent="0.25">
      <c r="A356" t="s">
        <v>32</v>
      </c>
      <c r="B356" t="s">
        <v>190</v>
      </c>
      <c r="C356" t="s">
        <v>496</v>
      </c>
      <c r="D356" s="10">
        <f>(D202*inputs!$E$75)/(inputs!$E$31)^inputs!E100</f>
        <v>1792.1981841532984</v>
      </c>
      <c r="E356" t="str">
        <f t="shared" ca="1" si="6"/>
        <v>=(D202*inputs!$E$75)/(inputs!$E$31)^inputs!E100</v>
      </c>
      <c r="F356" t="s">
        <v>820</v>
      </c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</row>
    <row r="357" spans="1:110" s="16" customFormat="1" x14ac:dyDescent="0.25">
      <c r="A357" t="s">
        <v>32</v>
      </c>
      <c r="B357" t="s">
        <v>190</v>
      </c>
      <c r="C357" t="s">
        <v>497</v>
      </c>
      <c r="D357" s="10">
        <f>(D203*inputs!$E$75)/(inputs!$E$31)^inputs!E101</f>
        <v>1739.4762375709249</v>
      </c>
      <c r="E357" t="str">
        <f t="shared" ca="1" si="6"/>
        <v>=(D203*inputs!$E$75)/(inputs!$E$31)^inputs!E101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</row>
    <row r="358" spans="1:110" s="16" customFormat="1" x14ac:dyDescent="0.25">
      <c r="A358" t="s">
        <v>32</v>
      </c>
      <c r="B358" t="s">
        <v>190</v>
      </c>
      <c r="C358" t="s">
        <v>498</v>
      </c>
      <c r="D358" s="10">
        <f>(D204*inputs!$E$75)/(inputs!$E$31)^inputs!E102</f>
        <v>1688.3052375724794</v>
      </c>
      <c r="E358" t="str">
        <f t="shared" ca="1" si="6"/>
        <v>=(D204*inputs!$E$75)/(inputs!$E$31)^inputs!E102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</row>
    <row r="359" spans="1:110" s="16" customFormat="1" x14ac:dyDescent="0.25">
      <c r="A359" t="s">
        <v>32</v>
      </c>
      <c r="B359" t="s">
        <v>190</v>
      </c>
      <c r="C359" t="s">
        <v>499</v>
      </c>
      <c r="D359" s="10">
        <f>(D205*inputs!$E$75)/(inputs!$E$31)^inputs!E103</f>
        <v>1638.6395592244735</v>
      </c>
      <c r="E359" t="str">
        <f t="shared" ca="1" si="6"/>
        <v>=(D205*inputs!$E$75)/(inputs!$E$31)^inputs!E103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</row>
    <row r="360" spans="1:110" s="16" customFormat="1" x14ac:dyDescent="0.25">
      <c r="A360" t="s">
        <v>32</v>
      </c>
      <c r="B360" t="s">
        <v>190</v>
      </c>
      <c r="C360" t="s">
        <v>500</v>
      </c>
      <c r="D360" s="10">
        <f>(D206*inputs!$E$75)/(inputs!$E$31)^inputs!E104</f>
        <v>1590.4349197637925</v>
      </c>
      <c r="E360" t="str">
        <f t="shared" ca="1" si="6"/>
        <v>=(D206*inputs!$E$75)/(inputs!$E$31)^inputs!E104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</row>
    <row r="361" spans="1:110" s="16" customFormat="1" x14ac:dyDescent="0.25">
      <c r="A361" t="s">
        <v>32</v>
      </c>
      <c r="B361" t="s">
        <v>190</v>
      </c>
      <c r="C361" t="s">
        <v>501</v>
      </c>
      <c r="D361" s="10">
        <f>(D207*inputs!$E$75)/(inputs!$E$31)^inputs!E105</f>
        <v>1543.6483391144307</v>
      </c>
      <c r="E361" t="str">
        <f t="shared" ca="1" si="6"/>
        <v>=(D207*inputs!$E$75)/(inputs!$E$31)^inputs!E105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</row>
    <row r="362" spans="1:110" s="16" customFormat="1" x14ac:dyDescent="0.25">
      <c r="A362" t="s">
        <v>32</v>
      </c>
      <c r="B362" t="s">
        <v>190</v>
      </c>
      <c r="C362" t="s">
        <v>502</v>
      </c>
      <c r="D362" s="10">
        <f>(D208*inputs!$E$75)/(inputs!$E$31)^inputs!E106</f>
        <v>1498.2381015657245</v>
      </c>
      <c r="E362" t="str">
        <f t="shared" ca="1" si="6"/>
        <v>=(D208*inputs!$E$75)/(inputs!$E$31)^inputs!E106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</row>
    <row r="363" spans="1:110" s="16" customFormat="1" x14ac:dyDescent="0.25">
      <c r="A363" t="s">
        <v>32</v>
      </c>
      <c r="B363" t="s">
        <v>190</v>
      </c>
      <c r="C363" t="s">
        <v>503</v>
      </c>
      <c r="D363" s="10">
        <f>(D209*inputs!$E$75)/(inputs!$E$31)^inputs!E107</f>
        <v>1454.1637185779175</v>
      </c>
      <c r="E363" t="str">
        <f t="shared" ca="1" si="6"/>
        <v>=(D209*inputs!$E$75)/(inputs!$E$31)^inputs!E107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</row>
    <row r="364" spans="1:110" s="16" customFormat="1" x14ac:dyDescent="0.25">
      <c r="A364" t="s">
        <v>32</v>
      </c>
      <c r="B364" t="s">
        <v>190</v>
      </c>
      <c r="C364" t="s">
        <v>504</v>
      </c>
      <c r="D364" s="10">
        <f>(D210*inputs!$E$75)/(inputs!$E$31)^inputs!E108</f>
        <v>1411.3858926818875</v>
      </c>
      <c r="E364" t="str">
        <f t="shared" ca="1" si="6"/>
        <v>=(D210*inputs!$E$75)/(inputs!$E$31)^inputs!E108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</row>
    <row r="365" spans="1:110" s="16" customFormat="1" x14ac:dyDescent="0.25">
      <c r="A365" t="s">
        <v>32</v>
      </c>
      <c r="B365" t="s">
        <v>190</v>
      </c>
      <c r="C365" t="s">
        <v>505</v>
      </c>
      <c r="D365" s="10">
        <f>(D211*inputs!$E$75)/(inputs!$E$31)^inputs!E109</f>
        <v>1369.866482440857</v>
      </c>
      <c r="E365" t="str">
        <f t="shared" ca="1" si="6"/>
        <v>=(D211*inputs!$E$75)/(inputs!$E$31)^inputs!E109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</row>
    <row r="366" spans="1:110" s="16" customFormat="1" x14ac:dyDescent="0.25">
      <c r="A366" t="s">
        <v>32</v>
      </c>
      <c r="B366" t="s">
        <v>190</v>
      </c>
      <c r="C366" t="s">
        <v>506</v>
      </c>
      <c r="D366" s="10">
        <f>(D212*inputs!$E$75)/(inputs!$E$31)^inputs!E110</f>
        <v>1329.5684684428395</v>
      </c>
      <c r="E366" t="str">
        <f t="shared" ca="1" si="6"/>
        <v>=(D212*inputs!$E$75)/(inputs!$E$31)^inputs!E110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</row>
    <row r="367" spans="1:110" s="16" customFormat="1" x14ac:dyDescent="0.25">
      <c r="A367" t="s">
        <v>32</v>
      </c>
      <c r="B367" t="s">
        <v>190</v>
      </c>
      <c r="C367" t="s">
        <v>507</v>
      </c>
      <c r="D367" s="10">
        <f>(D213*inputs!$E$75)/(inputs!$E$31)^inputs!E111</f>
        <v>1290.4559202935022</v>
      </c>
      <c r="E367" t="str">
        <f t="shared" ca="1" si="6"/>
        <v>=(D213*inputs!$E$75)/(inputs!$E$31)^inputs!E111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</row>
    <row r="368" spans="1:110" s="16" customFormat="1" x14ac:dyDescent="0.25">
      <c r="A368" t="s">
        <v>32</v>
      </c>
      <c r="B368" t="s">
        <v>190</v>
      </c>
      <c r="C368" t="s">
        <v>508</v>
      </c>
      <c r="D368" s="10">
        <f>(D214*inputs!$E$75)/(inputs!$E$31)^inputs!E112</f>
        <v>1252.4939645800137</v>
      </c>
      <c r="E368" t="str">
        <f t="shared" ca="1" si="6"/>
        <v>=(D214*inputs!$E$75)/(inputs!$E$31)^inputs!E112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</row>
    <row r="369" spans="1:110" s="16" customFormat="1" x14ac:dyDescent="0.25">
      <c r="A369" t="s">
        <v>32</v>
      </c>
      <c r="B369" t="s">
        <v>190</v>
      </c>
      <c r="C369" t="s">
        <v>509</v>
      </c>
      <c r="D369" s="10">
        <f>(D215*inputs!$E$75)/(inputs!$E$31)^inputs!E113</f>
        <v>1215.6487537773198</v>
      </c>
      <c r="E369" t="str">
        <f t="shared" ca="1" si="6"/>
        <v>=(D215*inputs!$E$75)/(inputs!$E$31)^inputs!E113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</row>
    <row r="370" spans="1:110" s="16" customFormat="1" x14ac:dyDescent="0.25">
      <c r="A370" t="s">
        <v>32</v>
      </c>
      <c r="B370" t="s">
        <v>190</v>
      </c>
      <c r="C370" t="s">
        <v>510</v>
      </c>
      <c r="D370" s="10">
        <f>(D216*inputs!$E$75)/(inputs!$E$31)^inputs!E114</f>
        <v>1179.8874360691134</v>
      </c>
      <c r="E370" t="str">
        <f t="shared" ca="1" si="6"/>
        <v>=(D216*inputs!$E$75)/(inputs!$E$31)^inputs!E114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</row>
    <row r="371" spans="1:110" s="16" customFormat="1" x14ac:dyDescent="0.25">
      <c r="A371" t="s">
        <v>32</v>
      </c>
      <c r="B371" t="s">
        <v>190</v>
      </c>
      <c r="C371" t="s">
        <v>511</v>
      </c>
      <c r="D371" s="10">
        <f>(D217*inputs!$E$75)/(inputs!$E$31)^inputs!E115</f>
        <v>1145.1781260565949</v>
      </c>
      <c r="E371" t="str">
        <f t="shared" ca="1" si="6"/>
        <v>=(D217*inputs!$E$75)/(inputs!$E$31)^inputs!E115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</row>
    <row r="372" spans="1:110" s="16" customFormat="1" x14ac:dyDescent="0.25">
      <c r="A372" t="s">
        <v>32</v>
      </c>
      <c r="B372" t="s">
        <v>190</v>
      </c>
      <c r="C372" t="s">
        <v>512</v>
      </c>
      <c r="D372" s="10">
        <f>(D218*inputs!$E$75)/(inputs!$E$31)^inputs!E116</f>
        <v>1110.7115999325617</v>
      </c>
      <c r="E372" t="str">
        <f t="shared" ca="1" si="6"/>
        <v>=(D218*inputs!$E$75)/(inputs!$E$31)^inputs!E116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</row>
    <row r="373" spans="1:110" s="16" customFormat="1" x14ac:dyDescent="0.25">
      <c r="A373" t="s">
        <v>32</v>
      </c>
      <c r="B373" t="s">
        <v>190</v>
      </c>
      <c r="C373" t="s">
        <v>513</v>
      </c>
      <c r="D373" s="10">
        <f>(D219*inputs!$E$75)/(inputs!$E$31)^inputs!E117</f>
        <v>1077.2824158569213</v>
      </c>
      <c r="E373" t="str">
        <f t="shared" ca="1" si="6"/>
        <v>=(D219*inputs!$E$75)/(inputs!$E$31)^inputs!E117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</row>
    <row r="374" spans="1:110" s="16" customFormat="1" x14ac:dyDescent="0.25">
      <c r="A374" t="s">
        <v>32</v>
      </c>
      <c r="B374" t="s">
        <v>190</v>
      </c>
      <c r="C374" t="s">
        <v>514</v>
      </c>
      <c r="D374" s="10">
        <f>(D220*inputs!$E$75)/(inputs!$E$31)^inputs!E118</f>
        <v>1044.8593528554022</v>
      </c>
      <c r="E374" t="str">
        <f t="shared" ca="1" si="6"/>
        <v>=(D220*inputs!$E$75)/(inputs!$E$31)^inputs!E118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</row>
    <row r="375" spans="1:110" s="16" customFormat="1" x14ac:dyDescent="0.25">
      <c r="A375" t="s">
        <v>32</v>
      </c>
      <c r="B375" t="s">
        <v>190</v>
      </c>
      <c r="C375" t="s">
        <v>515</v>
      </c>
      <c r="D375" s="10">
        <f>(D221*inputs!$E$75)/(inputs!$E$31)^inputs!E119</f>
        <v>1013.4121296141233</v>
      </c>
      <c r="E375" t="str">
        <f t="shared" ca="1" si="6"/>
        <v>=(D221*inputs!$E$75)/(inputs!$E$31)^inputs!E119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</row>
    <row r="376" spans="1:110" s="16" customFormat="1" x14ac:dyDescent="0.25">
      <c r="A376" t="s">
        <v>32</v>
      </c>
      <c r="B376" t="s">
        <v>190</v>
      </c>
      <c r="C376" t="s">
        <v>516</v>
      </c>
      <c r="D376" s="10">
        <f>(D222*inputs!$E$75)/(inputs!$E$31)^inputs!E120</f>
        <v>982.91137619855272</v>
      </c>
      <c r="E376" t="str">
        <f t="shared" ca="1" si="6"/>
        <v>=(D222*inputs!$E$75)/(inputs!$E$31)^inputs!E120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</row>
    <row r="377" spans="1:110" s="16" customFormat="1" x14ac:dyDescent="0.25">
      <c r="A377" t="s">
        <v>32</v>
      </c>
      <c r="B377" t="s">
        <v>190</v>
      </c>
      <c r="C377" t="s">
        <v>517</v>
      </c>
      <c r="D377" s="10">
        <f>(D223*inputs!$E$75)/(inputs!$E$31)^inputs!E121</f>
        <v>952.37432373413151</v>
      </c>
      <c r="E377" t="str">
        <f t="shared" ca="1" si="6"/>
        <v>=(D223*inputs!$E$75)/(inputs!$E$31)^inputs!E121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</row>
    <row r="378" spans="1:110" s="16" customFormat="1" x14ac:dyDescent="0.25">
      <c r="A378" t="s">
        <v>32</v>
      </c>
      <c r="B378" t="s">
        <v>190</v>
      </c>
      <c r="C378" t="s">
        <v>518</v>
      </c>
      <c r="D378" s="10">
        <f>(D224*inputs!$E$75)/(inputs!$E$31)^inputs!E122</f>
        <v>922.78599522977026</v>
      </c>
      <c r="E378" t="str">
        <f t="shared" ca="1" si="6"/>
        <v>=(D224*inputs!$E$75)/(inputs!$E$31)^inputs!E122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</row>
    <row r="379" spans="1:110" s="16" customFormat="1" x14ac:dyDescent="0.25">
      <c r="A379" t="s">
        <v>32</v>
      </c>
      <c r="B379" t="s">
        <v>190</v>
      </c>
      <c r="C379" t="s">
        <v>519</v>
      </c>
      <c r="D379" s="10">
        <f>(D225*inputs!$E$75)/(inputs!$E$31)^inputs!E123</f>
        <v>894.11691576632109</v>
      </c>
      <c r="E379" t="str">
        <f t="shared" ca="1" si="6"/>
        <v>=(D225*inputs!$E$75)/(inputs!$E$31)^inputs!E123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</row>
    <row r="380" spans="1:110" s="16" customFormat="1" x14ac:dyDescent="0.25">
      <c r="A380" t="s">
        <v>32</v>
      </c>
      <c r="B380" t="s">
        <v>190</v>
      </c>
      <c r="C380" t="s">
        <v>520</v>
      </c>
      <c r="D380" s="10">
        <f>(D226*inputs!$E$75)/(inputs!$E$31)^inputs!E124</f>
        <v>866.33852615028002</v>
      </c>
      <c r="E380" t="str">
        <f t="shared" ca="1" si="6"/>
        <v>=(D226*inputs!$E$75)/(inputs!$E$31)^inputs!E124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</row>
    <row r="381" spans="1:110" s="16" customFormat="1" x14ac:dyDescent="0.25">
      <c r="A381" t="s">
        <v>32</v>
      </c>
      <c r="B381" t="s">
        <v>190</v>
      </c>
      <c r="C381" t="s">
        <v>521</v>
      </c>
      <c r="D381" s="10">
        <f>(D227*inputs!$E$75)/(inputs!$E$31)^inputs!E125</f>
        <v>839.4231544640578</v>
      </c>
      <c r="E381" t="str">
        <f t="shared" ca="1" si="6"/>
        <v>=(D227*inputs!$E$75)/(inputs!$E$31)^inputs!E125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</row>
    <row r="382" spans="1:110" s="16" customFormat="1" x14ac:dyDescent="0.25">
      <c r="A382" t="s">
        <v>32</v>
      </c>
      <c r="B382" t="s">
        <v>190</v>
      </c>
      <c r="C382" t="s">
        <v>522</v>
      </c>
      <c r="D382" s="10">
        <f>(D228*inputs!$E$75)/(inputs!$E$31)^inputs!E126</f>
        <v>813.34398850012587</v>
      </c>
      <c r="E382" t="str">
        <f t="shared" ca="1" si="6"/>
        <v>=(D228*inputs!$E$75)/(inputs!$E$31)^inputs!E126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</row>
    <row r="383" spans="1:110" s="16" customFormat="1" x14ac:dyDescent="0.25">
      <c r="A383" t="s">
        <v>32</v>
      </c>
      <c r="B383" t="s">
        <v>190</v>
      </c>
      <c r="C383" t="s">
        <v>523</v>
      </c>
      <c r="D383" s="10">
        <f>(D229*inputs!$E$75)/(inputs!$E$31)^inputs!E127</f>
        <v>788.07504905157839</v>
      </c>
      <c r="E383" t="str">
        <f t="shared" ca="1" si="6"/>
        <v>=(D229*inputs!$E$75)/(inputs!$E$31)^inputs!E127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</row>
    <row r="384" spans="1:110" s="16" customFormat="1" x14ac:dyDescent="0.25">
      <c r="A384" t="s">
        <v>32</v>
      </c>
      <c r="B384" t="s">
        <v>190</v>
      </c>
      <c r="C384" t="s">
        <v>524</v>
      </c>
      <c r="D384" s="10">
        <f>(D230*inputs!$E$75)/(inputs!$E$31)^inputs!E128</f>
        <v>763.59116403250016</v>
      </c>
      <c r="E384" t="str">
        <f t="shared" ca="1" si="6"/>
        <v>=(D230*inputs!$E$75)/(inputs!$E$31)^inputs!E128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</row>
    <row r="385" spans="1:110" s="16" customFormat="1" x14ac:dyDescent="0.25">
      <c r="A385" t="s">
        <v>32</v>
      </c>
      <c r="B385" t="s">
        <v>190</v>
      </c>
      <c r="C385" t="s">
        <v>525</v>
      </c>
      <c r="D385" s="10">
        <f>(D231*inputs!$E$75)/(inputs!$E$31)^inputs!E129</f>
        <v>739.8679434023644</v>
      </c>
      <c r="E385" t="str">
        <f t="shared" ca="1" si="6"/>
        <v>=(D231*inputs!$E$75)/(inputs!$E$31)^inputs!E129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</row>
    <row r="386" spans="1:110" s="16" customFormat="1" x14ac:dyDescent="0.25">
      <c r="A386" t="s">
        <v>32</v>
      </c>
      <c r="B386" t="s">
        <v>190</v>
      </c>
      <c r="C386" t="s">
        <v>526</v>
      </c>
      <c r="D386" s="10">
        <f>(D232*inputs!$E$75)/(inputs!$E$31)^inputs!E130</f>
        <v>716.88175486947523</v>
      </c>
      <c r="E386" t="str">
        <f t="shared" ca="1" si="6"/>
        <v>=(D232*inputs!$E$75)/(inputs!$E$31)^inputs!E130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</row>
    <row r="387" spans="1:110" s="16" customFormat="1" x14ac:dyDescent="0.25">
      <c r="A387" t="s">
        <v>32</v>
      </c>
      <c r="B387" t="s">
        <v>190</v>
      </c>
      <c r="C387" t="s">
        <v>527</v>
      </c>
      <c r="D387" s="10">
        <f>(D233*inputs!$E$75)/(inputs!$E$31)^inputs!E131</f>
        <v>694.60970034925856</v>
      </c>
      <c r="E387" t="str">
        <f t="shared" ca="1" si="6"/>
        <v>=(D233*inputs!$E$75)/(inputs!$E$31)^inputs!E131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</row>
    <row r="388" spans="1:110" s="16" customFormat="1" x14ac:dyDescent="0.25">
      <c r="A388" t="s">
        <v>32</v>
      </c>
      <c r="B388" t="s">
        <v>190</v>
      </c>
      <c r="C388" t="s">
        <v>528</v>
      </c>
      <c r="D388" s="10">
        <f>(D234*inputs!$E$75)/(inputs!$E$31)^inputs!E132</f>
        <v>673.02959315394185</v>
      </c>
      <c r="E388" t="str">
        <f t="shared" ca="1" si="6"/>
        <v>=(D234*inputs!$E$75)/(inputs!$E$31)^inputs!E132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</row>
    <row r="389" spans="1:110" s="16" customFormat="1" x14ac:dyDescent="0.25">
      <c r="A389" t="s">
        <v>32</v>
      </c>
      <c r="B389" t="s">
        <v>190</v>
      </c>
      <c r="C389" t="s">
        <v>529</v>
      </c>
      <c r="D389" s="10">
        <f>(D235*inputs!$E$75)/(inputs!$E$31)^inputs!E133</f>
        <v>652.11993589090673</v>
      </c>
      <c r="E389" t="str">
        <f t="shared" ca="1" si="6"/>
        <v>=(D235*inputs!$E$75)/(inputs!$E$31)^inputs!E133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</row>
    <row r="390" spans="1:110" s="16" customFormat="1" x14ac:dyDescent="0.25">
      <c r="A390" t="s">
        <v>32</v>
      </c>
      <c r="B390" t="s">
        <v>190</v>
      </c>
      <c r="C390" t="s">
        <v>530</v>
      </c>
      <c r="D390" s="10">
        <f>(D236*inputs!$E$75)/(inputs!$E$31)^inputs!E134</f>
        <v>631.85989904769406</v>
      </c>
      <c r="E390" t="str">
        <f t="shared" ca="1" si="6"/>
        <v>=(D236*inputs!$E$75)/(inputs!$E$31)^inputs!E134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</row>
    <row r="391" spans="1:110" s="16" customFormat="1" x14ac:dyDescent="0.25">
      <c r="A391" t="s">
        <v>32</v>
      </c>
      <c r="B391" t="s">
        <v>190</v>
      </c>
      <c r="C391" t="s">
        <v>531</v>
      </c>
      <c r="D391" s="10">
        <f>(D237*inputs!$E$75)/(inputs!$E$31)^inputs!E135</f>
        <v>612.22930024232892</v>
      </c>
      <c r="E391" t="str">
        <f t="shared" ca="1" si="6"/>
        <v>=(D237*inputs!$E$75)/(inputs!$E$31)^inputs!E135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</row>
    <row r="392" spans="1:110" s="16" customFormat="1" x14ac:dyDescent="0.25">
      <c r="A392" t="s">
        <v>32</v>
      </c>
      <c r="B392" t="s">
        <v>190</v>
      </c>
      <c r="C392" t="s">
        <v>557</v>
      </c>
      <c r="D392" s="10">
        <f>(D241*inputs!$E$76)/(inputs!$E$31)^inputs!E100</f>
        <v>0</v>
      </c>
      <c r="E392" t="str">
        <f t="shared" ca="1" si="6"/>
        <v>=(D241*inputs!$E$76)/(inputs!$E$31)^inputs!E100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</row>
    <row r="393" spans="1:110" s="16" customFormat="1" x14ac:dyDescent="0.25">
      <c r="A393" t="s">
        <v>32</v>
      </c>
      <c r="B393" t="s">
        <v>190</v>
      </c>
      <c r="C393" t="s">
        <v>558</v>
      </c>
      <c r="D393" s="10">
        <f>(D242*inputs!$E$76)/(inputs!$E$31)^inputs!E101</f>
        <v>0</v>
      </c>
      <c r="E393" t="str">
        <f t="shared" ca="1" si="6"/>
        <v>=(D242*inputs!$E$76)/(inputs!$E$31)^inputs!E101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</row>
    <row r="394" spans="1:110" s="16" customFormat="1" x14ac:dyDescent="0.25">
      <c r="A394" t="s">
        <v>32</v>
      </c>
      <c r="B394" t="s">
        <v>190</v>
      </c>
      <c r="C394" t="s">
        <v>559</v>
      </c>
      <c r="D394" s="10">
        <f>(D243*inputs!$E$76)/(inputs!$E$31)^inputs!E102</f>
        <v>0</v>
      </c>
      <c r="E394" t="str">
        <f t="shared" ca="1" si="6"/>
        <v>=(D243*inputs!$E$76)/(inputs!$E$31)^inputs!E102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</row>
    <row r="395" spans="1:110" s="16" customFormat="1" x14ac:dyDescent="0.25">
      <c r="A395" t="s">
        <v>32</v>
      </c>
      <c r="B395" t="s">
        <v>190</v>
      </c>
      <c r="C395" t="s">
        <v>560</v>
      </c>
      <c r="D395" s="10">
        <f>(D244*inputs!$E$76)/(inputs!$E$31)^inputs!E103</f>
        <v>0</v>
      </c>
      <c r="E395" t="str">
        <f t="shared" ca="1" si="6"/>
        <v>=(D244*inputs!$E$76)/(inputs!$E$31)^inputs!E103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</row>
    <row r="396" spans="1:110" s="16" customFormat="1" x14ac:dyDescent="0.25">
      <c r="A396" t="s">
        <v>32</v>
      </c>
      <c r="B396" t="s">
        <v>190</v>
      </c>
      <c r="C396" t="s">
        <v>561</v>
      </c>
      <c r="D396" s="10">
        <f>(D245*inputs!$E$76)/(inputs!$E$31)^inputs!E104</f>
        <v>0</v>
      </c>
      <c r="E396" t="str">
        <f t="shared" ca="1" si="6"/>
        <v>=(D245*inputs!$E$76)/(inputs!$E$31)^inputs!E104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</row>
    <row r="397" spans="1:110" s="16" customFormat="1" x14ac:dyDescent="0.25">
      <c r="A397" t="s">
        <v>32</v>
      </c>
      <c r="B397" t="s">
        <v>190</v>
      </c>
      <c r="C397" t="s">
        <v>562</v>
      </c>
      <c r="D397" s="10">
        <f>(D246*inputs!$E$76)/(inputs!$E$31)^inputs!E105</f>
        <v>0</v>
      </c>
      <c r="E397" t="str">
        <f t="shared" ca="1" si="6"/>
        <v>=(D246*inputs!$E$76)/(inputs!$E$31)^inputs!E105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</row>
    <row r="398" spans="1:110" s="16" customFormat="1" x14ac:dyDescent="0.25">
      <c r="A398" t="s">
        <v>32</v>
      </c>
      <c r="B398" t="s">
        <v>190</v>
      </c>
      <c r="C398" t="s">
        <v>563</v>
      </c>
      <c r="D398" s="10">
        <f>(D247*inputs!$E$76)/(inputs!$E$31)^inputs!E106</f>
        <v>0</v>
      </c>
      <c r="E398" t="str">
        <f t="shared" ca="1" si="6"/>
        <v>=(D247*inputs!$E$76)/(inputs!$E$31)^inputs!E106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</row>
    <row r="399" spans="1:110" s="16" customFormat="1" x14ac:dyDescent="0.25">
      <c r="A399" t="s">
        <v>32</v>
      </c>
      <c r="B399" t="s">
        <v>190</v>
      </c>
      <c r="C399" t="s">
        <v>564</v>
      </c>
      <c r="D399" s="10">
        <f>(D248*inputs!$E$76)/(inputs!$E$31)^inputs!E107</f>
        <v>0</v>
      </c>
      <c r="E399" t="str">
        <f t="shared" ca="1" si="6"/>
        <v>=(D248*inputs!$E$76)/(inputs!$E$31)^inputs!E107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</row>
    <row r="400" spans="1:110" s="16" customFormat="1" x14ac:dyDescent="0.25">
      <c r="A400" t="s">
        <v>32</v>
      </c>
      <c r="B400" t="s">
        <v>190</v>
      </c>
      <c r="C400" t="s">
        <v>565</v>
      </c>
      <c r="D400" s="10">
        <f>(D249*inputs!$E$76)/(inputs!$E$31)^inputs!E108</f>
        <v>0</v>
      </c>
      <c r="E400" t="str">
        <f t="shared" ca="1" si="6"/>
        <v>=(D249*inputs!$E$76)/(inputs!$E$31)^inputs!E108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</row>
    <row r="401" spans="1:110" s="16" customFormat="1" x14ac:dyDescent="0.25">
      <c r="A401" t="s">
        <v>32</v>
      </c>
      <c r="B401" t="s">
        <v>190</v>
      </c>
      <c r="C401" t="s">
        <v>566</v>
      </c>
      <c r="D401" s="10">
        <f>(D250*inputs!$E$76)/(inputs!$E$31)^inputs!E109</f>
        <v>0</v>
      </c>
      <c r="E401" t="str">
        <f t="shared" ca="1" si="6"/>
        <v>=(D250*inputs!$E$76)/(inputs!$E$31)^inputs!E109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</row>
    <row r="402" spans="1:110" s="16" customFormat="1" x14ac:dyDescent="0.25">
      <c r="A402" t="s">
        <v>32</v>
      </c>
      <c r="B402" t="s">
        <v>190</v>
      </c>
      <c r="C402" t="s">
        <v>567</v>
      </c>
      <c r="D402" s="10">
        <f>(D251*inputs!$E$76)/(inputs!$E$31)^inputs!E110</f>
        <v>0</v>
      </c>
      <c r="E402" t="str">
        <f t="shared" ca="1" si="6"/>
        <v>=(D251*inputs!$E$76)/(inputs!$E$31)^inputs!E110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</row>
    <row r="403" spans="1:110" s="16" customFormat="1" x14ac:dyDescent="0.25">
      <c r="A403" t="s">
        <v>32</v>
      </c>
      <c r="B403" t="s">
        <v>190</v>
      </c>
      <c r="C403" t="s">
        <v>568</v>
      </c>
      <c r="D403" s="10">
        <f>(D252*inputs!$E$76)/(inputs!$E$31)^inputs!E111</f>
        <v>0</v>
      </c>
      <c r="E403" t="str">
        <f t="shared" ca="1" si="6"/>
        <v>=(D252*inputs!$E$76)/(inputs!$E$31)^inputs!E111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</row>
    <row r="404" spans="1:110" s="16" customFormat="1" x14ac:dyDescent="0.25">
      <c r="A404" t="s">
        <v>32</v>
      </c>
      <c r="B404" t="s">
        <v>190</v>
      </c>
      <c r="C404" t="s">
        <v>569</v>
      </c>
      <c r="D404" s="10">
        <f>(D253*inputs!$E$76)/(inputs!$E$31)^inputs!E112</f>
        <v>0</v>
      </c>
      <c r="E404" t="str">
        <f t="shared" ca="1" si="6"/>
        <v>=(D253*inputs!$E$76)/(inputs!$E$31)^inputs!E112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</row>
    <row r="405" spans="1:110" s="16" customFormat="1" x14ac:dyDescent="0.25">
      <c r="A405" t="s">
        <v>32</v>
      </c>
      <c r="B405" t="s">
        <v>190</v>
      </c>
      <c r="C405" t="s">
        <v>570</v>
      </c>
      <c r="D405" s="10">
        <f>(D254*inputs!$E$76)/(inputs!$E$31)^inputs!E113</f>
        <v>0</v>
      </c>
      <c r="E405" t="str">
        <f t="shared" ca="1" si="6"/>
        <v>=(D254*inputs!$E$76)/(inputs!$E$31)^inputs!E113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</row>
    <row r="406" spans="1:110" s="16" customFormat="1" x14ac:dyDescent="0.25">
      <c r="A406" t="s">
        <v>32</v>
      </c>
      <c r="B406" t="s">
        <v>190</v>
      </c>
      <c r="C406" t="s">
        <v>571</v>
      </c>
      <c r="D406" s="10">
        <f>(D255*inputs!$E$76)/(inputs!$E$31)^inputs!E114</f>
        <v>0</v>
      </c>
      <c r="E406" t="str">
        <f t="shared" ca="1" si="6"/>
        <v>=(D255*inputs!$E$76)/(inputs!$E$31)^inputs!E114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</row>
    <row r="407" spans="1:110" s="16" customFormat="1" x14ac:dyDescent="0.25">
      <c r="A407" t="s">
        <v>32</v>
      </c>
      <c r="B407" t="s">
        <v>190</v>
      </c>
      <c r="C407" t="s">
        <v>572</v>
      </c>
      <c r="D407" s="10">
        <f>(D256*inputs!$E$76)/(inputs!$E$31)^inputs!E115</f>
        <v>0</v>
      </c>
      <c r="E407" t="str">
        <f t="shared" ca="1" si="6"/>
        <v>=(D256*inputs!$E$76)/(inputs!$E$31)^inputs!E115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</row>
    <row r="408" spans="1:110" s="16" customFormat="1" x14ac:dyDescent="0.25">
      <c r="A408" t="s">
        <v>32</v>
      </c>
      <c r="B408" t="s">
        <v>190</v>
      </c>
      <c r="C408" t="s">
        <v>573</v>
      </c>
      <c r="D408" s="10">
        <f>(D257*inputs!$E$76)/(inputs!$E$31)^inputs!E116</f>
        <v>0</v>
      </c>
      <c r="E408" t="str">
        <f t="shared" ref="E408:E471" ca="1" si="7">_xlfn.FORMULATEXT(D408)</f>
        <v>=(D257*inputs!$E$76)/(inputs!$E$31)^inputs!E116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</row>
    <row r="409" spans="1:110" s="16" customFormat="1" x14ac:dyDescent="0.25">
      <c r="A409" t="s">
        <v>32</v>
      </c>
      <c r="B409" t="s">
        <v>190</v>
      </c>
      <c r="C409" t="s">
        <v>574</v>
      </c>
      <c r="D409" s="10">
        <f>(D258*inputs!$E$76)/(inputs!$E$31)^inputs!E117</f>
        <v>0</v>
      </c>
      <c r="E409" t="str">
        <f t="shared" ca="1" si="7"/>
        <v>=(D258*inputs!$E$76)/(inputs!$E$31)^inputs!E117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</row>
    <row r="410" spans="1:110" s="16" customFormat="1" x14ac:dyDescent="0.25">
      <c r="A410" t="s">
        <v>32</v>
      </c>
      <c r="B410" t="s">
        <v>190</v>
      </c>
      <c r="C410" t="s">
        <v>575</v>
      </c>
      <c r="D410" s="10">
        <f>(D259*inputs!$E$76)/(inputs!$E$31)^inputs!E118</f>
        <v>0</v>
      </c>
      <c r="E410" t="str">
        <f t="shared" ca="1" si="7"/>
        <v>=(D259*inputs!$E$76)/(inputs!$E$31)^inputs!E118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</row>
    <row r="411" spans="1:110" s="16" customFormat="1" x14ac:dyDescent="0.25">
      <c r="A411" t="s">
        <v>32</v>
      </c>
      <c r="B411" t="s">
        <v>190</v>
      </c>
      <c r="C411" t="s">
        <v>576</v>
      </c>
      <c r="D411" s="10">
        <f>(D260*inputs!$E$76)/(inputs!$E$31)^inputs!E119</f>
        <v>0</v>
      </c>
      <c r="E411" t="str">
        <f t="shared" ca="1" si="7"/>
        <v>=(D260*inputs!$E$76)/(inputs!$E$31)^inputs!E119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</row>
    <row r="412" spans="1:110" s="16" customFormat="1" x14ac:dyDescent="0.25">
      <c r="A412" t="s">
        <v>32</v>
      </c>
      <c r="B412" t="s">
        <v>190</v>
      </c>
      <c r="C412" t="s">
        <v>577</v>
      </c>
      <c r="D412" s="10">
        <f>(D261*inputs!$E$76)/(inputs!$E$31)^inputs!E120</f>
        <v>0</v>
      </c>
      <c r="E412" t="str">
        <f t="shared" ca="1" si="7"/>
        <v>=(D261*inputs!$E$76)/(inputs!$E$31)^inputs!E120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</row>
    <row r="413" spans="1:110" s="16" customFormat="1" x14ac:dyDescent="0.25">
      <c r="A413" t="s">
        <v>32</v>
      </c>
      <c r="B413" t="s">
        <v>190</v>
      </c>
      <c r="C413" t="s">
        <v>578</v>
      </c>
      <c r="D413" s="10">
        <f>(D262*inputs!$E$76)/(inputs!$E$31)^inputs!E121</f>
        <v>0</v>
      </c>
      <c r="E413" t="str">
        <f t="shared" ca="1" si="7"/>
        <v>=(D262*inputs!$E$76)/(inputs!$E$31)^inputs!E121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</row>
    <row r="414" spans="1:110" s="16" customFormat="1" x14ac:dyDescent="0.25">
      <c r="A414" t="s">
        <v>32</v>
      </c>
      <c r="B414" t="s">
        <v>190</v>
      </c>
      <c r="C414" t="s">
        <v>579</v>
      </c>
      <c r="D414" s="10">
        <f>(D263*inputs!$E$76)/(inputs!$E$31)^inputs!E122</f>
        <v>0</v>
      </c>
      <c r="E414" t="str">
        <f t="shared" ca="1" si="7"/>
        <v>=(D263*inputs!$E$76)/(inputs!$E$31)^inputs!E122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</row>
    <row r="415" spans="1:110" s="16" customFormat="1" x14ac:dyDescent="0.25">
      <c r="A415" t="s">
        <v>32</v>
      </c>
      <c r="B415" t="s">
        <v>190</v>
      </c>
      <c r="C415" t="s">
        <v>580</v>
      </c>
      <c r="D415" s="10">
        <f>(D264*inputs!$E$76)/(inputs!$E$31)^inputs!E123</f>
        <v>0</v>
      </c>
      <c r="E415" t="str">
        <f t="shared" ca="1" si="7"/>
        <v>=(D264*inputs!$E$76)/(inputs!$E$31)^inputs!E123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</row>
    <row r="416" spans="1:110" s="16" customFormat="1" x14ac:dyDescent="0.25">
      <c r="A416" t="s">
        <v>32</v>
      </c>
      <c r="B416" t="s">
        <v>190</v>
      </c>
      <c r="C416" t="s">
        <v>581</v>
      </c>
      <c r="D416" s="10">
        <f>(D265*inputs!$E$76)/(inputs!$E$31)^inputs!E124</f>
        <v>0</v>
      </c>
      <c r="E416" t="str">
        <f t="shared" ca="1" si="7"/>
        <v>=(D265*inputs!$E$76)/(inputs!$E$31)^inputs!E124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</row>
    <row r="417" spans="1:110" s="16" customFormat="1" x14ac:dyDescent="0.25">
      <c r="A417" t="s">
        <v>32</v>
      </c>
      <c r="B417" t="s">
        <v>190</v>
      </c>
      <c r="C417" t="s">
        <v>582</v>
      </c>
      <c r="D417" s="10">
        <f>(D266*inputs!$E$76)/(inputs!$E$31)^inputs!E125</f>
        <v>0</v>
      </c>
      <c r="E417" t="str">
        <f t="shared" ca="1" si="7"/>
        <v>=(D266*inputs!$E$76)/(inputs!$E$31)^inputs!E125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</row>
    <row r="418" spans="1:110" s="16" customFormat="1" x14ac:dyDescent="0.25">
      <c r="A418" t="s">
        <v>32</v>
      </c>
      <c r="B418" t="s">
        <v>190</v>
      </c>
      <c r="C418" t="s">
        <v>583</v>
      </c>
      <c r="D418" s="10">
        <f>(D267*inputs!$E$76)/(inputs!$E$31)^inputs!E126</f>
        <v>0</v>
      </c>
      <c r="E418" t="str">
        <f t="shared" ca="1" si="7"/>
        <v>=(D267*inputs!$E$76)/(inputs!$E$31)^inputs!E126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</row>
    <row r="419" spans="1:110" s="16" customFormat="1" x14ac:dyDescent="0.25">
      <c r="A419" t="s">
        <v>32</v>
      </c>
      <c r="B419" t="s">
        <v>190</v>
      </c>
      <c r="C419" t="s">
        <v>584</v>
      </c>
      <c r="D419" s="10">
        <f>(D268*inputs!$E$76)/(inputs!$E$31)^inputs!E127</f>
        <v>0</v>
      </c>
      <c r="E419" t="str">
        <f t="shared" ca="1" si="7"/>
        <v>=(D268*inputs!$E$76)/(inputs!$E$31)^inputs!E127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</row>
    <row r="420" spans="1:110" s="16" customFormat="1" x14ac:dyDescent="0.25">
      <c r="A420" t="s">
        <v>32</v>
      </c>
      <c r="B420" t="s">
        <v>190</v>
      </c>
      <c r="C420" t="s">
        <v>585</v>
      </c>
      <c r="D420" s="10">
        <f>(D269*inputs!$E$76)/(inputs!$E$31)^inputs!E128</f>
        <v>0</v>
      </c>
      <c r="E420" t="str">
        <f t="shared" ca="1" si="7"/>
        <v>=(D269*inputs!$E$76)/(inputs!$E$31)^inputs!E128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</row>
    <row r="421" spans="1:110" s="16" customFormat="1" x14ac:dyDescent="0.25">
      <c r="A421" t="s">
        <v>32</v>
      </c>
      <c r="B421" t="s">
        <v>190</v>
      </c>
      <c r="C421" t="s">
        <v>586</v>
      </c>
      <c r="D421" s="10">
        <f>(D270*inputs!$E$76)/(inputs!$E$31)^inputs!E129</f>
        <v>0</v>
      </c>
      <c r="E421" t="str">
        <f t="shared" ca="1" si="7"/>
        <v>=(D270*inputs!$E$76)/(inputs!$E$31)^inputs!E129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</row>
    <row r="422" spans="1:110" s="16" customFormat="1" x14ac:dyDescent="0.25">
      <c r="A422" t="s">
        <v>32</v>
      </c>
      <c r="B422" t="s">
        <v>190</v>
      </c>
      <c r="C422" t="s">
        <v>587</v>
      </c>
      <c r="D422" s="10">
        <f>(D271*inputs!$E$76)/(inputs!$E$31)^inputs!E130</f>
        <v>0</v>
      </c>
      <c r="E422" t="str">
        <f t="shared" ca="1" si="7"/>
        <v>=(D271*inputs!$E$76)/(inputs!$E$31)^inputs!E130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</row>
    <row r="423" spans="1:110" s="16" customFormat="1" x14ac:dyDescent="0.25">
      <c r="A423" t="s">
        <v>32</v>
      </c>
      <c r="B423" t="s">
        <v>190</v>
      </c>
      <c r="C423" t="s">
        <v>588</v>
      </c>
      <c r="D423" s="10">
        <f>(D272*inputs!$E$76)/(inputs!$E$31)^inputs!E131</f>
        <v>0</v>
      </c>
      <c r="E423" t="str">
        <f t="shared" ca="1" si="7"/>
        <v>=(D272*inputs!$E$76)/(inputs!$E$31)^inputs!E131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</row>
    <row r="424" spans="1:110" s="16" customFormat="1" x14ac:dyDescent="0.25">
      <c r="A424" t="s">
        <v>32</v>
      </c>
      <c r="B424" t="s">
        <v>190</v>
      </c>
      <c r="C424" t="s">
        <v>589</v>
      </c>
      <c r="D424" s="10">
        <f>(D273*inputs!$E$76)/(inputs!$E$31)^inputs!E132</f>
        <v>0</v>
      </c>
      <c r="E424" t="str">
        <f t="shared" ca="1" si="7"/>
        <v>=(D273*inputs!$E$76)/(inputs!$E$31)^inputs!E132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</row>
    <row r="425" spans="1:110" s="16" customFormat="1" x14ac:dyDescent="0.25">
      <c r="A425" t="s">
        <v>32</v>
      </c>
      <c r="B425" t="s">
        <v>190</v>
      </c>
      <c r="C425" t="s">
        <v>590</v>
      </c>
      <c r="D425" s="10">
        <f>(D274*inputs!$E$76)/(inputs!$E$31)^inputs!E133</f>
        <v>0</v>
      </c>
      <c r="E425" t="str">
        <f t="shared" ca="1" si="7"/>
        <v>=(D274*inputs!$E$76)/(inputs!$E$31)^inputs!E133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</row>
    <row r="426" spans="1:110" s="16" customFormat="1" x14ac:dyDescent="0.25">
      <c r="A426" t="s">
        <v>32</v>
      </c>
      <c r="B426" t="s">
        <v>190</v>
      </c>
      <c r="C426" t="s">
        <v>591</v>
      </c>
      <c r="D426" s="10">
        <f>(D275*inputs!$E$76)/(inputs!$E$31)^inputs!E134</f>
        <v>0</v>
      </c>
      <c r="E426" t="str">
        <f t="shared" ca="1" si="7"/>
        <v>=(D275*inputs!$E$76)/(inputs!$E$31)^inputs!E134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</row>
    <row r="427" spans="1:110" s="16" customFormat="1" x14ac:dyDescent="0.25">
      <c r="A427" t="s">
        <v>32</v>
      </c>
      <c r="B427" t="s">
        <v>190</v>
      </c>
      <c r="C427" t="s">
        <v>592</v>
      </c>
      <c r="D427" s="10">
        <f>(D276*inputs!$E$76)/(inputs!$E$31)^inputs!E135</f>
        <v>0</v>
      </c>
      <c r="E427" t="str">
        <f t="shared" ca="1" si="7"/>
        <v>=(D276*inputs!$E$76)/(inputs!$E$31)^inputs!E135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</row>
    <row r="428" spans="1:110" s="16" customFormat="1" x14ac:dyDescent="0.25">
      <c r="A428" t="s">
        <v>32</v>
      </c>
      <c r="B428" t="s">
        <v>190</v>
      </c>
      <c r="C428" t="s">
        <v>593</v>
      </c>
      <c r="D428" s="10">
        <f>(D280*inputs!$E$77)/(inputs!$E$31)^inputs!E100</f>
        <v>0</v>
      </c>
      <c r="E428" t="str">
        <f ca="1">_xlfn.FORMULATEXT(D428)</f>
        <v>=(D280*inputs!$E$77)/(inputs!$E$31)^inputs!E100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</row>
    <row r="429" spans="1:110" s="16" customFormat="1" x14ac:dyDescent="0.25">
      <c r="A429" t="s">
        <v>32</v>
      </c>
      <c r="B429" t="s">
        <v>190</v>
      </c>
      <c r="C429" t="s">
        <v>594</v>
      </c>
      <c r="D429" s="10">
        <f>(D281*inputs!$E$77)/(inputs!$E$31)^inputs!E101</f>
        <v>0</v>
      </c>
      <c r="E429" t="str">
        <f t="shared" ca="1" si="7"/>
        <v>=(D281*inputs!$E$77)/(inputs!$E$31)^inputs!E101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</row>
    <row r="430" spans="1:110" s="16" customFormat="1" x14ac:dyDescent="0.25">
      <c r="A430" t="s">
        <v>32</v>
      </c>
      <c r="B430" t="s">
        <v>190</v>
      </c>
      <c r="C430" t="s">
        <v>595</v>
      </c>
      <c r="D430" s="10">
        <f>(D282*inputs!$E$77)/(inputs!$E$31)^inputs!E102</f>
        <v>0</v>
      </c>
      <c r="E430" t="str">
        <f t="shared" ca="1" si="7"/>
        <v>=(D282*inputs!$E$77)/(inputs!$E$31)^inputs!E102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</row>
    <row r="431" spans="1:110" s="16" customFormat="1" x14ac:dyDescent="0.25">
      <c r="A431" t="s">
        <v>32</v>
      </c>
      <c r="B431" t="s">
        <v>190</v>
      </c>
      <c r="C431" t="s">
        <v>596</v>
      </c>
      <c r="D431" s="10">
        <f>(D283*inputs!$E$77)/(inputs!$E$31)^inputs!E103</f>
        <v>0</v>
      </c>
      <c r="E431" t="str">
        <f t="shared" ca="1" si="7"/>
        <v>=(D283*inputs!$E$77)/(inputs!$E$31)^inputs!E103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</row>
    <row r="432" spans="1:110" s="16" customFormat="1" x14ac:dyDescent="0.25">
      <c r="A432" t="s">
        <v>32</v>
      </c>
      <c r="B432" t="s">
        <v>190</v>
      </c>
      <c r="C432" t="s">
        <v>597</v>
      </c>
      <c r="D432" s="10">
        <f>(D284*inputs!$E$77)/(inputs!$E$31)^inputs!E104</f>
        <v>0</v>
      </c>
      <c r="E432" t="str">
        <f t="shared" ca="1" si="7"/>
        <v>=(D284*inputs!$E$77)/(inputs!$E$31)^inputs!E104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</row>
    <row r="433" spans="1:110" s="16" customFormat="1" x14ac:dyDescent="0.25">
      <c r="A433" t="s">
        <v>32</v>
      </c>
      <c r="B433" t="s">
        <v>190</v>
      </c>
      <c r="C433" t="s">
        <v>598</v>
      </c>
      <c r="D433" s="10">
        <f>(D285*inputs!$E$77)/(inputs!$E$31)^inputs!E105</f>
        <v>0</v>
      </c>
      <c r="E433" t="str">
        <f t="shared" ca="1" si="7"/>
        <v>=(D285*inputs!$E$77)/(inputs!$E$31)^inputs!E105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</row>
    <row r="434" spans="1:110" s="16" customFormat="1" x14ac:dyDescent="0.25">
      <c r="A434" t="s">
        <v>32</v>
      </c>
      <c r="B434" t="s">
        <v>190</v>
      </c>
      <c r="C434" t="s">
        <v>599</v>
      </c>
      <c r="D434" s="10">
        <f>(D286*inputs!$E$77)/(inputs!$E$31)^inputs!E106</f>
        <v>0</v>
      </c>
      <c r="E434" t="str">
        <f t="shared" ca="1" si="7"/>
        <v>=(D286*inputs!$E$77)/(inputs!$E$31)^inputs!E106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</row>
    <row r="435" spans="1:110" s="16" customFormat="1" x14ac:dyDescent="0.25">
      <c r="A435" t="s">
        <v>32</v>
      </c>
      <c r="B435" t="s">
        <v>190</v>
      </c>
      <c r="C435" t="s">
        <v>600</v>
      </c>
      <c r="D435" s="10">
        <f>(D287*inputs!$E$77)/(inputs!$E$31)^inputs!E107</f>
        <v>0</v>
      </c>
      <c r="E435" t="str">
        <f t="shared" ca="1" si="7"/>
        <v>=(D287*inputs!$E$77)/(inputs!$E$31)^inputs!E107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</row>
    <row r="436" spans="1:110" s="16" customFormat="1" x14ac:dyDescent="0.25">
      <c r="A436" t="s">
        <v>32</v>
      </c>
      <c r="B436" t="s">
        <v>190</v>
      </c>
      <c r="C436" t="s">
        <v>601</v>
      </c>
      <c r="D436" s="10">
        <f>(D288*inputs!$E$77)/(inputs!$E$31)^inputs!E108</f>
        <v>0</v>
      </c>
      <c r="E436" t="str">
        <f t="shared" ca="1" si="7"/>
        <v>=(D288*inputs!$E$77)/(inputs!$E$31)^inputs!E108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</row>
    <row r="437" spans="1:110" s="16" customFormat="1" x14ac:dyDescent="0.25">
      <c r="A437" t="s">
        <v>32</v>
      </c>
      <c r="B437" t="s">
        <v>190</v>
      </c>
      <c r="C437" t="s">
        <v>602</v>
      </c>
      <c r="D437" s="10">
        <f>(D289*inputs!$E$77)/(inputs!$E$31)^inputs!E109</f>
        <v>0</v>
      </c>
      <c r="E437" t="str">
        <f t="shared" ca="1" si="7"/>
        <v>=(D289*inputs!$E$77)/(inputs!$E$31)^inputs!E109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</row>
    <row r="438" spans="1:110" s="16" customFormat="1" x14ac:dyDescent="0.25">
      <c r="A438" t="s">
        <v>32</v>
      </c>
      <c r="B438" t="s">
        <v>190</v>
      </c>
      <c r="C438" t="s">
        <v>603</v>
      </c>
      <c r="D438" s="10">
        <f>(D290*inputs!$E$77)/(inputs!$E$31)^inputs!E110</f>
        <v>0</v>
      </c>
      <c r="E438" t="str">
        <f t="shared" ca="1" si="7"/>
        <v>=(D290*inputs!$E$77)/(inputs!$E$31)^inputs!E110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</row>
    <row r="439" spans="1:110" s="16" customFormat="1" x14ac:dyDescent="0.25">
      <c r="A439" t="s">
        <v>32</v>
      </c>
      <c r="B439" t="s">
        <v>190</v>
      </c>
      <c r="C439" t="s">
        <v>604</v>
      </c>
      <c r="D439" s="10">
        <f>(D291*inputs!$E$77)/(inputs!$E$31)^inputs!E111</f>
        <v>0</v>
      </c>
      <c r="E439" t="str">
        <f t="shared" ca="1" si="7"/>
        <v>=(D291*inputs!$E$77)/(inputs!$E$31)^inputs!E111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</row>
    <row r="440" spans="1:110" s="16" customFormat="1" x14ac:dyDescent="0.25">
      <c r="A440" t="s">
        <v>32</v>
      </c>
      <c r="B440" t="s">
        <v>190</v>
      </c>
      <c r="C440" t="s">
        <v>605</v>
      </c>
      <c r="D440" s="10">
        <f>(D292*inputs!$E$77)/(inputs!$E$31)^inputs!E112</f>
        <v>0</v>
      </c>
      <c r="E440" t="str">
        <f t="shared" ca="1" si="7"/>
        <v>=(D292*inputs!$E$77)/(inputs!$E$31)^inputs!E112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</row>
    <row r="441" spans="1:110" s="16" customFormat="1" x14ac:dyDescent="0.25">
      <c r="A441" t="s">
        <v>32</v>
      </c>
      <c r="B441" t="s">
        <v>190</v>
      </c>
      <c r="C441" t="s">
        <v>606</v>
      </c>
      <c r="D441" s="10">
        <f>(D293*inputs!$E$77)/(inputs!$E$31)^inputs!E113</f>
        <v>0</v>
      </c>
      <c r="E441" t="str">
        <f t="shared" ca="1" si="7"/>
        <v>=(D293*inputs!$E$77)/(inputs!$E$31)^inputs!E113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</row>
    <row r="442" spans="1:110" s="16" customFormat="1" x14ac:dyDescent="0.25">
      <c r="A442" t="s">
        <v>32</v>
      </c>
      <c r="B442" t="s">
        <v>190</v>
      </c>
      <c r="C442" t="s">
        <v>607</v>
      </c>
      <c r="D442" s="10">
        <f>(D294*inputs!$E$77)/(inputs!$E$31)^inputs!E114</f>
        <v>0</v>
      </c>
      <c r="E442" t="str">
        <f t="shared" ca="1" si="7"/>
        <v>=(D294*inputs!$E$77)/(inputs!$E$31)^inputs!E114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</row>
    <row r="443" spans="1:110" s="16" customFormat="1" x14ac:dyDescent="0.25">
      <c r="A443" t="s">
        <v>32</v>
      </c>
      <c r="B443" t="s">
        <v>190</v>
      </c>
      <c r="C443" t="s">
        <v>608</v>
      </c>
      <c r="D443" s="10">
        <f>(D295*inputs!$E$77)/(inputs!$E$31)^inputs!E115</f>
        <v>0</v>
      </c>
      <c r="E443" t="str">
        <f t="shared" ca="1" si="7"/>
        <v>=(D295*inputs!$E$77)/(inputs!$E$31)^inputs!E115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</row>
    <row r="444" spans="1:110" s="16" customFormat="1" x14ac:dyDescent="0.25">
      <c r="A444" t="s">
        <v>32</v>
      </c>
      <c r="B444" t="s">
        <v>190</v>
      </c>
      <c r="C444" t="s">
        <v>609</v>
      </c>
      <c r="D444" s="10">
        <f>(D296*inputs!$E$77)/(inputs!$E$31)^inputs!E116</f>
        <v>0</v>
      </c>
      <c r="E444" t="str">
        <f t="shared" ca="1" si="7"/>
        <v>=(D296*inputs!$E$77)/(inputs!$E$31)^inputs!E116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</row>
    <row r="445" spans="1:110" s="16" customFormat="1" x14ac:dyDescent="0.25">
      <c r="A445" t="s">
        <v>32</v>
      </c>
      <c r="B445" t="s">
        <v>190</v>
      </c>
      <c r="C445" t="s">
        <v>610</v>
      </c>
      <c r="D445" s="10">
        <f>(D297*inputs!$E$77)/(inputs!$E$31)^inputs!E117</f>
        <v>0</v>
      </c>
      <c r="E445" t="str">
        <f t="shared" ca="1" si="7"/>
        <v>=(D297*inputs!$E$77)/(inputs!$E$31)^inputs!E117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</row>
    <row r="446" spans="1:110" s="16" customFormat="1" x14ac:dyDescent="0.25">
      <c r="A446" t="s">
        <v>32</v>
      </c>
      <c r="B446" t="s">
        <v>190</v>
      </c>
      <c r="C446" t="s">
        <v>611</v>
      </c>
      <c r="D446" s="10">
        <f>(D298*inputs!$E$77)/(inputs!$E$31)^inputs!E118</f>
        <v>0</v>
      </c>
      <c r="E446" t="str">
        <f t="shared" ca="1" si="7"/>
        <v>=(D298*inputs!$E$77)/(inputs!$E$31)^inputs!E118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</row>
    <row r="447" spans="1:110" s="16" customFormat="1" x14ac:dyDescent="0.25">
      <c r="A447" t="s">
        <v>32</v>
      </c>
      <c r="B447" t="s">
        <v>190</v>
      </c>
      <c r="C447" t="s">
        <v>612</v>
      </c>
      <c r="D447" s="10">
        <f>(D299*inputs!$E$77)/(inputs!$E$31)^inputs!E119</f>
        <v>0</v>
      </c>
      <c r="E447" t="str">
        <f t="shared" ca="1" si="7"/>
        <v>=(D299*inputs!$E$77)/(inputs!$E$31)^inputs!E119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</row>
    <row r="448" spans="1:110" s="16" customFormat="1" x14ac:dyDescent="0.25">
      <c r="A448" t="s">
        <v>32</v>
      </c>
      <c r="B448" t="s">
        <v>190</v>
      </c>
      <c r="C448" t="s">
        <v>613</v>
      </c>
      <c r="D448" s="10">
        <f>(D300*inputs!$E$77)/(inputs!$E$31)^inputs!E120</f>
        <v>0</v>
      </c>
      <c r="E448" t="str">
        <f t="shared" ca="1" si="7"/>
        <v>=(D300*inputs!$E$77)/(inputs!$E$31)^inputs!E120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</row>
    <row r="449" spans="1:110" s="16" customFormat="1" x14ac:dyDescent="0.25">
      <c r="A449" t="s">
        <v>32</v>
      </c>
      <c r="B449" t="s">
        <v>190</v>
      </c>
      <c r="C449" t="s">
        <v>614</v>
      </c>
      <c r="D449" s="10">
        <f>(D301*inputs!$E$77)/(inputs!$E$31)^inputs!E121</f>
        <v>0</v>
      </c>
      <c r="E449" t="str">
        <f t="shared" ca="1" si="7"/>
        <v>=(D301*inputs!$E$77)/(inputs!$E$31)^inputs!E121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</row>
    <row r="450" spans="1:110" s="16" customFormat="1" x14ac:dyDescent="0.25">
      <c r="A450" t="s">
        <v>32</v>
      </c>
      <c r="B450" t="s">
        <v>190</v>
      </c>
      <c r="C450" t="s">
        <v>615</v>
      </c>
      <c r="D450" s="10">
        <f>(D302*inputs!$E$77)/(inputs!$E$31)^inputs!E122</f>
        <v>0</v>
      </c>
      <c r="E450" t="str">
        <f t="shared" ca="1" si="7"/>
        <v>=(D302*inputs!$E$77)/(inputs!$E$31)^inputs!E122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</row>
    <row r="451" spans="1:110" s="16" customFormat="1" x14ac:dyDescent="0.25">
      <c r="A451" t="s">
        <v>32</v>
      </c>
      <c r="B451" t="s">
        <v>190</v>
      </c>
      <c r="C451" t="s">
        <v>616</v>
      </c>
      <c r="D451" s="10">
        <f>(D303*inputs!$E$77)/(inputs!$E$31)^inputs!E123</f>
        <v>0</v>
      </c>
      <c r="E451" t="str">
        <f t="shared" ca="1" si="7"/>
        <v>=(D303*inputs!$E$77)/(inputs!$E$31)^inputs!E123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</row>
    <row r="452" spans="1:110" s="16" customFormat="1" x14ac:dyDescent="0.25">
      <c r="A452" t="s">
        <v>32</v>
      </c>
      <c r="B452" t="s">
        <v>190</v>
      </c>
      <c r="C452" t="s">
        <v>617</v>
      </c>
      <c r="D452" s="10">
        <f>(D304*inputs!$E$77)/(inputs!$E$31)^inputs!E124</f>
        <v>0</v>
      </c>
      <c r="E452" t="str">
        <f t="shared" ca="1" si="7"/>
        <v>=(D304*inputs!$E$77)/(inputs!$E$31)^inputs!E124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</row>
    <row r="453" spans="1:110" s="16" customFormat="1" x14ac:dyDescent="0.25">
      <c r="A453" t="s">
        <v>32</v>
      </c>
      <c r="B453" t="s">
        <v>190</v>
      </c>
      <c r="C453" t="s">
        <v>618</v>
      </c>
      <c r="D453" s="10">
        <f>(D305*inputs!$E$77)/(inputs!$E$31)^inputs!E125</f>
        <v>0</v>
      </c>
      <c r="E453" t="str">
        <f t="shared" ca="1" si="7"/>
        <v>=(D305*inputs!$E$77)/(inputs!$E$31)^inputs!E125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</row>
    <row r="454" spans="1:110" s="16" customFormat="1" x14ac:dyDescent="0.25">
      <c r="A454" t="s">
        <v>32</v>
      </c>
      <c r="B454" t="s">
        <v>190</v>
      </c>
      <c r="C454" t="s">
        <v>619</v>
      </c>
      <c r="D454" s="10">
        <f>(D306*inputs!$E$77)/(inputs!$E$31)^inputs!E126</f>
        <v>0</v>
      </c>
      <c r="E454" t="str">
        <f t="shared" ca="1" si="7"/>
        <v>=(D306*inputs!$E$77)/(inputs!$E$31)^inputs!E126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</row>
    <row r="455" spans="1:110" s="16" customFormat="1" x14ac:dyDescent="0.25">
      <c r="A455" t="s">
        <v>32</v>
      </c>
      <c r="B455" t="s">
        <v>190</v>
      </c>
      <c r="C455" t="s">
        <v>620</v>
      </c>
      <c r="D455" s="10">
        <f>(D307*inputs!$E$77)/(inputs!$E$31)^inputs!E127</f>
        <v>0</v>
      </c>
      <c r="E455" t="str">
        <f t="shared" ca="1" si="7"/>
        <v>=(D307*inputs!$E$77)/(inputs!$E$31)^inputs!E127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</row>
    <row r="456" spans="1:110" s="16" customFormat="1" x14ac:dyDescent="0.25">
      <c r="A456" t="s">
        <v>32</v>
      </c>
      <c r="B456" t="s">
        <v>190</v>
      </c>
      <c r="C456" t="s">
        <v>621</v>
      </c>
      <c r="D456" s="10">
        <f>(D308*inputs!$E$77)/(inputs!$E$31)^inputs!E128</f>
        <v>0</v>
      </c>
      <c r="E456" t="str">
        <f t="shared" ca="1" si="7"/>
        <v>=(D308*inputs!$E$77)/(inputs!$E$31)^inputs!E128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</row>
    <row r="457" spans="1:110" s="16" customFormat="1" x14ac:dyDescent="0.25">
      <c r="A457" t="s">
        <v>32</v>
      </c>
      <c r="B457" t="s">
        <v>190</v>
      </c>
      <c r="C457" t="s">
        <v>622</v>
      </c>
      <c r="D457" s="10">
        <f>(D309*inputs!$E$77)/(inputs!$E$31)^inputs!E129</f>
        <v>0</v>
      </c>
      <c r="E457" t="str">
        <f t="shared" ca="1" si="7"/>
        <v>=(D309*inputs!$E$77)/(inputs!$E$31)^inputs!E129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</row>
    <row r="458" spans="1:110" s="16" customFormat="1" x14ac:dyDescent="0.25">
      <c r="A458" t="s">
        <v>32</v>
      </c>
      <c r="B458" t="s">
        <v>190</v>
      </c>
      <c r="C458" t="s">
        <v>623</v>
      </c>
      <c r="D458" s="10">
        <f>(D310*inputs!$E$77)/(inputs!$E$31)^inputs!E130</f>
        <v>0</v>
      </c>
      <c r="E458" t="str">
        <f t="shared" ca="1" si="7"/>
        <v>=(D310*inputs!$E$77)/(inputs!$E$31)^inputs!E130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</row>
    <row r="459" spans="1:110" s="16" customFormat="1" x14ac:dyDescent="0.25">
      <c r="A459" t="s">
        <v>32</v>
      </c>
      <c r="B459" t="s">
        <v>190</v>
      </c>
      <c r="C459" t="s">
        <v>624</v>
      </c>
      <c r="D459" s="10">
        <f>(D311*inputs!$E$77)/(inputs!$E$31)^inputs!E131</f>
        <v>0</v>
      </c>
      <c r="E459" t="str">
        <f t="shared" ca="1" si="7"/>
        <v>=(D311*inputs!$E$77)/(inputs!$E$31)^inputs!E131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</row>
    <row r="460" spans="1:110" s="16" customFormat="1" x14ac:dyDescent="0.25">
      <c r="A460" t="s">
        <v>32</v>
      </c>
      <c r="B460" t="s">
        <v>190</v>
      </c>
      <c r="C460" t="s">
        <v>625</v>
      </c>
      <c r="D460" s="10">
        <f>(D312*inputs!$E$77)/(inputs!$E$31)^inputs!E132</f>
        <v>0</v>
      </c>
      <c r="E460" t="str">
        <f t="shared" ca="1" si="7"/>
        <v>=(D312*inputs!$E$77)/(inputs!$E$31)^inputs!E132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</row>
    <row r="461" spans="1:110" s="16" customFormat="1" x14ac:dyDescent="0.25">
      <c r="A461" t="s">
        <v>32</v>
      </c>
      <c r="B461" t="s">
        <v>190</v>
      </c>
      <c r="C461" t="s">
        <v>626</v>
      </c>
      <c r="D461" s="10">
        <f>(D313*inputs!$E$77)/(inputs!$E$31)^inputs!E133</f>
        <v>0</v>
      </c>
      <c r="E461" t="str">
        <f t="shared" ca="1" si="7"/>
        <v>=(D313*inputs!$E$77)/(inputs!$E$31)^inputs!E133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</row>
    <row r="462" spans="1:110" s="16" customFormat="1" x14ac:dyDescent="0.25">
      <c r="A462" t="s">
        <v>32</v>
      </c>
      <c r="B462" t="s">
        <v>190</v>
      </c>
      <c r="C462" t="s">
        <v>627</v>
      </c>
      <c r="D462" s="10">
        <f>(D314*inputs!$E$77)/(inputs!$E$31)^inputs!E134</f>
        <v>0</v>
      </c>
      <c r="E462" t="str">
        <f t="shared" ca="1" si="7"/>
        <v>=(D314*inputs!$E$77)/(inputs!$E$31)^inputs!E134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</row>
    <row r="463" spans="1:110" s="16" customFormat="1" x14ac:dyDescent="0.25">
      <c r="A463" t="s">
        <v>32</v>
      </c>
      <c r="B463" t="s">
        <v>190</v>
      </c>
      <c r="C463" t="s">
        <v>628</v>
      </c>
      <c r="D463" s="10">
        <f>(D315*inputs!$E$77)/(inputs!$E$31)^inputs!E135</f>
        <v>0</v>
      </c>
      <c r="E463" t="str">
        <f t="shared" ca="1" si="7"/>
        <v>=(D315*inputs!$E$77)/(inputs!$E$31)^inputs!E135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</row>
    <row r="464" spans="1:110" s="16" customFormat="1" x14ac:dyDescent="0.25">
      <c r="A464" t="s">
        <v>32</v>
      </c>
      <c r="B464" t="s">
        <v>190</v>
      </c>
      <c r="C464" t="s">
        <v>630</v>
      </c>
      <c r="D464" s="10">
        <f>(D319*inputs!$E$78)/(inputs!$E$31)^inputs!E100</f>
        <v>0</v>
      </c>
      <c r="E464" t="str">
        <f t="shared" ca="1" si="7"/>
        <v>=(D319*inputs!$E$78)/(inputs!$E$31)^inputs!E100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</row>
    <row r="465" spans="1:110" s="16" customFormat="1" x14ac:dyDescent="0.25">
      <c r="A465" t="s">
        <v>32</v>
      </c>
      <c r="B465" t="s">
        <v>190</v>
      </c>
      <c r="C465" t="s">
        <v>631</v>
      </c>
      <c r="D465" s="10">
        <f>(D320*inputs!$E$78)/(inputs!$E$31)^inputs!E101</f>
        <v>0</v>
      </c>
      <c r="E465" t="str">
        <f t="shared" ca="1" si="7"/>
        <v>=(D320*inputs!$E$78)/(inputs!$E$31)^inputs!E101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</row>
    <row r="466" spans="1:110" s="16" customFormat="1" x14ac:dyDescent="0.25">
      <c r="A466" t="s">
        <v>32</v>
      </c>
      <c r="B466" t="s">
        <v>190</v>
      </c>
      <c r="C466" t="s">
        <v>632</v>
      </c>
      <c r="D466" s="10">
        <f>(D321*inputs!$E$78)/(inputs!$E$31)^inputs!E102</f>
        <v>0</v>
      </c>
      <c r="E466" t="str">
        <f t="shared" ca="1" si="7"/>
        <v>=(D321*inputs!$E$78)/(inputs!$E$31)^inputs!E102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</row>
    <row r="467" spans="1:110" s="16" customFormat="1" x14ac:dyDescent="0.25">
      <c r="A467" t="s">
        <v>32</v>
      </c>
      <c r="B467" t="s">
        <v>190</v>
      </c>
      <c r="C467" t="s">
        <v>633</v>
      </c>
      <c r="D467" s="10">
        <f>(D322*inputs!$E$78)/(inputs!$E$31)^inputs!E103</f>
        <v>0</v>
      </c>
      <c r="E467" t="str">
        <f t="shared" ca="1" si="7"/>
        <v>=(D322*inputs!$E$78)/(inputs!$E$31)^inputs!E103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</row>
    <row r="468" spans="1:110" s="16" customFormat="1" x14ac:dyDescent="0.25">
      <c r="A468" t="s">
        <v>32</v>
      </c>
      <c r="B468" t="s">
        <v>190</v>
      </c>
      <c r="C468" t="s">
        <v>634</v>
      </c>
      <c r="D468" s="10">
        <f>(D323*inputs!$E$78)/(inputs!$E$31)^inputs!E104</f>
        <v>0</v>
      </c>
      <c r="E468" t="str">
        <f t="shared" ca="1" si="7"/>
        <v>=(D323*inputs!$E$78)/(inputs!$E$31)^inputs!E104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</row>
    <row r="469" spans="1:110" s="16" customFormat="1" x14ac:dyDescent="0.25">
      <c r="A469" t="s">
        <v>32</v>
      </c>
      <c r="B469" t="s">
        <v>190</v>
      </c>
      <c r="C469" t="s">
        <v>635</v>
      </c>
      <c r="D469" s="10">
        <f>(D324*inputs!$E$78)/(inputs!$E$31)^inputs!E105</f>
        <v>0</v>
      </c>
      <c r="E469" t="str">
        <f t="shared" ca="1" si="7"/>
        <v>=(D324*inputs!$E$78)/(inputs!$E$31)^inputs!E105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</row>
    <row r="470" spans="1:110" s="16" customFormat="1" x14ac:dyDescent="0.25">
      <c r="A470" t="s">
        <v>32</v>
      </c>
      <c r="B470" t="s">
        <v>190</v>
      </c>
      <c r="C470" t="s">
        <v>636</v>
      </c>
      <c r="D470" s="10">
        <f>(D325*inputs!$E$78)/(inputs!$E$31)^inputs!E106</f>
        <v>0</v>
      </c>
      <c r="E470" t="str">
        <f t="shared" ca="1" si="7"/>
        <v>=(D325*inputs!$E$78)/(inputs!$E$31)^inputs!E106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</row>
    <row r="471" spans="1:110" s="16" customFormat="1" x14ac:dyDescent="0.25">
      <c r="A471" t="s">
        <v>32</v>
      </c>
      <c r="B471" t="s">
        <v>190</v>
      </c>
      <c r="C471" t="s">
        <v>637</v>
      </c>
      <c r="D471" s="10">
        <f>(D326*inputs!$E$78)/(inputs!$E$31)^inputs!E107</f>
        <v>0</v>
      </c>
      <c r="E471" t="str">
        <f t="shared" ca="1" si="7"/>
        <v>=(D326*inputs!$E$78)/(inputs!$E$31)^inputs!E107</v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</row>
    <row r="472" spans="1:110" s="16" customFormat="1" x14ac:dyDescent="0.25">
      <c r="A472" t="s">
        <v>32</v>
      </c>
      <c r="B472" t="s">
        <v>190</v>
      </c>
      <c r="C472" t="s">
        <v>638</v>
      </c>
      <c r="D472" s="10">
        <f>(D327*inputs!$E$78)/(inputs!$E$31)^inputs!E108</f>
        <v>0</v>
      </c>
      <c r="E472" t="str">
        <f t="shared" ref="E472:E535" ca="1" si="8">_xlfn.FORMULATEXT(D472)</f>
        <v>=(D327*inputs!$E$78)/(inputs!$E$31)^inputs!E108</v>
      </c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</row>
    <row r="473" spans="1:110" s="16" customFormat="1" x14ac:dyDescent="0.25">
      <c r="A473" t="s">
        <v>32</v>
      </c>
      <c r="B473" t="s">
        <v>190</v>
      </c>
      <c r="C473" t="s">
        <v>639</v>
      </c>
      <c r="D473" s="10">
        <f>(D328*inputs!$E$78)/(inputs!$E$31)^inputs!E109</f>
        <v>0</v>
      </c>
      <c r="E473" t="str">
        <f t="shared" ca="1" si="8"/>
        <v>=(D328*inputs!$E$78)/(inputs!$E$31)^inputs!E109</v>
      </c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</row>
    <row r="474" spans="1:110" s="16" customFormat="1" x14ac:dyDescent="0.25">
      <c r="A474" t="s">
        <v>32</v>
      </c>
      <c r="B474" t="s">
        <v>190</v>
      </c>
      <c r="C474" t="s">
        <v>640</v>
      </c>
      <c r="D474" s="10">
        <f>(D329*inputs!$E$78)/(inputs!$E$31)^inputs!E110</f>
        <v>0</v>
      </c>
      <c r="E474" t="str">
        <f t="shared" ca="1" si="8"/>
        <v>=(D329*inputs!$E$78)/(inputs!$E$31)^inputs!E110</v>
      </c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</row>
    <row r="475" spans="1:110" s="16" customFormat="1" x14ac:dyDescent="0.25">
      <c r="A475" t="s">
        <v>32</v>
      </c>
      <c r="B475" t="s">
        <v>190</v>
      </c>
      <c r="C475" t="s">
        <v>641</v>
      </c>
      <c r="D475" s="10">
        <f>(D330*inputs!$E$78)/(inputs!$E$31)^inputs!E111</f>
        <v>0</v>
      </c>
      <c r="E475" t="str">
        <f t="shared" ca="1" si="8"/>
        <v>=(D330*inputs!$E$78)/(inputs!$E$31)^inputs!E111</v>
      </c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</row>
    <row r="476" spans="1:110" s="16" customFormat="1" x14ac:dyDescent="0.25">
      <c r="A476" t="s">
        <v>32</v>
      </c>
      <c r="B476" t="s">
        <v>190</v>
      </c>
      <c r="C476" t="s">
        <v>642</v>
      </c>
      <c r="D476" s="10">
        <f>(D331*inputs!$E$78)/(inputs!$E$31)^inputs!E112</f>
        <v>0</v>
      </c>
      <c r="E476" t="str">
        <f t="shared" ca="1" si="8"/>
        <v>=(D331*inputs!$E$78)/(inputs!$E$31)^inputs!E112</v>
      </c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</row>
    <row r="477" spans="1:110" s="16" customFormat="1" x14ac:dyDescent="0.25">
      <c r="A477" t="s">
        <v>32</v>
      </c>
      <c r="B477" t="s">
        <v>190</v>
      </c>
      <c r="C477" t="s">
        <v>643</v>
      </c>
      <c r="D477" s="10">
        <f>(D332*inputs!$E$78)/(inputs!$E$31)^inputs!E113</f>
        <v>0</v>
      </c>
      <c r="E477" t="str">
        <f t="shared" ca="1" si="8"/>
        <v>=(D332*inputs!$E$78)/(inputs!$E$31)^inputs!E113</v>
      </c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</row>
    <row r="478" spans="1:110" s="16" customFormat="1" x14ac:dyDescent="0.25">
      <c r="A478" t="s">
        <v>32</v>
      </c>
      <c r="B478" t="s">
        <v>190</v>
      </c>
      <c r="C478" t="s">
        <v>644</v>
      </c>
      <c r="D478" s="10">
        <f>(D333*inputs!$E$78)/(inputs!$E$31)^inputs!E114</f>
        <v>0</v>
      </c>
      <c r="E478" t="str">
        <f t="shared" ca="1" si="8"/>
        <v>=(D333*inputs!$E$78)/(inputs!$E$31)^inputs!E114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</row>
    <row r="479" spans="1:110" s="16" customFormat="1" x14ac:dyDescent="0.25">
      <c r="A479" t="s">
        <v>32</v>
      </c>
      <c r="B479" t="s">
        <v>190</v>
      </c>
      <c r="C479" t="s">
        <v>645</v>
      </c>
      <c r="D479" s="10">
        <f>(D334*inputs!$E$78)/(inputs!$E$31)^inputs!E115</f>
        <v>0</v>
      </c>
      <c r="E479" t="str">
        <f t="shared" ca="1" si="8"/>
        <v>=(D334*inputs!$E$78)/(inputs!$E$31)^inputs!E115</v>
      </c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</row>
    <row r="480" spans="1:110" s="16" customFormat="1" x14ac:dyDescent="0.25">
      <c r="A480" t="s">
        <v>32</v>
      </c>
      <c r="B480" t="s">
        <v>190</v>
      </c>
      <c r="C480" t="s">
        <v>646</v>
      </c>
      <c r="D480" s="10">
        <f>(D335*inputs!$E$78)/(inputs!$E$31)^inputs!E116</f>
        <v>0</v>
      </c>
      <c r="E480" t="str">
        <f t="shared" ca="1" si="8"/>
        <v>=(D335*inputs!$E$78)/(inputs!$E$31)^inputs!E116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</row>
    <row r="481" spans="1:110" s="16" customFormat="1" x14ac:dyDescent="0.25">
      <c r="A481" t="s">
        <v>32</v>
      </c>
      <c r="B481" t="s">
        <v>190</v>
      </c>
      <c r="C481" t="s">
        <v>647</v>
      </c>
      <c r="D481" s="10">
        <f>(D336*inputs!$E$78)/(inputs!$E$31)^inputs!E117</f>
        <v>0</v>
      </c>
      <c r="E481" t="str">
        <f t="shared" ca="1" si="8"/>
        <v>=(D336*inputs!$E$78)/(inputs!$E$31)^inputs!E117</v>
      </c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</row>
    <row r="482" spans="1:110" s="16" customFormat="1" x14ac:dyDescent="0.25">
      <c r="A482" t="s">
        <v>32</v>
      </c>
      <c r="B482" t="s">
        <v>190</v>
      </c>
      <c r="C482" t="s">
        <v>648</v>
      </c>
      <c r="D482" s="10">
        <f>(D337*inputs!$E$78)/(inputs!$E$31)^inputs!E118</f>
        <v>0</v>
      </c>
      <c r="E482" t="str">
        <f t="shared" ca="1" si="8"/>
        <v>=(D337*inputs!$E$78)/(inputs!$E$31)^inputs!E118</v>
      </c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</row>
    <row r="483" spans="1:110" s="16" customFormat="1" x14ac:dyDescent="0.25">
      <c r="A483" t="s">
        <v>32</v>
      </c>
      <c r="B483" t="s">
        <v>190</v>
      </c>
      <c r="C483" t="s">
        <v>649</v>
      </c>
      <c r="D483" s="10">
        <f>(D338*inputs!$E$78)/(inputs!$E$31)^inputs!E119</f>
        <v>0</v>
      </c>
      <c r="E483" t="str">
        <f t="shared" ca="1" si="8"/>
        <v>=(D338*inputs!$E$78)/(inputs!$E$31)^inputs!E119</v>
      </c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</row>
    <row r="484" spans="1:110" s="16" customFormat="1" x14ac:dyDescent="0.25">
      <c r="A484" t="s">
        <v>32</v>
      </c>
      <c r="B484" t="s">
        <v>190</v>
      </c>
      <c r="C484" t="s">
        <v>650</v>
      </c>
      <c r="D484" s="10">
        <f>(D339*inputs!$E$78)/(inputs!$E$31)^inputs!E120</f>
        <v>0</v>
      </c>
      <c r="E484" t="str">
        <f t="shared" ca="1" si="8"/>
        <v>=(D339*inputs!$E$78)/(inputs!$E$31)^inputs!E120</v>
      </c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</row>
    <row r="485" spans="1:110" s="16" customFormat="1" x14ac:dyDescent="0.25">
      <c r="A485" t="s">
        <v>32</v>
      </c>
      <c r="B485" t="s">
        <v>190</v>
      </c>
      <c r="C485" t="s">
        <v>651</v>
      </c>
      <c r="D485" s="10">
        <f>(D340*inputs!$E$78)/(inputs!$E$31)^inputs!E121</f>
        <v>0</v>
      </c>
      <c r="E485" t="str">
        <f t="shared" ca="1" si="8"/>
        <v>=(D340*inputs!$E$78)/(inputs!$E$31)^inputs!E121</v>
      </c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</row>
    <row r="486" spans="1:110" s="16" customFormat="1" x14ac:dyDescent="0.25">
      <c r="A486" t="s">
        <v>32</v>
      </c>
      <c r="B486" t="s">
        <v>190</v>
      </c>
      <c r="C486" t="s">
        <v>652</v>
      </c>
      <c r="D486" s="10">
        <f>(D341*inputs!$E$78)/(inputs!$E$31)^inputs!E122</f>
        <v>0</v>
      </c>
      <c r="E486" t="str">
        <f t="shared" ca="1" si="8"/>
        <v>=(D341*inputs!$E$78)/(inputs!$E$31)^inputs!E122</v>
      </c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</row>
    <row r="487" spans="1:110" s="16" customFormat="1" x14ac:dyDescent="0.25">
      <c r="A487" t="s">
        <v>32</v>
      </c>
      <c r="B487" t="s">
        <v>190</v>
      </c>
      <c r="C487" t="s">
        <v>653</v>
      </c>
      <c r="D487" s="10">
        <f>(D342*inputs!$E$78)/(inputs!$E$31)^inputs!E123</f>
        <v>0</v>
      </c>
      <c r="E487" t="str">
        <f t="shared" ca="1" si="8"/>
        <v>=(D342*inputs!$E$78)/(inputs!$E$31)^inputs!E123</v>
      </c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</row>
    <row r="488" spans="1:110" s="16" customFormat="1" x14ac:dyDescent="0.25">
      <c r="A488" t="s">
        <v>32</v>
      </c>
      <c r="B488" t="s">
        <v>190</v>
      </c>
      <c r="C488" t="s">
        <v>654</v>
      </c>
      <c r="D488" s="10">
        <f>(D343*inputs!$E$78)/(inputs!$E$31)^inputs!E124</f>
        <v>0</v>
      </c>
      <c r="E488" t="str">
        <f t="shared" ca="1" si="8"/>
        <v>=(D343*inputs!$E$78)/(inputs!$E$31)^inputs!E124</v>
      </c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</row>
    <row r="489" spans="1:110" s="16" customFormat="1" x14ac:dyDescent="0.25">
      <c r="A489" t="s">
        <v>32</v>
      </c>
      <c r="B489" t="s">
        <v>190</v>
      </c>
      <c r="C489" t="s">
        <v>655</v>
      </c>
      <c r="D489" s="10">
        <f>(D344*inputs!$E$78)/(inputs!$E$31)^inputs!E125</f>
        <v>0</v>
      </c>
      <c r="E489" t="str">
        <f t="shared" ca="1" si="8"/>
        <v>=(D344*inputs!$E$78)/(inputs!$E$31)^inputs!E125</v>
      </c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</row>
    <row r="490" spans="1:110" s="16" customFormat="1" x14ac:dyDescent="0.25">
      <c r="A490" t="s">
        <v>32</v>
      </c>
      <c r="B490" t="s">
        <v>190</v>
      </c>
      <c r="C490" t="s">
        <v>656</v>
      </c>
      <c r="D490" s="10">
        <f>(D345*inputs!$E$78)/(inputs!$E$31)^inputs!E126</f>
        <v>0</v>
      </c>
      <c r="E490" t="str">
        <f t="shared" ca="1" si="8"/>
        <v>=(D345*inputs!$E$78)/(inputs!$E$31)^inputs!E126</v>
      </c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</row>
    <row r="491" spans="1:110" s="16" customFormat="1" x14ac:dyDescent="0.25">
      <c r="A491" t="s">
        <v>32</v>
      </c>
      <c r="B491" t="s">
        <v>190</v>
      </c>
      <c r="C491" t="s">
        <v>657</v>
      </c>
      <c r="D491" s="10">
        <f>(D346*inputs!$E$78)/(inputs!$E$31)^inputs!E127</f>
        <v>0</v>
      </c>
      <c r="E491" t="str">
        <f t="shared" ca="1" si="8"/>
        <v>=(D346*inputs!$E$78)/(inputs!$E$31)^inputs!E127</v>
      </c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</row>
    <row r="492" spans="1:110" s="16" customFormat="1" x14ac:dyDescent="0.25">
      <c r="A492" t="s">
        <v>32</v>
      </c>
      <c r="B492" t="s">
        <v>190</v>
      </c>
      <c r="C492" t="s">
        <v>658</v>
      </c>
      <c r="D492" s="10">
        <f>(D347*inputs!$E$78)/(inputs!$E$31)^inputs!E128</f>
        <v>0</v>
      </c>
      <c r="E492" t="str">
        <f t="shared" ca="1" si="8"/>
        <v>=(D347*inputs!$E$78)/(inputs!$E$31)^inputs!E128</v>
      </c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</row>
    <row r="493" spans="1:110" s="16" customFormat="1" x14ac:dyDescent="0.25">
      <c r="A493" t="s">
        <v>32</v>
      </c>
      <c r="B493" t="s">
        <v>190</v>
      </c>
      <c r="C493" t="s">
        <v>659</v>
      </c>
      <c r="D493" s="10">
        <f>(D348*inputs!$E$78)/(inputs!$E$31)^inputs!E129</f>
        <v>0</v>
      </c>
      <c r="E493" t="str">
        <f t="shared" ca="1" si="8"/>
        <v>=(D348*inputs!$E$78)/(inputs!$E$31)^inputs!E129</v>
      </c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</row>
    <row r="494" spans="1:110" s="16" customFormat="1" x14ac:dyDescent="0.25">
      <c r="A494" t="s">
        <v>32</v>
      </c>
      <c r="B494" t="s">
        <v>190</v>
      </c>
      <c r="C494" t="s">
        <v>660</v>
      </c>
      <c r="D494" s="10">
        <f>(D349*inputs!$E$78)/(inputs!$E$31)^inputs!E130</f>
        <v>0</v>
      </c>
      <c r="E494" t="str">
        <f t="shared" ca="1" si="8"/>
        <v>=(D349*inputs!$E$78)/(inputs!$E$31)^inputs!E130</v>
      </c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</row>
    <row r="495" spans="1:110" s="16" customFormat="1" x14ac:dyDescent="0.25">
      <c r="A495" t="s">
        <v>32</v>
      </c>
      <c r="B495" t="s">
        <v>190</v>
      </c>
      <c r="C495" t="s">
        <v>661</v>
      </c>
      <c r="D495" s="10">
        <f>(D350*inputs!$E$78)/(inputs!$E$31)^inputs!E131</f>
        <v>0</v>
      </c>
      <c r="E495" t="str">
        <f t="shared" ca="1" si="8"/>
        <v>=(D350*inputs!$E$78)/(inputs!$E$31)^inputs!E131</v>
      </c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</row>
    <row r="496" spans="1:110" s="16" customFormat="1" x14ac:dyDescent="0.25">
      <c r="A496" t="s">
        <v>32</v>
      </c>
      <c r="B496" t="s">
        <v>190</v>
      </c>
      <c r="C496" t="s">
        <v>662</v>
      </c>
      <c r="D496" s="10">
        <f>(D351*inputs!$E$78)/(inputs!$E$31)^inputs!E132</f>
        <v>0</v>
      </c>
      <c r="E496" t="str">
        <f t="shared" ca="1" si="8"/>
        <v>=(D351*inputs!$E$78)/(inputs!$E$31)^inputs!E132</v>
      </c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</row>
    <row r="497" spans="1:110" s="16" customFormat="1" x14ac:dyDescent="0.25">
      <c r="A497" t="s">
        <v>32</v>
      </c>
      <c r="B497" t="s">
        <v>190</v>
      </c>
      <c r="C497" t="s">
        <v>663</v>
      </c>
      <c r="D497" s="10">
        <f>(D352*inputs!$E$78)/(inputs!$E$31)^inputs!E133</f>
        <v>0</v>
      </c>
      <c r="E497" t="str">
        <f t="shared" ca="1" si="8"/>
        <v>=(D352*inputs!$E$78)/(inputs!$E$31)^inputs!E133</v>
      </c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</row>
    <row r="498" spans="1:110" s="16" customFormat="1" x14ac:dyDescent="0.25">
      <c r="A498" t="s">
        <v>32</v>
      </c>
      <c r="B498" t="s">
        <v>190</v>
      </c>
      <c r="C498" t="s">
        <v>664</v>
      </c>
      <c r="D498" s="10">
        <f>(D353*inputs!$E$78)/(inputs!$E$31)^inputs!E134</f>
        <v>0</v>
      </c>
      <c r="E498" t="str">
        <f t="shared" ca="1" si="8"/>
        <v>=(D353*inputs!$E$78)/(inputs!$E$31)^inputs!E134</v>
      </c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</row>
    <row r="499" spans="1:110" s="16" customFormat="1" x14ac:dyDescent="0.25">
      <c r="A499" t="s">
        <v>32</v>
      </c>
      <c r="B499" t="s">
        <v>190</v>
      </c>
      <c r="C499" t="s">
        <v>629</v>
      </c>
      <c r="D499" s="10">
        <f>(D354*inputs!$E$78)/(inputs!$E$31)^inputs!E135</f>
        <v>0</v>
      </c>
      <c r="E499" t="str">
        <f t="shared" ca="1" si="8"/>
        <v>=(D354*inputs!$E$78)/(inputs!$E$31)^inputs!E135</v>
      </c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</row>
    <row r="500" spans="1:110" s="14" customFormat="1" x14ac:dyDescent="0.25">
      <c r="A500" t="s">
        <v>32</v>
      </c>
      <c r="B500" t="s">
        <v>84</v>
      </c>
      <c r="C500" t="s">
        <v>769</v>
      </c>
      <c r="D500" s="10">
        <f>D355*(inputs!$E$26*inputs!E27)</f>
        <v>520771349.68815088</v>
      </c>
      <c r="E500" t="str">
        <f t="shared" ca="1" si="8"/>
        <v>=D355*(inputs!$E$26*inputs!E27)</v>
      </c>
      <c r="F500" t="s">
        <v>821</v>
      </c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</row>
    <row r="501" spans="1:110" x14ac:dyDescent="0.25">
      <c r="A501" t="s">
        <v>32</v>
      </c>
      <c r="B501" t="s">
        <v>84</v>
      </c>
      <c r="C501" t="s">
        <v>840</v>
      </c>
      <c r="D501" s="10">
        <f>D356*(inputs!$E$26*inputs!$E$27)</f>
        <v>6426822.6883737277</v>
      </c>
      <c r="E501" t="str">
        <f t="shared" ca="1" si="8"/>
        <v>=D356*(inputs!$E$26*inputs!$E$27)</v>
      </c>
    </row>
    <row r="502" spans="1:110" x14ac:dyDescent="0.25">
      <c r="A502" t="s">
        <v>32</v>
      </c>
      <c r="B502" t="s">
        <v>84</v>
      </c>
      <c r="C502" t="s">
        <v>841</v>
      </c>
      <c r="D502" s="10">
        <f>D357*(inputs!$E$26*inputs!$E$27)</f>
        <v>6237761.7879293365</v>
      </c>
      <c r="E502" t="str">
        <f t="shared" ca="1" si="8"/>
        <v>=D357*(inputs!$E$26*inputs!$E$27)</v>
      </c>
    </row>
    <row r="503" spans="1:110" x14ac:dyDescent="0.25">
      <c r="A503" t="s">
        <v>32</v>
      </c>
      <c r="B503" t="s">
        <v>84</v>
      </c>
      <c r="C503" t="s">
        <v>842</v>
      </c>
      <c r="D503" s="10">
        <f>D358*(inputs!$E$26*inputs!$E$27)</f>
        <v>6054262.5819349112</v>
      </c>
      <c r="E503" t="str">
        <f t="shared" ca="1" si="8"/>
        <v>=D358*(inputs!$E$26*inputs!$E$27)</v>
      </c>
    </row>
    <row r="504" spans="1:110" x14ac:dyDescent="0.25">
      <c r="A504" t="s">
        <v>32</v>
      </c>
      <c r="B504" t="s">
        <v>84</v>
      </c>
      <c r="C504" t="s">
        <v>843</v>
      </c>
      <c r="D504" s="10">
        <f>D359*(inputs!$E$26*inputs!$E$27)</f>
        <v>5876161.4593789615</v>
      </c>
      <c r="E504" t="str">
        <f t="shared" ca="1" si="8"/>
        <v>=D359*(inputs!$E$26*inputs!$E$27)</v>
      </c>
    </row>
    <row r="505" spans="1:110" x14ac:dyDescent="0.25">
      <c r="A505" t="s">
        <v>32</v>
      </c>
      <c r="B505" t="s">
        <v>84</v>
      </c>
      <c r="C505" t="s">
        <v>844</v>
      </c>
      <c r="D505" s="10">
        <f>D360*(inputs!$E$26*inputs!$E$27)</f>
        <v>5703299.6222729599</v>
      </c>
      <c r="E505" t="str">
        <f t="shared" ca="1" si="8"/>
        <v>=D360*(inputs!$E$26*inputs!$E$27)</v>
      </c>
    </row>
    <row r="506" spans="1:110" x14ac:dyDescent="0.25">
      <c r="A506" t="s">
        <v>32</v>
      </c>
      <c r="B506" t="s">
        <v>84</v>
      </c>
      <c r="C506" t="s">
        <v>845</v>
      </c>
      <c r="D506" s="10">
        <f>D361*(inputs!$E$26*inputs!$E$27)</f>
        <v>5535522.944064348</v>
      </c>
      <c r="E506" t="str">
        <f t="shared" ca="1" si="8"/>
        <v>=D361*(inputs!$E$26*inputs!$E$27)</v>
      </c>
    </row>
    <row r="507" spans="1:110" x14ac:dyDescent="0.25">
      <c r="A507" t="s">
        <v>32</v>
      </c>
      <c r="B507" t="s">
        <v>84</v>
      </c>
      <c r="C507" t="s">
        <v>846</v>
      </c>
      <c r="D507" s="10">
        <f>D362*(inputs!$E$26*inputs!$E$27)</f>
        <v>5372681.832214688</v>
      </c>
      <c r="E507" t="str">
        <f t="shared" ca="1" si="8"/>
        <v>=D362*(inputs!$E$26*inputs!$E$27)</v>
      </c>
    </row>
    <row r="508" spans="1:110" x14ac:dyDescent="0.25">
      <c r="A508" t="s">
        <v>32</v>
      </c>
      <c r="B508" t="s">
        <v>84</v>
      </c>
      <c r="C508" t="s">
        <v>847</v>
      </c>
      <c r="D508" s="10">
        <f>D363*(inputs!$E$26*inputs!$E$27)</f>
        <v>5214631.0948204119</v>
      </c>
      <c r="E508" t="str">
        <f t="shared" ca="1" si="8"/>
        <v>=D363*(inputs!$E$26*inputs!$E$27)</v>
      </c>
    </row>
    <row r="509" spans="1:110" x14ac:dyDescent="0.25">
      <c r="A509" t="s">
        <v>32</v>
      </c>
      <c r="B509" t="s">
        <v>84</v>
      </c>
      <c r="C509" t="s">
        <v>848</v>
      </c>
      <c r="D509" s="10">
        <f>D364*(inputs!$E$26*inputs!$E$27)</f>
        <v>5061229.8111572489</v>
      </c>
      <c r="E509" t="str">
        <f t="shared" ca="1" si="8"/>
        <v>=D364*(inputs!$E$26*inputs!$E$27)</v>
      </c>
    </row>
    <row r="510" spans="1:110" x14ac:dyDescent="0.25">
      <c r="A510" t="s">
        <v>32</v>
      </c>
      <c r="B510" t="s">
        <v>84</v>
      </c>
      <c r="C510" t="s">
        <v>849</v>
      </c>
      <c r="D510" s="10">
        <f>D365*(inputs!$E$26*inputs!$E$27)</f>
        <v>4912341.2060329132</v>
      </c>
      <c r="E510" t="str">
        <f t="shared" ca="1" si="8"/>
        <v>=D365*(inputs!$E$26*inputs!$E$27)</v>
      </c>
    </row>
    <row r="511" spans="1:110" x14ac:dyDescent="0.25">
      <c r="A511" t="s">
        <v>32</v>
      </c>
      <c r="B511" t="s">
        <v>84</v>
      </c>
      <c r="C511" t="s">
        <v>850</v>
      </c>
      <c r="D511" s="10">
        <f>D366*(inputs!$E$26*inputs!$E$27)</f>
        <v>4767832.5278360229</v>
      </c>
      <c r="E511" t="str">
        <f t="shared" ca="1" si="8"/>
        <v>=D366*(inputs!$E$26*inputs!$E$27)</v>
      </c>
    </row>
    <row r="512" spans="1:110" x14ac:dyDescent="0.25">
      <c r="A512" t="s">
        <v>32</v>
      </c>
      <c r="B512" t="s">
        <v>84</v>
      </c>
      <c r="C512" t="s">
        <v>851</v>
      </c>
      <c r="D512" s="10">
        <f>D367*(inputs!$E$26*inputs!$E$27)</f>
        <v>4627574.9301724993</v>
      </c>
      <c r="E512" t="str">
        <f t="shared" ca="1" si="8"/>
        <v>=D367*(inputs!$E$26*inputs!$E$27)</v>
      </c>
    </row>
    <row r="513" spans="1:5" x14ac:dyDescent="0.25">
      <c r="A513" t="s">
        <v>32</v>
      </c>
      <c r="B513" t="s">
        <v>84</v>
      </c>
      <c r="C513" t="s">
        <v>852</v>
      </c>
      <c r="D513" s="10">
        <f>D368*(inputs!$E$26*inputs!$E$27)</f>
        <v>4491443.3569839289</v>
      </c>
      <c r="E513" t="str">
        <f t="shared" ca="1" si="8"/>
        <v>=D368*(inputs!$E$26*inputs!$E$27)</v>
      </c>
    </row>
    <row r="514" spans="1:5" x14ac:dyDescent="0.25">
      <c r="A514" t="s">
        <v>32</v>
      </c>
      <c r="B514" t="s">
        <v>84</v>
      </c>
      <c r="C514" t="s">
        <v>853</v>
      </c>
      <c r="D514" s="10">
        <f>D369*(inputs!$E$26*inputs!$E$27)</f>
        <v>4359316.4310454689</v>
      </c>
      <c r="E514" t="str">
        <f t="shared" ca="1" si="8"/>
        <v>=D369*(inputs!$E$26*inputs!$E$27)</v>
      </c>
    </row>
    <row r="515" spans="1:5" x14ac:dyDescent="0.25">
      <c r="A515" s="7" t="s">
        <v>32</v>
      </c>
      <c r="B515" s="7" t="s">
        <v>84</v>
      </c>
      <c r="C515" s="7" t="s">
        <v>854</v>
      </c>
      <c r="D515" s="8">
        <f>D370*(inputs!$E$26*inputs!$E$27)</f>
        <v>4231076.3457438406</v>
      </c>
      <c r="E515" s="7" t="str">
        <f t="shared" ca="1" si="8"/>
        <v>=D370*(inputs!$E$26*inputs!$E$27)</v>
      </c>
    </row>
    <row r="516" spans="1:5" x14ac:dyDescent="0.25">
      <c r="A516" s="7" t="s">
        <v>32</v>
      </c>
      <c r="B516" s="7" t="s">
        <v>84</v>
      </c>
      <c r="C516" s="7" t="s">
        <v>855</v>
      </c>
      <c r="D516" s="8">
        <f>D371*(inputs!$E$26*inputs!$E$27)</f>
        <v>4106608.7600389495</v>
      </c>
      <c r="E516" s="7" t="str">
        <f t="shared" ca="1" si="8"/>
        <v>=D371*(inputs!$E$26*inputs!$E$27)</v>
      </c>
    </row>
    <row r="517" spans="1:5" x14ac:dyDescent="0.25">
      <c r="A517" s="7" t="s">
        <v>32</v>
      </c>
      <c r="B517" s="7" t="s">
        <v>84</v>
      </c>
      <c r="C517" s="7" t="s">
        <v>856</v>
      </c>
      <c r="D517" s="8">
        <f>D372*(inputs!$E$26*inputs!$E$27)</f>
        <v>3983011.7973581664</v>
      </c>
      <c r="E517" s="7" t="str">
        <f t="shared" ca="1" si="8"/>
        <v>=D372*(inputs!$E$26*inputs!$E$27)</v>
      </c>
    </row>
    <row r="518" spans="1:5" x14ac:dyDescent="0.25">
      <c r="A518" s="7" t="s">
        <v>32</v>
      </c>
      <c r="B518" s="7" t="s">
        <v>84</v>
      </c>
      <c r="C518" s="7" t="s">
        <v>857</v>
      </c>
      <c r="D518" s="8">
        <f>D373*(inputs!$E$26*inputs!$E$27)</f>
        <v>3863134.7432629196</v>
      </c>
      <c r="E518" s="7" t="str">
        <f t="shared" ca="1" si="8"/>
        <v>=D373*(inputs!$E$26*inputs!$E$27)</v>
      </c>
    </row>
    <row r="519" spans="1:5" x14ac:dyDescent="0.25">
      <c r="A519" s="7" t="s">
        <v>32</v>
      </c>
      <c r="B519" s="7" t="s">
        <v>84</v>
      </c>
      <c r="C519" s="7" t="s">
        <v>858</v>
      </c>
      <c r="D519" s="8">
        <f>D374*(inputs!$E$26*inputs!$E$27)</f>
        <v>3746865.6393394722</v>
      </c>
      <c r="E519" s="7" t="str">
        <f t="shared" ca="1" si="8"/>
        <v>=D374*(inputs!$E$26*inputs!$E$27)</v>
      </c>
    </row>
    <row r="520" spans="1:5" x14ac:dyDescent="0.25">
      <c r="A520" s="7" t="s">
        <v>32</v>
      </c>
      <c r="B520" s="7" t="s">
        <v>84</v>
      </c>
      <c r="C520" s="7" t="s">
        <v>859</v>
      </c>
      <c r="D520" s="8">
        <f>D375*(inputs!$E$26*inputs!$E$27)</f>
        <v>3634095.8967962461</v>
      </c>
      <c r="E520" s="7" t="str">
        <f t="shared" ca="1" si="8"/>
        <v>=D375*(inputs!$E$26*inputs!$E$27)</v>
      </c>
    </row>
    <row r="521" spans="1:5" x14ac:dyDescent="0.25">
      <c r="A521" s="7" t="s">
        <v>32</v>
      </c>
      <c r="B521" s="7" t="s">
        <v>84</v>
      </c>
      <c r="C521" s="7" t="s">
        <v>860</v>
      </c>
      <c r="D521" s="8">
        <f>D376*(inputs!$E$26*inputs!$E$27)</f>
        <v>3524720.19504801</v>
      </c>
      <c r="E521" s="7" t="str">
        <f t="shared" ca="1" si="8"/>
        <v>=D376*(inputs!$E$26*inputs!$E$27)</v>
      </c>
    </row>
    <row r="522" spans="1:5" x14ac:dyDescent="0.25">
      <c r="A522" s="7" t="s">
        <v>32</v>
      </c>
      <c r="B522" s="7" t="s">
        <v>84</v>
      </c>
      <c r="C522" s="7" t="s">
        <v>861</v>
      </c>
      <c r="D522" s="8">
        <f>D377*(inputs!$E$26*inputs!$E$27)</f>
        <v>3415214.3249105955</v>
      </c>
      <c r="E522" s="7" t="str">
        <f t="shared" ca="1" si="8"/>
        <v>=D377*(inputs!$E$26*inputs!$E$27)</v>
      </c>
    </row>
    <row r="523" spans="1:5" x14ac:dyDescent="0.25">
      <c r="A523" s="7" t="s">
        <v>32</v>
      </c>
      <c r="B523" s="7" t="s">
        <v>84</v>
      </c>
      <c r="C523" s="7" t="s">
        <v>862</v>
      </c>
      <c r="D523" s="8">
        <f>D378*(inputs!$E$26*inputs!$E$27)</f>
        <v>3309110.5788939563</v>
      </c>
      <c r="E523" s="7" t="str">
        <f t="shared" ca="1" si="8"/>
        <v>=D378*(inputs!$E$26*inputs!$E$27)</v>
      </c>
    </row>
    <row r="524" spans="1:5" x14ac:dyDescent="0.25">
      <c r="A524" s="7" t="s">
        <v>32</v>
      </c>
      <c r="B524" s="7" t="s">
        <v>84</v>
      </c>
      <c r="C524" s="7" t="s">
        <v>863</v>
      </c>
      <c r="D524" s="8">
        <f>D379*(inputs!$E$26*inputs!$E$27)</f>
        <v>3206303.2599380272</v>
      </c>
      <c r="E524" s="7" t="str">
        <f t="shared" ca="1" si="8"/>
        <v>=D379*(inputs!$E$26*inputs!$E$27)</v>
      </c>
    </row>
    <row r="525" spans="1:5" x14ac:dyDescent="0.25">
      <c r="A525" s="7" t="s">
        <v>32</v>
      </c>
      <c r="B525" s="7" t="s">
        <v>84</v>
      </c>
      <c r="C525" s="7" t="s">
        <v>864</v>
      </c>
      <c r="D525" s="8">
        <f>D380*(inputs!$E$26*inputs!$E$27)</f>
        <v>3106689.9547749041</v>
      </c>
      <c r="E525" s="7" t="str">
        <f t="shared" ca="1" si="8"/>
        <v>=D380*(inputs!$E$26*inputs!$E$27)</v>
      </c>
    </row>
    <row r="526" spans="1:5" x14ac:dyDescent="0.25">
      <c r="A526" s="7" t="s">
        <v>32</v>
      </c>
      <c r="B526" s="7" t="s">
        <v>84</v>
      </c>
      <c r="C526" s="7" t="s">
        <v>865</v>
      </c>
      <c r="D526" s="8">
        <f>D381*(inputs!$E$26*inputs!$E$27)</f>
        <v>3010171.4319081111</v>
      </c>
      <c r="E526" s="7" t="str">
        <f t="shared" ca="1" si="8"/>
        <v>=D381*(inputs!$E$26*inputs!$E$27)</v>
      </c>
    </row>
    <row r="527" spans="1:5" x14ac:dyDescent="0.25">
      <c r="A527" s="7" t="s">
        <v>32</v>
      </c>
      <c r="B527" s="7" t="s">
        <v>84</v>
      </c>
      <c r="C527" s="7" t="s">
        <v>866</v>
      </c>
      <c r="D527" s="8">
        <f>D382*(inputs!$E$26*inputs!$E$27)</f>
        <v>2916651.5427614516</v>
      </c>
      <c r="E527" s="7" t="str">
        <f t="shared" ca="1" si="8"/>
        <v>=D382*(inputs!$E$26*inputs!$E$27)</v>
      </c>
    </row>
    <row r="528" spans="1:5" x14ac:dyDescent="0.25">
      <c r="A528" s="7" t="s">
        <v>32</v>
      </c>
      <c r="B528" s="7" t="s">
        <v>84</v>
      </c>
      <c r="C528" s="7" t="s">
        <v>867</v>
      </c>
      <c r="D528" s="8">
        <f>D383*(inputs!$E$26*inputs!$E$27)</f>
        <v>2826037.12589896</v>
      </c>
      <c r="E528" s="7" t="str">
        <f t="shared" ca="1" si="8"/>
        <v>=D383*(inputs!$E$26*inputs!$E$27)</v>
      </c>
    </row>
    <row r="529" spans="1:6" x14ac:dyDescent="0.25">
      <c r="A529" s="7" t="s">
        <v>32</v>
      </c>
      <c r="B529" s="7" t="s">
        <v>84</v>
      </c>
      <c r="C529" s="7" t="s">
        <v>868</v>
      </c>
      <c r="D529" s="8">
        <f>D384*(inputs!$E$26*inputs!$E$27)</f>
        <v>2738237.9142205454</v>
      </c>
      <c r="E529" s="7" t="str">
        <f t="shared" ca="1" si="8"/>
        <v>=D384*(inputs!$E$26*inputs!$E$27)</v>
      </c>
    </row>
    <row r="530" spans="1:6" x14ac:dyDescent="0.25">
      <c r="A530" s="7" t="s">
        <v>32</v>
      </c>
      <c r="B530" s="7" t="s">
        <v>84</v>
      </c>
      <c r="C530" s="7" t="s">
        <v>869</v>
      </c>
      <c r="D530" s="8">
        <f>D385*(inputs!$E$26*inputs!$E$27)</f>
        <v>2653166.4450408788</v>
      </c>
      <c r="E530" s="7" t="str">
        <f t="shared" ca="1" si="8"/>
        <v>=D385*(inputs!$E$26*inputs!$E$27)</v>
      </c>
    </row>
    <row r="531" spans="1:6" x14ac:dyDescent="0.25">
      <c r="A531" s="7" t="s">
        <v>32</v>
      </c>
      <c r="B531" s="7" t="s">
        <v>84</v>
      </c>
      <c r="C531" s="7" t="s">
        <v>870</v>
      </c>
      <c r="D531" s="8">
        <f>D386*(inputs!$E$26*inputs!$E$27)</f>
        <v>2570737.972961938</v>
      </c>
      <c r="E531" s="7" t="str">
        <f t="shared" ca="1" si="8"/>
        <v>=D386*(inputs!$E$26*inputs!$E$27)</v>
      </c>
    </row>
    <row r="532" spans="1:6" x14ac:dyDescent="0.25">
      <c r="A532" s="7" t="s">
        <v>32</v>
      </c>
      <c r="B532" s="7" t="s">
        <v>84</v>
      </c>
      <c r="C532" s="7" t="s">
        <v>871</v>
      </c>
      <c r="D532" s="8">
        <f>D387*(inputs!$E$26*inputs!$E$27)</f>
        <v>2490870.3854524414</v>
      </c>
      <c r="E532" s="7" t="str">
        <f t="shared" ca="1" si="8"/>
        <v>=D387*(inputs!$E$26*inputs!$E$27)</v>
      </c>
    </row>
    <row r="533" spans="1:6" x14ac:dyDescent="0.25">
      <c r="A533" s="7" t="s">
        <v>32</v>
      </c>
      <c r="B533" s="7" t="s">
        <v>84</v>
      </c>
      <c r="C533" s="7" t="s">
        <v>872</v>
      </c>
      <c r="D533" s="8">
        <f>D388*(inputs!$E$26*inputs!$E$27)</f>
        <v>2413484.1210500356</v>
      </c>
      <c r="E533" s="7" t="str">
        <f t="shared" ca="1" si="8"/>
        <v>=D388*(inputs!$E$26*inputs!$E$27)</v>
      </c>
    </row>
    <row r="534" spans="1:6" x14ac:dyDescent="0.25">
      <c r="A534" s="7" t="s">
        <v>32</v>
      </c>
      <c r="B534" s="7" t="s">
        <v>84</v>
      </c>
      <c r="C534" s="7" t="s">
        <v>873</v>
      </c>
      <c r="D534" s="8">
        <f>D389*(inputs!$E$26*inputs!$E$27)</f>
        <v>2338502.0901047913</v>
      </c>
      <c r="E534" s="7" t="str">
        <f t="shared" ca="1" si="8"/>
        <v>=D389*(inputs!$E$26*inputs!$E$27)</v>
      </c>
    </row>
    <row r="535" spans="1:6" x14ac:dyDescent="0.25">
      <c r="A535" s="7" t="s">
        <v>32</v>
      </c>
      <c r="B535" s="7" t="s">
        <v>84</v>
      </c>
      <c r="C535" s="7" t="s">
        <v>874</v>
      </c>
      <c r="D535" s="8">
        <f>D390*(inputs!$E$26*inputs!$E$27)</f>
        <v>2265849.5979850311</v>
      </c>
      <c r="E535" s="7" t="str">
        <f t="shared" ca="1" si="8"/>
        <v>=D390*(inputs!$E$26*inputs!$E$27)</v>
      </c>
    </row>
    <row r="536" spans="1:6" x14ac:dyDescent="0.25">
      <c r="A536" s="7" t="s">
        <v>32</v>
      </c>
      <c r="B536" s="7" t="s">
        <v>84</v>
      </c>
      <c r="C536" s="7" t="s">
        <v>875</v>
      </c>
      <c r="D536" s="8">
        <f>D391*(inputs!$E$26*inputs!$E$27)</f>
        <v>2195454.2706689914</v>
      </c>
      <c r="E536" s="7" t="str">
        <f t="shared" ref="E536:E599" ca="1" si="9">_xlfn.FORMULATEXT(D536)</f>
        <v>=D391*(inputs!$E$26*inputs!$E$27)</v>
      </c>
    </row>
    <row r="537" spans="1:6" s="14" customFormat="1" x14ac:dyDescent="0.25">
      <c r="A537" s="14" t="s">
        <v>32</v>
      </c>
      <c r="B537" s="14" t="s">
        <v>84</v>
      </c>
      <c r="C537" s="14" t="s">
        <v>876</v>
      </c>
      <c r="D537" s="15">
        <f>D392*(inputs!$E$26*inputs!$E$27)</f>
        <v>0</v>
      </c>
      <c r="E537" s="14" t="str">
        <f t="shared" ca="1" si="9"/>
        <v>=D392*(inputs!$E$26*inputs!$E$27)</v>
      </c>
      <c r="F537"/>
    </row>
    <row r="538" spans="1:6" s="14" customFormat="1" x14ac:dyDescent="0.25">
      <c r="A538" s="14" t="s">
        <v>32</v>
      </c>
      <c r="B538" s="14" t="s">
        <v>84</v>
      </c>
      <c r="C538" s="14" t="s">
        <v>877</v>
      </c>
      <c r="D538" s="15">
        <f>D393*(inputs!$E$26*inputs!$E$27)</f>
        <v>0</v>
      </c>
      <c r="E538" s="14" t="str">
        <f t="shared" ca="1" si="9"/>
        <v>=D393*(inputs!$E$26*inputs!$E$27)</v>
      </c>
      <c r="F538"/>
    </row>
    <row r="539" spans="1:6" s="14" customFormat="1" x14ac:dyDescent="0.25">
      <c r="A539" s="14" t="s">
        <v>32</v>
      </c>
      <c r="B539" s="14" t="s">
        <v>84</v>
      </c>
      <c r="C539" s="14" t="s">
        <v>878</v>
      </c>
      <c r="D539" s="15">
        <f>D394*(inputs!$E$26*inputs!$E$27)</f>
        <v>0</v>
      </c>
      <c r="E539" s="14" t="str">
        <f t="shared" ca="1" si="9"/>
        <v>=D394*(inputs!$E$26*inputs!$E$27)</v>
      </c>
      <c r="F539"/>
    </row>
    <row r="540" spans="1:6" s="14" customFormat="1" x14ac:dyDescent="0.25">
      <c r="A540" s="14" t="s">
        <v>32</v>
      </c>
      <c r="B540" s="14" t="s">
        <v>84</v>
      </c>
      <c r="C540" s="14" t="s">
        <v>879</v>
      </c>
      <c r="D540" s="15">
        <f>D395*(inputs!$E$26*inputs!$E$27)</f>
        <v>0</v>
      </c>
      <c r="E540" s="14" t="str">
        <f t="shared" ca="1" si="9"/>
        <v>=D395*(inputs!$E$26*inputs!$E$27)</v>
      </c>
      <c r="F540"/>
    </row>
    <row r="541" spans="1:6" s="14" customFormat="1" x14ac:dyDescent="0.25">
      <c r="A541" s="14" t="s">
        <v>32</v>
      </c>
      <c r="B541" s="14" t="s">
        <v>84</v>
      </c>
      <c r="C541" s="14" t="s">
        <v>880</v>
      </c>
      <c r="D541" s="15">
        <f>D396*(inputs!$E$26*inputs!$E$27)</f>
        <v>0</v>
      </c>
      <c r="E541" s="14" t="str">
        <f t="shared" ca="1" si="9"/>
        <v>=D396*(inputs!$E$26*inputs!$E$27)</v>
      </c>
      <c r="F541"/>
    </row>
    <row r="542" spans="1:6" s="14" customFormat="1" x14ac:dyDescent="0.25">
      <c r="A542" s="14" t="s">
        <v>32</v>
      </c>
      <c r="B542" s="14" t="s">
        <v>84</v>
      </c>
      <c r="C542" s="14" t="s">
        <v>881</v>
      </c>
      <c r="D542" s="15">
        <f>D397*(inputs!$E$26*inputs!$E$27)</f>
        <v>0</v>
      </c>
      <c r="E542" s="14" t="str">
        <f t="shared" ca="1" si="9"/>
        <v>=D397*(inputs!$E$26*inputs!$E$27)</v>
      </c>
      <c r="F542"/>
    </row>
    <row r="543" spans="1:6" s="14" customFormat="1" x14ac:dyDescent="0.25">
      <c r="A543" s="14" t="s">
        <v>32</v>
      </c>
      <c r="B543" s="14" t="s">
        <v>84</v>
      </c>
      <c r="C543" s="14" t="s">
        <v>882</v>
      </c>
      <c r="D543" s="15">
        <f>D398*(inputs!$E$26*inputs!$E$27)</f>
        <v>0</v>
      </c>
      <c r="E543" s="14" t="str">
        <f t="shared" ca="1" si="9"/>
        <v>=D398*(inputs!$E$26*inputs!$E$27)</v>
      </c>
      <c r="F543"/>
    </row>
    <row r="544" spans="1:6" s="14" customFormat="1" x14ac:dyDescent="0.25">
      <c r="A544" s="14" t="s">
        <v>32</v>
      </c>
      <c r="B544" s="14" t="s">
        <v>84</v>
      </c>
      <c r="C544" s="14" t="s">
        <v>883</v>
      </c>
      <c r="D544" s="15">
        <f>D399*(inputs!$E$26*inputs!$E$27)</f>
        <v>0</v>
      </c>
      <c r="E544" s="14" t="str">
        <f t="shared" ca="1" si="9"/>
        <v>=D399*(inputs!$E$26*inputs!$E$27)</v>
      </c>
      <c r="F544"/>
    </row>
    <row r="545" spans="1:6" s="14" customFormat="1" x14ac:dyDescent="0.25">
      <c r="A545" s="14" t="s">
        <v>32</v>
      </c>
      <c r="B545" s="14" t="s">
        <v>84</v>
      </c>
      <c r="C545" s="14" t="s">
        <v>884</v>
      </c>
      <c r="D545" s="15">
        <f>D400*(inputs!$E$26*inputs!$E$27)</f>
        <v>0</v>
      </c>
      <c r="E545" s="14" t="str">
        <f t="shared" ca="1" si="9"/>
        <v>=D400*(inputs!$E$26*inputs!$E$27)</v>
      </c>
      <c r="F545"/>
    </row>
    <row r="546" spans="1:6" s="14" customFormat="1" x14ac:dyDescent="0.25">
      <c r="A546" s="14" t="s">
        <v>32</v>
      </c>
      <c r="B546" s="14" t="s">
        <v>84</v>
      </c>
      <c r="C546" s="14" t="s">
        <v>885</v>
      </c>
      <c r="D546" s="15">
        <f>D401*(inputs!$E$26*inputs!$E$27)</f>
        <v>0</v>
      </c>
      <c r="E546" s="14" t="str">
        <f t="shared" ca="1" si="9"/>
        <v>=D401*(inputs!$E$26*inputs!$E$27)</v>
      </c>
      <c r="F546"/>
    </row>
    <row r="547" spans="1:6" s="14" customFormat="1" x14ac:dyDescent="0.25">
      <c r="A547" s="14" t="s">
        <v>32</v>
      </c>
      <c r="B547" s="14" t="s">
        <v>84</v>
      </c>
      <c r="C547" s="14" t="s">
        <v>886</v>
      </c>
      <c r="D547" s="15">
        <f>D402*(inputs!$E$26*inputs!$E$27)</f>
        <v>0</v>
      </c>
      <c r="E547" s="14" t="str">
        <f t="shared" ca="1" si="9"/>
        <v>=D402*(inputs!$E$26*inputs!$E$27)</v>
      </c>
      <c r="F547"/>
    </row>
    <row r="548" spans="1:6" s="14" customFormat="1" x14ac:dyDescent="0.25">
      <c r="A548" s="14" t="s">
        <v>32</v>
      </c>
      <c r="B548" s="14" t="s">
        <v>84</v>
      </c>
      <c r="C548" s="14" t="s">
        <v>887</v>
      </c>
      <c r="D548" s="15">
        <f>D403*(inputs!$E$26*inputs!$E$27)</f>
        <v>0</v>
      </c>
      <c r="E548" s="14" t="str">
        <f t="shared" ca="1" si="9"/>
        <v>=D403*(inputs!$E$26*inputs!$E$27)</v>
      </c>
      <c r="F548"/>
    </row>
    <row r="549" spans="1:6" s="14" customFormat="1" x14ac:dyDescent="0.25">
      <c r="A549" s="14" t="s">
        <v>32</v>
      </c>
      <c r="B549" s="14" t="s">
        <v>84</v>
      </c>
      <c r="C549" s="14" t="s">
        <v>888</v>
      </c>
      <c r="D549" s="15">
        <f>D404*(inputs!$E$26*inputs!$E$27)</f>
        <v>0</v>
      </c>
      <c r="E549" s="14" t="str">
        <f t="shared" ca="1" si="9"/>
        <v>=D404*(inputs!$E$26*inputs!$E$27)</v>
      </c>
      <c r="F549"/>
    </row>
    <row r="550" spans="1:6" s="14" customFormat="1" x14ac:dyDescent="0.25">
      <c r="A550" s="14" t="s">
        <v>32</v>
      </c>
      <c r="B550" s="14" t="s">
        <v>84</v>
      </c>
      <c r="C550" s="14" t="s">
        <v>889</v>
      </c>
      <c r="D550" s="15">
        <f>D405*(inputs!$E$26*inputs!$E$27)</f>
        <v>0</v>
      </c>
      <c r="E550" s="14" t="str">
        <f t="shared" ca="1" si="9"/>
        <v>=D405*(inputs!$E$26*inputs!$E$27)</v>
      </c>
      <c r="F550"/>
    </row>
    <row r="551" spans="1:6" s="14" customFormat="1" x14ac:dyDescent="0.25">
      <c r="A551" s="14" t="s">
        <v>32</v>
      </c>
      <c r="B551" s="14" t="s">
        <v>84</v>
      </c>
      <c r="C551" s="14" t="s">
        <v>890</v>
      </c>
      <c r="D551" s="15">
        <f>D406*(inputs!$E$26*inputs!$E$27)</f>
        <v>0</v>
      </c>
      <c r="E551" s="14" t="str">
        <f t="shared" ca="1" si="9"/>
        <v>=D406*(inputs!$E$26*inputs!$E$27)</v>
      </c>
      <c r="F551"/>
    </row>
    <row r="552" spans="1:6" s="14" customFormat="1" x14ac:dyDescent="0.25">
      <c r="A552" s="14" t="s">
        <v>32</v>
      </c>
      <c r="B552" s="14" t="s">
        <v>84</v>
      </c>
      <c r="C552" s="14" t="s">
        <v>891</v>
      </c>
      <c r="D552" s="15">
        <f>D407*(inputs!$E$26*inputs!$E$27)</f>
        <v>0</v>
      </c>
      <c r="E552" s="14" t="str">
        <f t="shared" ca="1" si="9"/>
        <v>=D407*(inputs!$E$26*inputs!$E$27)</v>
      </c>
      <c r="F552"/>
    </row>
    <row r="553" spans="1:6" s="14" customFormat="1" x14ac:dyDescent="0.25">
      <c r="A553" s="14" t="s">
        <v>32</v>
      </c>
      <c r="B553" s="14" t="s">
        <v>84</v>
      </c>
      <c r="C553" s="14" t="s">
        <v>892</v>
      </c>
      <c r="D553" s="15">
        <f>D408*(inputs!$E$26*inputs!$E$27)</f>
        <v>0</v>
      </c>
      <c r="E553" s="14" t="str">
        <f t="shared" ca="1" si="9"/>
        <v>=D408*(inputs!$E$26*inputs!$E$27)</v>
      </c>
      <c r="F553"/>
    </row>
    <row r="554" spans="1:6" s="14" customFormat="1" x14ac:dyDescent="0.25">
      <c r="A554" s="14" t="s">
        <v>32</v>
      </c>
      <c r="B554" s="14" t="s">
        <v>84</v>
      </c>
      <c r="C554" s="14" t="s">
        <v>893</v>
      </c>
      <c r="D554" s="15">
        <f>D409*(inputs!$E$26*inputs!$E$27)</f>
        <v>0</v>
      </c>
      <c r="E554" s="14" t="str">
        <f t="shared" ca="1" si="9"/>
        <v>=D409*(inputs!$E$26*inputs!$E$27)</v>
      </c>
      <c r="F554"/>
    </row>
    <row r="555" spans="1:6" s="14" customFormat="1" x14ac:dyDescent="0.25">
      <c r="A555" s="14" t="s">
        <v>32</v>
      </c>
      <c r="B555" s="14" t="s">
        <v>84</v>
      </c>
      <c r="C555" s="14" t="s">
        <v>894</v>
      </c>
      <c r="D555" s="15">
        <f>D410*(inputs!$E$26*inputs!$E$27)</f>
        <v>0</v>
      </c>
      <c r="E555" s="14" t="str">
        <f t="shared" ca="1" si="9"/>
        <v>=D410*(inputs!$E$26*inputs!$E$27)</v>
      </c>
      <c r="F555"/>
    </row>
    <row r="556" spans="1:6" s="14" customFormat="1" x14ac:dyDescent="0.25">
      <c r="A556" s="14" t="s">
        <v>32</v>
      </c>
      <c r="B556" s="14" t="s">
        <v>84</v>
      </c>
      <c r="C556" s="14" t="s">
        <v>895</v>
      </c>
      <c r="D556" s="15">
        <f>D411*(inputs!$E$26*inputs!$E$27)</f>
        <v>0</v>
      </c>
      <c r="E556" s="14" t="str">
        <f t="shared" ca="1" si="9"/>
        <v>=D411*(inputs!$E$26*inputs!$E$27)</v>
      </c>
      <c r="F556"/>
    </row>
    <row r="557" spans="1:6" s="14" customFormat="1" x14ac:dyDescent="0.25">
      <c r="A557" s="14" t="s">
        <v>32</v>
      </c>
      <c r="B557" s="14" t="s">
        <v>84</v>
      </c>
      <c r="C557" s="14" t="s">
        <v>896</v>
      </c>
      <c r="D557" s="15">
        <f>D412*(inputs!$E$26*inputs!$E$27)</f>
        <v>0</v>
      </c>
      <c r="E557" s="14" t="str">
        <f t="shared" ca="1" si="9"/>
        <v>=D412*(inputs!$E$26*inputs!$E$27)</v>
      </c>
      <c r="F557"/>
    </row>
    <row r="558" spans="1:6" s="14" customFormat="1" x14ac:dyDescent="0.25">
      <c r="A558" s="14" t="s">
        <v>32</v>
      </c>
      <c r="B558" s="14" t="s">
        <v>84</v>
      </c>
      <c r="C558" s="14" t="s">
        <v>897</v>
      </c>
      <c r="D558" s="15">
        <f>D413*(inputs!$E$26*inputs!$E$27)</f>
        <v>0</v>
      </c>
      <c r="E558" s="14" t="str">
        <f t="shared" ca="1" si="9"/>
        <v>=D413*(inputs!$E$26*inputs!$E$27)</v>
      </c>
      <c r="F558"/>
    </row>
    <row r="559" spans="1:6" s="14" customFormat="1" x14ac:dyDescent="0.25">
      <c r="A559" s="14" t="s">
        <v>32</v>
      </c>
      <c r="B559" s="14" t="s">
        <v>84</v>
      </c>
      <c r="C559" s="14" t="s">
        <v>898</v>
      </c>
      <c r="D559" s="15">
        <f>D414*(inputs!$E$26*inputs!$E$27)</f>
        <v>0</v>
      </c>
      <c r="E559" s="14" t="str">
        <f t="shared" ca="1" si="9"/>
        <v>=D414*(inputs!$E$26*inputs!$E$27)</v>
      </c>
      <c r="F559"/>
    </row>
    <row r="560" spans="1:6" s="14" customFormat="1" x14ac:dyDescent="0.25">
      <c r="A560" s="14" t="s">
        <v>32</v>
      </c>
      <c r="B560" s="14" t="s">
        <v>84</v>
      </c>
      <c r="C560" s="14" t="s">
        <v>899</v>
      </c>
      <c r="D560" s="15">
        <f>D415*(inputs!$E$26*inputs!$E$27)</f>
        <v>0</v>
      </c>
      <c r="E560" s="14" t="str">
        <f t="shared" ca="1" si="9"/>
        <v>=D415*(inputs!$E$26*inputs!$E$27)</v>
      </c>
      <c r="F560"/>
    </row>
    <row r="561" spans="1:6" s="14" customFormat="1" x14ac:dyDescent="0.25">
      <c r="A561" s="14" t="s">
        <v>32</v>
      </c>
      <c r="B561" s="14" t="s">
        <v>84</v>
      </c>
      <c r="C561" s="14" t="s">
        <v>900</v>
      </c>
      <c r="D561" s="15">
        <f>D416*(inputs!$E$26*inputs!$E$27)</f>
        <v>0</v>
      </c>
      <c r="E561" s="14" t="str">
        <f t="shared" ca="1" si="9"/>
        <v>=D416*(inputs!$E$26*inputs!$E$27)</v>
      </c>
      <c r="F561"/>
    </row>
    <row r="562" spans="1:6" s="14" customFormat="1" x14ac:dyDescent="0.25">
      <c r="A562" s="14" t="s">
        <v>32</v>
      </c>
      <c r="B562" s="14" t="s">
        <v>84</v>
      </c>
      <c r="C562" s="14" t="s">
        <v>901</v>
      </c>
      <c r="D562" s="15">
        <f>D417*(inputs!$E$26*inputs!$E$27)</f>
        <v>0</v>
      </c>
      <c r="E562" s="14" t="str">
        <f t="shared" ca="1" si="9"/>
        <v>=D417*(inputs!$E$26*inputs!$E$27)</v>
      </c>
      <c r="F562"/>
    </row>
    <row r="563" spans="1:6" s="14" customFormat="1" x14ac:dyDescent="0.25">
      <c r="A563" s="14" t="s">
        <v>32</v>
      </c>
      <c r="B563" s="14" t="s">
        <v>84</v>
      </c>
      <c r="C563" s="14" t="s">
        <v>902</v>
      </c>
      <c r="D563" s="15">
        <f>D418*(inputs!$E$26*inputs!$E$27)</f>
        <v>0</v>
      </c>
      <c r="E563" s="14" t="str">
        <f t="shared" ca="1" si="9"/>
        <v>=D418*(inputs!$E$26*inputs!$E$27)</v>
      </c>
      <c r="F563"/>
    </row>
    <row r="564" spans="1:6" s="14" customFormat="1" x14ac:dyDescent="0.25">
      <c r="A564" s="14" t="s">
        <v>32</v>
      </c>
      <c r="B564" s="14" t="s">
        <v>84</v>
      </c>
      <c r="C564" s="14" t="s">
        <v>903</v>
      </c>
      <c r="D564" s="15">
        <f>D419*(inputs!$E$26*inputs!$E$27)</f>
        <v>0</v>
      </c>
      <c r="E564" s="14" t="str">
        <f t="shared" ca="1" si="9"/>
        <v>=D419*(inputs!$E$26*inputs!$E$27)</v>
      </c>
      <c r="F564"/>
    </row>
    <row r="565" spans="1:6" s="14" customFormat="1" x14ac:dyDescent="0.25">
      <c r="A565" s="14" t="s">
        <v>32</v>
      </c>
      <c r="B565" s="14" t="s">
        <v>84</v>
      </c>
      <c r="C565" s="14" t="s">
        <v>904</v>
      </c>
      <c r="D565" s="15">
        <f>D420*(inputs!$E$26*inputs!$E$27)</f>
        <v>0</v>
      </c>
      <c r="E565" s="14" t="str">
        <f t="shared" ca="1" si="9"/>
        <v>=D420*(inputs!$E$26*inputs!$E$27)</v>
      </c>
      <c r="F565"/>
    </row>
    <row r="566" spans="1:6" s="14" customFormat="1" x14ac:dyDescent="0.25">
      <c r="A566" s="14" t="s">
        <v>32</v>
      </c>
      <c r="B566" s="14" t="s">
        <v>84</v>
      </c>
      <c r="C566" s="14" t="s">
        <v>905</v>
      </c>
      <c r="D566" s="15">
        <f>D421*(inputs!$E$26*inputs!$E$27)</f>
        <v>0</v>
      </c>
      <c r="E566" s="14" t="str">
        <f t="shared" ca="1" si="9"/>
        <v>=D421*(inputs!$E$26*inputs!$E$27)</v>
      </c>
      <c r="F566"/>
    </row>
    <row r="567" spans="1:6" s="14" customFormat="1" x14ac:dyDescent="0.25">
      <c r="A567" s="14" t="s">
        <v>32</v>
      </c>
      <c r="B567" s="14" t="s">
        <v>84</v>
      </c>
      <c r="C567" s="14" t="s">
        <v>906</v>
      </c>
      <c r="D567" s="15">
        <f>D422*(inputs!$E$26*inputs!$E$27)</f>
        <v>0</v>
      </c>
      <c r="E567" s="14" t="str">
        <f t="shared" ca="1" si="9"/>
        <v>=D422*(inputs!$E$26*inputs!$E$27)</v>
      </c>
      <c r="F567"/>
    </row>
    <row r="568" spans="1:6" s="14" customFormat="1" x14ac:dyDescent="0.25">
      <c r="A568" s="14" t="s">
        <v>32</v>
      </c>
      <c r="B568" s="14" t="s">
        <v>84</v>
      </c>
      <c r="C568" s="14" t="s">
        <v>907</v>
      </c>
      <c r="D568" s="15">
        <f>D423*(inputs!$E$26*inputs!$E$27)</f>
        <v>0</v>
      </c>
      <c r="E568" s="14" t="str">
        <f t="shared" ca="1" si="9"/>
        <v>=D423*(inputs!$E$26*inputs!$E$27)</v>
      </c>
      <c r="F568"/>
    </row>
    <row r="569" spans="1:6" s="14" customFormat="1" x14ac:dyDescent="0.25">
      <c r="A569" s="14" t="s">
        <v>32</v>
      </c>
      <c r="B569" s="14" t="s">
        <v>84</v>
      </c>
      <c r="C569" s="14" t="s">
        <v>908</v>
      </c>
      <c r="D569" s="15">
        <f>D424*(inputs!$E$26*inputs!$E$27)</f>
        <v>0</v>
      </c>
      <c r="E569" s="14" t="str">
        <f t="shared" ca="1" si="9"/>
        <v>=D424*(inputs!$E$26*inputs!$E$27)</v>
      </c>
      <c r="F569"/>
    </row>
    <row r="570" spans="1:6" s="14" customFormat="1" x14ac:dyDescent="0.25">
      <c r="A570" s="14" t="s">
        <v>32</v>
      </c>
      <c r="B570" s="14" t="s">
        <v>84</v>
      </c>
      <c r="C570" s="14" t="s">
        <v>909</v>
      </c>
      <c r="D570" s="15">
        <f>D425*(inputs!$E$26*inputs!$E$27)</f>
        <v>0</v>
      </c>
      <c r="E570" s="14" t="str">
        <f t="shared" ca="1" si="9"/>
        <v>=D425*(inputs!$E$26*inputs!$E$27)</v>
      </c>
      <c r="F570"/>
    </row>
    <row r="571" spans="1:6" s="14" customFormat="1" x14ac:dyDescent="0.25">
      <c r="A571" s="14" t="s">
        <v>32</v>
      </c>
      <c r="B571" s="14" t="s">
        <v>84</v>
      </c>
      <c r="C571" s="14" t="s">
        <v>910</v>
      </c>
      <c r="D571" s="15">
        <f>D426*(inputs!$E$26*inputs!$E$27)</f>
        <v>0</v>
      </c>
      <c r="E571" s="14" t="str">
        <f t="shared" ca="1" si="9"/>
        <v>=D426*(inputs!$E$26*inputs!$E$27)</v>
      </c>
      <c r="F571"/>
    </row>
    <row r="572" spans="1:6" s="14" customFormat="1" x14ac:dyDescent="0.25">
      <c r="A572" s="14" t="s">
        <v>32</v>
      </c>
      <c r="B572" s="14" t="s">
        <v>84</v>
      </c>
      <c r="C572" s="14" t="s">
        <v>911</v>
      </c>
      <c r="D572" s="15">
        <f>D427*(inputs!$E$26*inputs!$E$27)</f>
        <v>0</v>
      </c>
      <c r="E572" s="14" t="str">
        <f t="shared" ca="1" si="9"/>
        <v>=D427*(inputs!$E$26*inputs!$E$27)</v>
      </c>
      <c r="F572"/>
    </row>
    <row r="573" spans="1:6" s="14" customFormat="1" x14ac:dyDescent="0.25">
      <c r="A573" s="14" t="s">
        <v>32</v>
      </c>
      <c r="B573" s="14" t="s">
        <v>84</v>
      </c>
      <c r="C573" s="14" t="s">
        <v>912</v>
      </c>
      <c r="D573" s="15">
        <f>D428*(inputs!$E$26*inputs!$E$27)</f>
        <v>0</v>
      </c>
      <c r="E573" s="14" t="str">
        <f t="shared" ca="1" si="9"/>
        <v>=D428*(inputs!$E$26*inputs!$E$27)</v>
      </c>
      <c r="F573"/>
    </row>
    <row r="574" spans="1:6" s="14" customFormat="1" x14ac:dyDescent="0.25">
      <c r="A574" s="14" t="s">
        <v>32</v>
      </c>
      <c r="B574" s="14" t="s">
        <v>84</v>
      </c>
      <c r="C574" s="14" t="s">
        <v>913</v>
      </c>
      <c r="D574" s="15">
        <f>D429*(inputs!$E$26*inputs!$E$27)</f>
        <v>0</v>
      </c>
      <c r="E574" s="14" t="str">
        <f t="shared" ca="1" si="9"/>
        <v>=D429*(inputs!$E$26*inputs!$E$27)</v>
      </c>
      <c r="F574"/>
    </row>
    <row r="575" spans="1:6" s="14" customFormat="1" x14ac:dyDescent="0.25">
      <c r="A575" s="14" t="s">
        <v>32</v>
      </c>
      <c r="B575" s="14" t="s">
        <v>84</v>
      </c>
      <c r="C575" s="14" t="s">
        <v>914</v>
      </c>
      <c r="D575" s="15">
        <f>D430*(inputs!$E$26*inputs!$E$27)</f>
        <v>0</v>
      </c>
      <c r="E575" s="14" t="str">
        <f t="shared" ca="1" si="9"/>
        <v>=D430*(inputs!$E$26*inputs!$E$27)</v>
      </c>
      <c r="F575"/>
    </row>
    <row r="576" spans="1:6" s="14" customFormat="1" x14ac:dyDescent="0.25">
      <c r="A576" s="14" t="s">
        <v>32</v>
      </c>
      <c r="B576" s="14" t="s">
        <v>84</v>
      </c>
      <c r="C576" s="14" t="s">
        <v>915</v>
      </c>
      <c r="D576" s="15">
        <f>D431*(inputs!$E$26*inputs!$E$27)</f>
        <v>0</v>
      </c>
      <c r="E576" s="14" t="str">
        <f t="shared" ca="1" si="9"/>
        <v>=D431*(inputs!$E$26*inputs!$E$27)</v>
      </c>
      <c r="F576"/>
    </row>
    <row r="577" spans="1:6" s="14" customFormat="1" x14ac:dyDescent="0.25">
      <c r="A577" s="14" t="s">
        <v>32</v>
      </c>
      <c r="B577" s="14" t="s">
        <v>84</v>
      </c>
      <c r="C577" s="14" t="s">
        <v>916</v>
      </c>
      <c r="D577" s="15">
        <f>D432*(inputs!$E$26*inputs!$E$27)</f>
        <v>0</v>
      </c>
      <c r="E577" s="14" t="str">
        <f t="shared" ca="1" si="9"/>
        <v>=D432*(inputs!$E$26*inputs!$E$27)</v>
      </c>
      <c r="F577"/>
    </row>
    <row r="578" spans="1:6" s="14" customFormat="1" x14ac:dyDescent="0.25">
      <c r="A578" s="14" t="s">
        <v>32</v>
      </c>
      <c r="B578" s="14" t="s">
        <v>84</v>
      </c>
      <c r="C578" s="14" t="s">
        <v>917</v>
      </c>
      <c r="D578" s="15">
        <f>D433*(inputs!$E$26*inputs!$E$27)</f>
        <v>0</v>
      </c>
      <c r="E578" s="14" t="str">
        <f t="shared" ca="1" si="9"/>
        <v>=D433*(inputs!$E$26*inputs!$E$27)</v>
      </c>
      <c r="F578"/>
    </row>
    <row r="579" spans="1:6" s="14" customFormat="1" x14ac:dyDescent="0.25">
      <c r="A579" s="14" t="s">
        <v>32</v>
      </c>
      <c r="B579" s="14" t="s">
        <v>84</v>
      </c>
      <c r="C579" s="14" t="s">
        <v>918</v>
      </c>
      <c r="D579" s="15">
        <f>D434*(inputs!$E$26*inputs!$E$27)</f>
        <v>0</v>
      </c>
      <c r="E579" s="14" t="str">
        <f t="shared" ca="1" si="9"/>
        <v>=D434*(inputs!$E$26*inputs!$E$27)</v>
      </c>
      <c r="F579"/>
    </row>
    <row r="580" spans="1:6" s="14" customFormat="1" x14ac:dyDescent="0.25">
      <c r="A580" s="14" t="s">
        <v>32</v>
      </c>
      <c r="B580" s="14" t="s">
        <v>84</v>
      </c>
      <c r="C580" s="14" t="s">
        <v>919</v>
      </c>
      <c r="D580" s="15">
        <f>D435*(inputs!$E$26*inputs!$E$27)</f>
        <v>0</v>
      </c>
      <c r="E580" s="14" t="str">
        <f t="shared" ca="1" si="9"/>
        <v>=D435*(inputs!$E$26*inputs!$E$27)</v>
      </c>
      <c r="F580"/>
    </row>
    <row r="581" spans="1:6" s="14" customFormat="1" x14ac:dyDescent="0.25">
      <c r="A581" s="14" t="s">
        <v>32</v>
      </c>
      <c r="B581" s="14" t="s">
        <v>84</v>
      </c>
      <c r="C581" s="14" t="s">
        <v>920</v>
      </c>
      <c r="D581" s="15">
        <f>D436*(inputs!$E$26*inputs!$E$27)</f>
        <v>0</v>
      </c>
      <c r="E581" s="14" t="str">
        <f t="shared" ca="1" si="9"/>
        <v>=D436*(inputs!$E$26*inputs!$E$27)</v>
      </c>
      <c r="F581"/>
    </row>
    <row r="582" spans="1:6" s="14" customFormat="1" x14ac:dyDescent="0.25">
      <c r="A582" s="14" t="s">
        <v>32</v>
      </c>
      <c r="B582" s="14" t="s">
        <v>84</v>
      </c>
      <c r="C582" s="14" t="s">
        <v>921</v>
      </c>
      <c r="D582" s="15">
        <f>D437*(inputs!$E$26*inputs!$E$27)</f>
        <v>0</v>
      </c>
      <c r="E582" s="14" t="str">
        <f t="shared" ca="1" si="9"/>
        <v>=D437*(inputs!$E$26*inputs!$E$27)</v>
      </c>
      <c r="F582"/>
    </row>
    <row r="583" spans="1:6" s="14" customFormat="1" x14ac:dyDescent="0.25">
      <c r="A583" s="14" t="s">
        <v>32</v>
      </c>
      <c r="B583" s="14" t="s">
        <v>84</v>
      </c>
      <c r="C583" s="14" t="s">
        <v>922</v>
      </c>
      <c r="D583" s="15">
        <f>D438*(inputs!$E$26*inputs!$E$27)</f>
        <v>0</v>
      </c>
      <c r="E583" s="14" t="str">
        <f t="shared" ca="1" si="9"/>
        <v>=D438*(inputs!$E$26*inputs!$E$27)</v>
      </c>
      <c r="F583"/>
    </row>
    <row r="584" spans="1:6" s="14" customFormat="1" x14ac:dyDescent="0.25">
      <c r="A584" s="14" t="s">
        <v>32</v>
      </c>
      <c r="B584" s="14" t="s">
        <v>84</v>
      </c>
      <c r="C584" s="14" t="s">
        <v>923</v>
      </c>
      <c r="D584" s="15">
        <f>D439*(inputs!$E$26*inputs!$E$27)</f>
        <v>0</v>
      </c>
      <c r="E584" s="14" t="str">
        <f t="shared" ca="1" si="9"/>
        <v>=D439*(inputs!$E$26*inputs!$E$27)</v>
      </c>
      <c r="F584"/>
    </row>
    <row r="585" spans="1:6" s="14" customFormat="1" x14ac:dyDescent="0.25">
      <c r="A585" s="14" t="s">
        <v>32</v>
      </c>
      <c r="B585" s="14" t="s">
        <v>84</v>
      </c>
      <c r="C585" s="14" t="s">
        <v>924</v>
      </c>
      <c r="D585" s="15">
        <f>D440*(inputs!$E$26*inputs!$E$27)</f>
        <v>0</v>
      </c>
      <c r="E585" s="14" t="str">
        <f t="shared" ca="1" si="9"/>
        <v>=D440*(inputs!$E$26*inputs!$E$27)</v>
      </c>
      <c r="F585"/>
    </row>
    <row r="586" spans="1:6" s="14" customFormat="1" x14ac:dyDescent="0.25">
      <c r="A586" s="14" t="s">
        <v>32</v>
      </c>
      <c r="B586" s="14" t="s">
        <v>84</v>
      </c>
      <c r="C586" s="14" t="s">
        <v>925</v>
      </c>
      <c r="D586" s="15">
        <f>D441*(inputs!$E$26*inputs!$E$27)</f>
        <v>0</v>
      </c>
      <c r="E586" s="14" t="str">
        <f t="shared" ca="1" si="9"/>
        <v>=D441*(inputs!$E$26*inputs!$E$27)</v>
      </c>
      <c r="F586"/>
    </row>
    <row r="587" spans="1:6" s="14" customFormat="1" x14ac:dyDescent="0.25">
      <c r="A587" s="14" t="s">
        <v>32</v>
      </c>
      <c r="B587" s="14" t="s">
        <v>84</v>
      </c>
      <c r="C587" s="14" t="s">
        <v>926</v>
      </c>
      <c r="D587" s="15">
        <f>D442*(inputs!$E$26*inputs!$E$27)</f>
        <v>0</v>
      </c>
      <c r="E587" s="14" t="str">
        <f t="shared" ca="1" si="9"/>
        <v>=D442*(inputs!$E$26*inputs!$E$27)</v>
      </c>
      <c r="F587"/>
    </row>
    <row r="588" spans="1:6" s="14" customFormat="1" x14ac:dyDescent="0.25">
      <c r="A588" s="14" t="s">
        <v>32</v>
      </c>
      <c r="B588" s="14" t="s">
        <v>84</v>
      </c>
      <c r="C588" s="14" t="s">
        <v>927</v>
      </c>
      <c r="D588" s="15">
        <f>D443*(inputs!$E$26*inputs!$E$27)</f>
        <v>0</v>
      </c>
      <c r="E588" s="14" t="str">
        <f t="shared" ca="1" si="9"/>
        <v>=D443*(inputs!$E$26*inputs!$E$27)</v>
      </c>
      <c r="F588"/>
    </row>
    <row r="589" spans="1:6" s="14" customFormat="1" x14ac:dyDescent="0.25">
      <c r="A589" s="14" t="s">
        <v>32</v>
      </c>
      <c r="B589" s="14" t="s">
        <v>84</v>
      </c>
      <c r="C589" s="14" t="s">
        <v>928</v>
      </c>
      <c r="D589" s="15">
        <f>D444*(inputs!$E$26*inputs!$E$27)</f>
        <v>0</v>
      </c>
      <c r="E589" s="14" t="str">
        <f t="shared" ca="1" si="9"/>
        <v>=D444*(inputs!$E$26*inputs!$E$27)</v>
      </c>
      <c r="F589"/>
    </row>
    <row r="590" spans="1:6" s="14" customFormat="1" x14ac:dyDescent="0.25">
      <c r="A590" s="14" t="s">
        <v>32</v>
      </c>
      <c r="B590" s="14" t="s">
        <v>84</v>
      </c>
      <c r="C590" s="14" t="s">
        <v>929</v>
      </c>
      <c r="D590" s="15">
        <f>D445*(inputs!$E$26*inputs!$E$27)</f>
        <v>0</v>
      </c>
      <c r="E590" s="14" t="str">
        <f t="shared" ca="1" si="9"/>
        <v>=D445*(inputs!$E$26*inputs!$E$27)</v>
      </c>
      <c r="F590"/>
    </row>
    <row r="591" spans="1:6" s="14" customFormat="1" x14ac:dyDescent="0.25">
      <c r="A591" s="14" t="s">
        <v>32</v>
      </c>
      <c r="B591" s="14" t="s">
        <v>84</v>
      </c>
      <c r="C591" s="14" t="s">
        <v>930</v>
      </c>
      <c r="D591" s="15">
        <f>D446*(inputs!$E$26*inputs!$E$27)</f>
        <v>0</v>
      </c>
      <c r="E591" s="14" t="str">
        <f t="shared" ca="1" si="9"/>
        <v>=D446*(inputs!$E$26*inputs!$E$27)</v>
      </c>
      <c r="F591"/>
    </row>
    <row r="592" spans="1:6" s="14" customFormat="1" x14ac:dyDescent="0.25">
      <c r="A592" s="14" t="s">
        <v>32</v>
      </c>
      <c r="B592" s="14" t="s">
        <v>84</v>
      </c>
      <c r="C592" s="14" t="s">
        <v>931</v>
      </c>
      <c r="D592" s="15">
        <f>D447*(inputs!$E$26*inputs!$E$27)</f>
        <v>0</v>
      </c>
      <c r="E592" s="14" t="str">
        <f t="shared" ca="1" si="9"/>
        <v>=D447*(inputs!$E$26*inputs!$E$27)</v>
      </c>
      <c r="F592"/>
    </row>
    <row r="593" spans="1:6" s="14" customFormat="1" x14ac:dyDescent="0.25">
      <c r="A593" s="14" t="s">
        <v>32</v>
      </c>
      <c r="B593" s="14" t="s">
        <v>84</v>
      </c>
      <c r="C593" s="14" t="s">
        <v>932</v>
      </c>
      <c r="D593" s="15">
        <f>D448*(inputs!$E$26*inputs!$E$27)</f>
        <v>0</v>
      </c>
      <c r="E593" s="14" t="str">
        <f t="shared" ca="1" si="9"/>
        <v>=D448*(inputs!$E$26*inputs!$E$27)</v>
      </c>
      <c r="F593"/>
    </row>
    <row r="594" spans="1:6" s="14" customFormat="1" x14ac:dyDescent="0.25">
      <c r="A594" s="14" t="s">
        <v>32</v>
      </c>
      <c r="B594" s="14" t="s">
        <v>84</v>
      </c>
      <c r="C594" s="14" t="s">
        <v>933</v>
      </c>
      <c r="D594" s="15">
        <f>D449*(inputs!$E$26*inputs!$E$27)</f>
        <v>0</v>
      </c>
      <c r="E594" s="14" t="str">
        <f t="shared" ca="1" si="9"/>
        <v>=D449*(inputs!$E$26*inputs!$E$27)</v>
      </c>
      <c r="F594"/>
    </row>
    <row r="595" spans="1:6" s="14" customFormat="1" x14ac:dyDescent="0.25">
      <c r="A595" s="14" t="s">
        <v>32</v>
      </c>
      <c r="B595" s="14" t="s">
        <v>84</v>
      </c>
      <c r="C595" s="14" t="s">
        <v>934</v>
      </c>
      <c r="D595" s="15">
        <f>D450*(inputs!$E$26*inputs!$E$27)</f>
        <v>0</v>
      </c>
      <c r="E595" s="14" t="str">
        <f t="shared" ca="1" si="9"/>
        <v>=D450*(inputs!$E$26*inputs!$E$27)</v>
      </c>
      <c r="F595"/>
    </row>
    <row r="596" spans="1:6" s="14" customFormat="1" x14ac:dyDescent="0.25">
      <c r="A596" s="14" t="s">
        <v>32</v>
      </c>
      <c r="B596" s="14" t="s">
        <v>84</v>
      </c>
      <c r="C596" s="14" t="s">
        <v>935</v>
      </c>
      <c r="D596" s="15">
        <f>D451*(inputs!$E$26*inputs!$E$27)</f>
        <v>0</v>
      </c>
      <c r="E596" s="14" t="str">
        <f t="shared" ca="1" si="9"/>
        <v>=D451*(inputs!$E$26*inputs!$E$27)</v>
      </c>
      <c r="F596"/>
    </row>
    <row r="597" spans="1:6" s="14" customFormat="1" x14ac:dyDescent="0.25">
      <c r="A597" s="14" t="s">
        <v>32</v>
      </c>
      <c r="B597" s="14" t="s">
        <v>84</v>
      </c>
      <c r="C597" s="14" t="s">
        <v>936</v>
      </c>
      <c r="D597" s="15">
        <f>D452*(inputs!$E$26*inputs!$E$27)</f>
        <v>0</v>
      </c>
      <c r="E597" s="14" t="str">
        <f t="shared" ca="1" si="9"/>
        <v>=D452*(inputs!$E$26*inputs!$E$27)</v>
      </c>
      <c r="F597"/>
    </row>
    <row r="598" spans="1:6" s="14" customFormat="1" x14ac:dyDescent="0.25">
      <c r="A598" s="14" t="s">
        <v>32</v>
      </c>
      <c r="B598" s="14" t="s">
        <v>84</v>
      </c>
      <c r="C598" s="14" t="s">
        <v>937</v>
      </c>
      <c r="D598" s="15">
        <f>D453*(inputs!$E$26*inputs!$E$27)</f>
        <v>0</v>
      </c>
      <c r="E598" s="14" t="str">
        <f t="shared" ca="1" si="9"/>
        <v>=D453*(inputs!$E$26*inputs!$E$27)</v>
      </c>
      <c r="F598"/>
    </row>
    <row r="599" spans="1:6" s="14" customFormat="1" x14ac:dyDescent="0.25">
      <c r="A599" s="14" t="s">
        <v>32</v>
      </c>
      <c r="B599" s="14" t="s">
        <v>84</v>
      </c>
      <c r="C599" s="14" t="s">
        <v>938</v>
      </c>
      <c r="D599" s="15">
        <f>D454*(inputs!$E$26*inputs!$E$27)</f>
        <v>0</v>
      </c>
      <c r="E599" s="14" t="str">
        <f t="shared" ca="1" si="9"/>
        <v>=D454*(inputs!$E$26*inputs!$E$27)</v>
      </c>
      <c r="F599"/>
    </row>
    <row r="600" spans="1:6" s="14" customFormat="1" x14ac:dyDescent="0.25">
      <c r="A600" s="14" t="s">
        <v>32</v>
      </c>
      <c r="B600" s="14" t="s">
        <v>84</v>
      </c>
      <c r="C600" s="14" t="s">
        <v>939</v>
      </c>
      <c r="D600" s="15">
        <f>D455*(inputs!$E$26*inputs!$E$27)</f>
        <v>0</v>
      </c>
      <c r="E600" s="14" t="str">
        <f t="shared" ref="E600:E644" ca="1" si="10">_xlfn.FORMULATEXT(D600)</f>
        <v>=D455*(inputs!$E$26*inputs!$E$27)</v>
      </c>
      <c r="F600"/>
    </row>
    <row r="601" spans="1:6" s="14" customFormat="1" x14ac:dyDescent="0.25">
      <c r="A601" s="14" t="s">
        <v>32</v>
      </c>
      <c r="B601" s="14" t="s">
        <v>84</v>
      </c>
      <c r="C601" s="14" t="s">
        <v>940</v>
      </c>
      <c r="D601" s="15">
        <f>D456*(inputs!$E$26*inputs!$E$27)</f>
        <v>0</v>
      </c>
      <c r="E601" s="14" t="str">
        <f t="shared" ca="1" si="10"/>
        <v>=D456*(inputs!$E$26*inputs!$E$27)</v>
      </c>
      <c r="F601"/>
    </row>
    <row r="602" spans="1:6" s="14" customFormat="1" x14ac:dyDescent="0.25">
      <c r="A602" s="14" t="s">
        <v>32</v>
      </c>
      <c r="B602" s="14" t="s">
        <v>84</v>
      </c>
      <c r="C602" s="14" t="s">
        <v>941</v>
      </c>
      <c r="D602" s="15">
        <f>D457*(inputs!$E$26*inputs!$E$27)</f>
        <v>0</v>
      </c>
      <c r="E602" s="14" t="str">
        <f t="shared" ca="1" si="10"/>
        <v>=D457*(inputs!$E$26*inputs!$E$27)</v>
      </c>
      <c r="F602"/>
    </row>
    <row r="603" spans="1:6" s="14" customFormat="1" x14ac:dyDescent="0.25">
      <c r="A603" s="14" t="s">
        <v>32</v>
      </c>
      <c r="B603" s="14" t="s">
        <v>84</v>
      </c>
      <c r="C603" s="14" t="s">
        <v>942</v>
      </c>
      <c r="D603" s="15">
        <f>D458*(inputs!$E$26*inputs!$E$27)</f>
        <v>0</v>
      </c>
      <c r="E603" s="14" t="str">
        <f t="shared" ca="1" si="10"/>
        <v>=D458*(inputs!$E$26*inputs!$E$27)</v>
      </c>
      <c r="F603"/>
    </row>
    <row r="604" spans="1:6" s="14" customFormat="1" x14ac:dyDescent="0.25">
      <c r="A604" s="14" t="s">
        <v>32</v>
      </c>
      <c r="B604" s="14" t="s">
        <v>84</v>
      </c>
      <c r="C604" s="14" t="s">
        <v>943</v>
      </c>
      <c r="D604" s="15">
        <f>D459*(inputs!$E$26*inputs!$E$27)</f>
        <v>0</v>
      </c>
      <c r="E604" s="14" t="str">
        <f t="shared" ca="1" si="10"/>
        <v>=D459*(inputs!$E$26*inputs!$E$27)</v>
      </c>
      <c r="F604"/>
    </row>
    <row r="605" spans="1:6" s="14" customFormat="1" x14ac:dyDescent="0.25">
      <c r="A605" s="14" t="s">
        <v>32</v>
      </c>
      <c r="B605" s="14" t="s">
        <v>84</v>
      </c>
      <c r="C605" s="14" t="s">
        <v>944</v>
      </c>
      <c r="D605" s="15">
        <f>D460*(inputs!$E$26*inputs!$E$27)</f>
        <v>0</v>
      </c>
      <c r="E605" s="14" t="str">
        <f t="shared" ca="1" si="10"/>
        <v>=D460*(inputs!$E$26*inputs!$E$27)</v>
      </c>
      <c r="F605"/>
    </row>
    <row r="606" spans="1:6" s="14" customFormat="1" x14ac:dyDescent="0.25">
      <c r="A606" s="14" t="s">
        <v>32</v>
      </c>
      <c r="B606" s="14" t="s">
        <v>84</v>
      </c>
      <c r="C606" s="14" t="s">
        <v>945</v>
      </c>
      <c r="D606" s="15">
        <f>D461*(inputs!$E$26*inputs!$E$27)</f>
        <v>0</v>
      </c>
      <c r="E606" s="14" t="str">
        <f t="shared" ca="1" si="10"/>
        <v>=D461*(inputs!$E$26*inputs!$E$27)</v>
      </c>
      <c r="F606"/>
    </row>
    <row r="607" spans="1:6" s="14" customFormat="1" x14ac:dyDescent="0.25">
      <c r="A607" s="14" t="s">
        <v>32</v>
      </c>
      <c r="B607" s="14" t="s">
        <v>84</v>
      </c>
      <c r="C607" s="14" t="s">
        <v>946</v>
      </c>
      <c r="D607" s="15">
        <f>D462*(inputs!$E$26*inputs!$E$27)</f>
        <v>0</v>
      </c>
      <c r="E607" s="14" t="str">
        <f t="shared" ca="1" si="10"/>
        <v>=D462*(inputs!$E$26*inputs!$E$27)</v>
      </c>
      <c r="F607"/>
    </row>
    <row r="608" spans="1:6" s="14" customFormat="1" x14ac:dyDescent="0.25">
      <c r="A608" s="14" t="s">
        <v>32</v>
      </c>
      <c r="B608" s="14" t="s">
        <v>84</v>
      </c>
      <c r="C608" s="14" t="s">
        <v>947</v>
      </c>
      <c r="D608" s="15">
        <f>D463*(inputs!$E$26*inputs!$E$27)</f>
        <v>0</v>
      </c>
      <c r="E608" s="14" t="str">
        <f t="shared" ca="1" si="10"/>
        <v>=D463*(inputs!$E$26*inputs!$E$27)</v>
      </c>
      <c r="F608"/>
    </row>
    <row r="609" spans="1:6" s="14" customFormat="1" x14ac:dyDescent="0.25">
      <c r="A609" s="14" t="s">
        <v>32</v>
      </c>
      <c r="B609" s="14" t="s">
        <v>84</v>
      </c>
      <c r="C609" s="14" t="s">
        <v>948</v>
      </c>
      <c r="D609" s="15">
        <f>D464*(inputs!$E$26*inputs!$E$27)</f>
        <v>0</v>
      </c>
      <c r="E609" s="14" t="str">
        <f t="shared" ca="1" si="10"/>
        <v>=D464*(inputs!$E$26*inputs!$E$27)</v>
      </c>
      <c r="F609"/>
    </row>
    <row r="610" spans="1:6" s="14" customFormat="1" x14ac:dyDescent="0.25">
      <c r="A610" s="14" t="s">
        <v>32</v>
      </c>
      <c r="B610" s="14" t="s">
        <v>84</v>
      </c>
      <c r="C610" s="14" t="s">
        <v>949</v>
      </c>
      <c r="D610" s="15">
        <f>D465*(inputs!$E$26*inputs!$E$27)</f>
        <v>0</v>
      </c>
      <c r="E610" s="14" t="str">
        <f t="shared" ca="1" si="10"/>
        <v>=D465*(inputs!$E$26*inputs!$E$27)</v>
      </c>
      <c r="F610"/>
    </row>
    <row r="611" spans="1:6" s="14" customFormat="1" x14ac:dyDescent="0.25">
      <c r="A611" s="14" t="s">
        <v>32</v>
      </c>
      <c r="B611" s="14" t="s">
        <v>84</v>
      </c>
      <c r="C611" s="14" t="s">
        <v>950</v>
      </c>
      <c r="D611" s="15">
        <f>D466*(inputs!$E$26*inputs!$E$27)</f>
        <v>0</v>
      </c>
      <c r="E611" s="14" t="str">
        <f t="shared" ca="1" si="10"/>
        <v>=D466*(inputs!$E$26*inputs!$E$27)</v>
      </c>
      <c r="F611"/>
    </row>
    <row r="612" spans="1:6" s="14" customFormat="1" x14ac:dyDescent="0.25">
      <c r="A612" s="14" t="s">
        <v>32</v>
      </c>
      <c r="B612" s="14" t="s">
        <v>84</v>
      </c>
      <c r="C612" s="14" t="s">
        <v>951</v>
      </c>
      <c r="D612" s="15">
        <f>D467*(inputs!$E$26*inputs!$E$27)</f>
        <v>0</v>
      </c>
      <c r="E612" s="14" t="str">
        <f t="shared" ca="1" si="10"/>
        <v>=D467*(inputs!$E$26*inputs!$E$27)</v>
      </c>
      <c r="F612"/>
    </row>
    <row r="613" spans="1:6" s="14" customFormat="1" x14ac:dyDescent="0.25">
      <c r="A613" s="14" t="s">
        <v>32</v>
      </c>
      <c r="B613" s="14" t="s">
        <v>84</v>
      </c>
      <c r="C613" s="14" t="s">
        <v>952</v>
      </c>
      <c r="D613" s="15">
        <f>D468*(inputs!$E$26*inputs!$E$27)</f>
        <v>0</v>
      </c>
      <c r="E613" s="14" t="str">
        <f t="shared" ca="1" si="10"/>
        <v>=D468*(inputs!$E$26*inputs!$E$27)</v>
      </c>
      <c r="F613"/>
    </row>
    <row r="614" spans="1:6" s="14" customFormat="1" x14ac:dyDescent="0.25">
      <c r="A614" s="14" t="s">
        <v>32</v>
      </c>
      <c r="B614" s="14" t="s">
        <v>84</v>
      </c>
      <c r="C614" s="14" t="s">
        <v>953</v>
      </c>
      <c r="D614" s="15">
        <f>D469*(inputs!$E$26*inputs!$E$27)</f>
        <v>0</v>
      </c>
      <c r="E614" s="14" t="str">
        <f t="shared" ca="1" si="10"/>
        <v>=D469*(inputs!$E$26*inputs!$E$27)</v>
      </c>
      <c r="F614"/>
    </row>
    <row r="615" spans="1:6" s="14" customFormat="1" x14ac:dyDescent="0.25">
      <c r="A615" s="14" t="s">
        <v>32</v>
      </c>
      <c r="B615" s="14" t="s">
        <v>84</v>
      </c>
      <c r="C615" s="14" t="s">
        <v>954</v>
      </c>
      <c r="D615" s="15">
        <f>D470*(inputs!$E$26*inputs!$E$27)</f>
        <v>0</v>
      </c>
      <c r="E615" s="14" t="str">
        <f t="shared" ca="1" si="10"/>
        <v>=D470*(inputs!$E$26*inputs!$E$27)</v>
      </c>
      <c r="F615"/>
    </row>
    <row r="616" spans="1:6" s="14" customFormat="1" x14ac:dyDescent="0.25">
      <c r="A616" s="14" t="s">
        <v>32</v>
      </c>
      <c r="B616" s="14" t="s">
        <v>84</v>
      </c>
      <c r="C616" s="14" t="s">
        <v>955</v>
      </c>
      <c r="D616" s="15">
        <f>D471*(inputs!$E$26*inputs!$E$27)</f>
        <v>0</v>
      </c>
      <c r="E616" s="14" t="str">
        <f t="shared" ca="1" si="10"/>
        <v>=D471*(inputs!$E$26*inputs!$E$27)</v>
      </c>
      <c r="F616"/>
    </row>
    <row r="617" spans="1:6" s="14" customFormat="1" x14ac:dyDescent="0.25">
      <c r="A617" s="14" t="s">
        <v>32</v>
      </c>
      <c r="B617" s="14" t="s">
        <v>84</v>
      </c>
      <c r="C617" s="14" t="s">
        <v>956</v>
      </c>
      <c r="D617" s="15">
        <f>D472*(inputs!$E$26*inputs!$E$27)</f>
        <v>0</v>
      </c>
      <c r="E617" s="14" t="str">
        <f t="shared" ca="1" si="10"/>
        <v>=D472*(inputs!$E$26*inputs!$E$27)</v>
      </c>
      <c r="F617"/>
    </row>
    <row r="618" spans="1:6" s="14" customFormat="1" x14ac:dyDescent="0.25">
      <c r="A618" s="14" t="s">
        <v>32</v>
      </c>
      <c r="B618" s="14" t="s">
        <v>84</v>
      </c>
      <c r="C618" s="14" t="s">
        <v>957</v>
      </c>
      <c r="D618" s="15">
        <f>D473*(inputs!$E$26*inputs!$E$27)</f>
        <v>0</v>
      </c>
      <c r="E618" s="14" t="str">
        <f t="shared" ca="1" si="10"/>
        <v>=D473*(inputs!$E$26*inputs!$E$27)</v>
      </c>
      <c r="F618"/>
    </row>
    <row r="619" spans="1:6" s="14" customFormat="1" x14ac:dyDescent="0.25">
      <c r="A619" s="14" t="s">
        <v>32</v>
      </c>
      <c r="B619" s="14" t="s">
        <v>84</v>
      </c>
      <c r="C619" s="14" t="s">
        <v>958</v>
      </c>
      <c r="D619" s="15">
        <f>D474*(inputs!$E$26*inputs!$E$27)</f>
        <v>0</v>
      </c>
      <c r="E619" s="14" t="str">
        <f t="shared" ca="1" si="10"/>
        <v>=D474*(inputs!$E$26*inputs!$E$27)</v>
      </c>
      <c r="F619"/>
    </row>
    <row r="620" spans="1:6" s="14" customFormat="1" x14ac:dyDescent="0.25">
      <c r="A620" s="14" t="s">
        <v>32</v>
      </c>
      <c r="B620" s="14" t="s">
        <v>84</v>
      </c>
      <c r="C620" s="14" t="s">
        <v>959</v>
      </c>
      <c r="D620" s="15">
        <f>D475*(inputs!$E$26*inputs!$E$27)</f>
        <v>0</v>
      </c>
      <c r="E620" s="14" t="str">
        <f t="shared" ca="1" si="10"/>
        <v>=D475*(inputs!$E$26*inputs!$E$27)</v>
      </c>
      <c r="F620"/>
    </row>
    <row r="621" spans="1:6" s="14" customFormat="1" x14ac:dyDescent="0.25">
      <c r="A621" s="14" t="s">
        <v>32</v>
      </c>
      <c r="B621" s="14" t="s">
        <v>84</v>
      </c>
      <c r="C621" s="14" t="s">
        <v>960</v>
      </c>
      <c r="D621" s="15">
        <f>D476*(inputs!$E$26*inputs!$E$27)</f>
        <v>0</v>
      </c>
      <c r="E621" s="14" t="str">
        <f t="shared" ca="1" si="10"/>
        <v>=D476*(inputs!$E$26*inputs!$E$27)</v>
      </c>
      <c r="F621"/>
    </row>
    <row r="622" spans="1:6" s="14" customFormat="1" x14ac:dyDescent="0.25">
      <c r="A622" s="14" t="s">
        <v>32</v>
      </c>
      <c r="B622" s="14" t="s">
        <v>84</v>
      </c>
      <c r="C622" s="14" t="s">
        <v>961</v>
      </c>
      <c r="D622" s="15">
        <f>D477*(inputs!$E$26*inputs!$E$27)</f>
        <v>0</v>
      </c>
      <c r="E622" s="14" t="str">
        <f t="shared" ca="1" si="10"/>
        <v>=D477*(inputs!$E$26*inputs!$E$27)</v>
      </c>
      <c r="F622"/>
    </row>
    <row r="623" spans="1:6" s="14" customFormat="1" x14ac:dyDescent="0.25">
      <c r="A623" s="14" t="s">
        <v>32</v>
      </c>
      <c r="B623" s="14" t="s">
        <v>84</v>
      </c>
      <c r="C623" s="14" t="s">
        <v>962</v>
      </c>
      <c r="D623" s="15">
        <f>D478*(inputs!$E$26*inputs!$E$27)</f>
        <v>0</v>
      </c>
      <c r="E623" s="14" t="str">
        <f t="shared" ca="1" si="10"/>
        <v>=D478*(inputs!$E$26*inputs!$E$27)</v>
      </c>
      <c r="F623"/>
    </row>
    <row r="624" spans="1:6" s="14" customFormat="1" x14ac:dyDescent="0.25">
      <c r="A624" s="14" t="s">
        <v>32</v>
      </c>
      <c r="B624" s="14" t="s">
        <v>84</v>
      </c>
      <c r="C624" s="14" t="s">
        <v>963</v>
      </c>
      <c r="D624" s="15">
        <f>D479*(inputs!$E$26*inputs!$E$27)</f>
        <v>0</v>
      </c>
      <c r="E624" s="14" t="str">
        <f t="shared" ca="1" si="10"/>
        <v>=D479*(inputs!$E$26*inputs!$E$27)</v>
      </c>
      <c r="F624"/>
    </row>
    <row r="625" spans="1:6" s="14" customFormat="1" x14ac:dyDescent="0.25">
      <c r="A625" s="14" t="s">
        <v>32</v>
      </c>
      <c r="B625" s="14" t="s">
        <v>84</v>
      </c>
      <c r="C625" s="14" t="s">
        <v>964</v>
      </c>
      <c r="D625" s="15">
        <f>D480*(inputs!$E$26*inputs!$E$27)</f>
        <v>0</v>
      </c>
      <c r="E625" s="14" t="str">
        <f t="shared" ca="1" si="10"/>
        <v>=D480*(inputs!$E$26*inputs!$E$27)</v>
      </c>
      <c r="F625"/>
    </row>
    <row r="626" spans="1:6" s="14" customFormat="1" x14ac:dyDescent="0.25">
      <c r="A626" s="14" t="s">
        <v>32</v>
      </c>
      <c r="B626" s="14" t="s">
        <v>84</v>
      </c>
      <c r="C626" s="14" t="s">
        <v>965</v>
      </c>
      <c r="D626" s="15">
        <f>D481*(inputs!$E$26*inputs!$E$27)</f>
        <v>0</v>
      </c>
      <c r="E626" s="14" t="str">
        <f t="shared" ca="1" si="10"/>
        <v>=D481*(inputs!$E$26*inputs!$E$27)</v>
      </c>
      <c r="F626"/>
    </row>
    <row r="627" spans="1:6" s="14" customFormat="1" x14ac:dyDescent="0.25">
      <c r="A627" s="14" t="s">
        <v>32</v>
      </c>
      <c r="B627" s="14" t="s">
        <v>84</v>
      </c>
      <c r="C627" s="14" t="s">
        <v>966</v>
      </c>
      <c r="D627" s="15">
        <f>D482*(inputs!$E$26*inputs!$E$27)</f>
        <v>0</v>
      </c>
      <c r="E627" s="14" t="str">
        <f t="shared" ca="1" si="10"/>
        <v>=D482*(inputs!$E$26*inputs!$E$27)</v>
      </c>
      <c r="F627"/>
    </row>
    <row r="628" spans="1:6" s="14" customFormat="1" x14ac:dyDescent="0.25">
      <c r="A628" s="14" t="s">
        <v>32</v>
      </c>
      <c r="B628" s="14" t="s">
        <v>84</v>
      </c>
      <c r="C628" s="14" t="s">
        <v>967</v>
      </c>
      <c r="D628" s="15">
        <f>D483*(inputs!$E$26*inputs!$E$27)</f>
        <v>0</v>
      </c>
      <c r="E628" s="14" t="str">
        <f t="shared" ca="1" si="10"/>
        <v>=D483*(inputs!$E$26*inputs!$E$27)</v>
      </c>
      <c r="F628"/>
    </row>
    <row r="629" spans="1:6" s="14" customFormat="1" x14ac:dyDescent="0.25">
      <c r="A629" s="14" t="s">
        <v>32</v>
      </c>
      <c r="B629" s="14" t="s">
        <v>84</v>
      </c>
      <c r="C629" s="14" t="s">
        <v>968</v>
      </c>
      <c r="D629" s="15">
        <f>D484*(inputs!$E$26*inputs!$E$27)</f>
        <v>0</v>
      </c>
      <c r="E629" s="14" t="str">
        <f t="shared" ca="1" si="10"/>
        <v>=D484*(inputs!$E$26*inputs!$E$27)</v>
      </c>
      <c r="F629"/>
    </row>
    <row r="630" spans="1:6" s="14" customFormat="1" x14ac:dyDescent="0.25">
      <c r="A630" s="14" t="s">
        <v>32</v>
      </c>
      <c r="B630" s="14" t="s">
        <v>84</v>
      </c>
      <c r="C630" s="14" t="s">
        <v>969</v>
      </c>
      <c r="D630" s="15">
        <f>D485*(inputs!$E$26*inputs!$E$27)</f>
        <v>0</v>
      </c>
      <c r="E630" s="14" t="str">
        <f t="shared" ca="1" si="10"/>
        <v>=D485*(inputs!$E$26*inputs!$E$27)</v>
      </c>
      <c r="F630"/>
    </row>
    <row r="631" spans="1:6" s="14" customFormat="1" x14ac:dyDescent="0.25">
      <c r="A631" s="14" t="s">
        <v>32</v>
      </c>
      <c r="B631" s="14" t="s">
        <v>84</v>
      </c>
      <c r="C631" s="14" t="s">
        <v>970</v>
      </c>
      <c r="D631" s="15">
        <f>D486*(inputs!$E$26*inputs!$E$27)</f>
        <v>0</v>
      </c>
      <c r="E631" s="14" t="str">
        <f t="shared" ca="1" si="10"/>
        <v>=D486*(inputs!$E$26*inputs!$E$27)</v>
      </c>
      <c r="F631"/>
    </row>
    <row r="632" spans="1:6" s="14" customFormat="1" x14ac:dyDescent="0.25">
      <c r="A632" s="14" t="s">
        <v>32</v>
      </c>
      <c r="B632" s="14" t="s">
        <v>84</v>
      </c>
      <c r="C632" s="14" t="s">
        <v>971</v>
      </c>
      <c r="D632" s="15">
        <f>D487*(inputs!$E$26*inputs!$E$27)</f>
        <v>0</v>
      </c>
      <c r="E632" s="14" t="str">
        <f t="shared" ca="1" si="10"/>
        <v>=D487*(inputs!$E$26*inputs!$E$27)</v>
      </c>
      <c r="F632"/>
    </row>
    <row r="633" spans="1:6" s="14" customFormat="1" x14ac:dyDescent="0.25">
      <c r="A633" s="14" t="s">
        <v>32</v>
      </c>
      <c r="B633" s="14" t="s">
        <v>84</v>
      </c>
      <c r="C633" s="14" t="s">
        <v>972</v>
      </c>
      <c r="D633" s="15">
        <f>D488*(inputs!$E$26*inputs!$E$27)</f>
        <v>0</v>
      </c>
      <c r="E633" s="14" t="str">
        <f t="shared" ca="1" si="10"/>
        <v>=D488*(inputs!$E$26*inputs!$E$27)</v>
      </c>
      <c r="F633"/>
    </row>
    <row r="634" spans="1:6" s="14" customFormat="1" x14ac:dyDescent="0.25">
      <c r="A634" s="14" t="s">
        <v>32</v>
      </c>
      <c r="B634" s="14" t="s">
        <v>84</v>
      </c>
      <c r="C634" s="14" t="s">
        <v>973</v>
      </c>
      <c r="D634" s="15">
        <f>D489*(inputs!$E$26*inputs!$E$27)</f>
        <v>0</v>
      </c>
      <c r="E634" s="14" t="str">
        <f t="shared" ca="1" si="10"/>
        <v>=D489*(inputs!$E$26*inputs!$E$27)</v>
      </c>
      <c r="F634"/>
    </row>
    <row r="635" spans="1:6" s="14" customFormat="1" x14ac:dyDescent="0.25">
      <c r="A635" s="14" t="s">
        <v>32</v>
      </c>
      <c r="B635" s="14" t="s">
        <v>84</v>
      </c>
      <c r="C635" s="14" t="s">
        <v>974</v>
      </c>
      <c r="D635" s="15">
        <f>D490*(inputs!$E$26*inputs!$E$27)</f>
        <v>0</v>
      </c>
      <c r="E635" s="14" t="str">
        <f t="shared" ca="1" si="10"/>
        <v>=D490*(inputs!$E$26*inputs!$E$27)</v>
      </c>
      <c r="F635"/>
    </row>
    <row r="636" spans="1:6" s="14" customFormat="1" x14ac:dyDescent="0.25">
      <c r="A636" s="14" t="s">
        <v>32</v>
      </c>
      <c r="B636" s="14" t="s">
        <v>84</v>
      </c>
      <c r="C636" s="14" t="s">
        <v>975</v>
      </c>
      <c r="D636" s="15">
        <f>D491*(inputs!$E$26*inputs!$E$27)</f>
        <v>0</v>
      </c>
      <c r="E636" s="14" t="str">
        <f t="shared" ca="1" si="10"/>
        <v>=D491*(inputs!$E$26*inputs!$E$27)</v>
      </c>
      <c r="F636"/>
    </row>
    <row r="637" spans="1:6" s="14" customFormat="1" x14ac:dyDescent="0.25">
      <c r="A637" s="14" t="s">
        <v>32</v>
      </c>
      <c r="B637" s="14" t="s">
        <v>84</v>
      </c>
      <c r="C637" s="14" t="s">
        <v>976</v>
      </c>
      <c r="D637" s="15">
        <f>D492*(inputs!$E$26*inputs!$E$27)</f>
        <v>0</v>
      </c>
      <c r="E637" s="14" t="str">
        <f t="shared" ca="1" si="10"/>
        <v>=D492*(inputs!$E$26*inputs!$E$27)</v>
      </c>
      <c r="F637"/>
    </row>
    <row r="638" spans="1:6" s="14" customFormat="1" x14ac:dyDescent="0.25">
      <c r="A638" s="14" t="s">
        <v>32</v>
      </c>
      <c r="B638" s="14" t="s">
        <v>84</v>
      </c>
      <c r="C638" s="14" t="s">
        <v>977</v>
      </c>
      <c r="D638" s="15">
        <f>D493*(inputs!$E$26*inputs!$E$27)</f>
        <v>0</v>
      </c>
      <c r="E638" s="14" t="str">
        <f t="shared" ca="1" si="10"/>
        <v>=D493*(inputs!$E$26*inputs!$E$27)</v>
      </c>
      <c r="F638"/>
    </row>
    <row r="639" spans="1:6" s="14" customFormat="1" x14ac:dyDescent="0.25">
      <c r="A639" s="14" t="s">
        <v>32</v>
      </c>
      <c r="B639" s="14" t="s">
        <v>84</v>
      </c>
      <c r="C639" s="14" t="s">
        <v>978</v>
      </c>
      <c r="D639" s="15">
        <f>D494*(inputs!$E$26*inputs!$E$27)</f>
        <v>0</v>
      </c>
      <c r="E639" s="14" t="str">
        <f t="shared" ca="1" si="10"/>
        <v>=D494*(inputs!$E$26*inputs!$E$27)</v>
      </c>
      <c r="F639"/>
    </row>
    <row r="640" spans="1:6" s="14" customFormat="1" x14ac:dyDescent="0.25">
      <c r="A640" s="14" t="s">
        <v>32</v>
      </c>
      <c r="B640" s="14" t="s">
        <v>84</v>
      </c>
      <c r="C640" s="14" t="s">
        <v>979</v>
      </c>
      <c r="D640" s="15">
        <f>D495*(inputs!$E$26*inputs!$E$27)</f>
        <v>0</v>
      </c>
      <c r="E640" s="14" t="str">
        <f t="shared" ca="1" si="10"/>
        <v>=D495*(inputs!$E$26*inputs!$E$27)</v>
      </c>
      <c r="F640"/>
    </row>
    <row r="641" spans="1:6" s="14" customFormat="1" x14ac:dyDescent="0.25">
      <c r="A641" s="14" t="s">
        <v>32</v>
      </c>
      <c r="B641" s="14" t="s">
        <v>84</v>
      </c>
      <c r="C641" s="14" t="s">
        <v>980</v>
      </c>
      <c r="D641" s="15">
        <f>D496*(inputs!$E$26*inputs!$E$27)</f>
        <v>0</v>
      </c>
      <c r="E641" s="14" t="str">
        <f t="shared" ca="1" si="10"/>
        <v>=D496*(inputs!$E$26*inputs!$E$27)</v>
      </c>
      <c r="F641"/>
    </row>
    <row r="642" spans="1:6" s="14" customFormat="1" x14ac:dyDescent="0.25">
      <c r="A642" s="14" t="s">
        <v>32</v>
      </c>
      <c r="B642" s="14" t="s">
        <v>84</v>
      </c>
      <c r="C642" s="14" t="s">
        <v>981</v>
      </c>
      <c r="D642" s="15">
        <f>D497*(inputs!$E$26*inputs!$E$27)</f>
        <v>0</v>
      </c>
      <c r="E642" s="14" t="str">
        <f t="shared" ca="1" si="10"/>
        <v>=D497*(inputs!$E$26*inputs!$E$27)</v>
      </c>
      <c r="F642"/>
    </row>
    <row r="643" spans="1:6" s="14" customFormat="1" x14ac:dyDescent="0.25">
      <c r="A643" s="14" t="s">
        <v>32</v>
      </c>
      <c r="B643" s="14" t="s">
        <v>84</v>
      </c>
      <c r="C643" s="14" t="s">
        <v>982</v>
      </c>
      <c r="D643" s="15">
        <f>D498*(inputs!$E$26*inputs!$E$27)</f>
        <v>0</v>
      </c>
      <c r="E643" s="14" t="str">
        <f t="shared" ca="1" si="10"/>
        <v>=D498*(inputs!$E$26*inputs!$E$27)</v>
      </c>
      <c r="F643"/>
    </row>
    <row r="644" spans="1:6" s="14" customFormat="1" x14ac:dyDescent="0.25">
      <c r="A644" s="14" t="s">
        <v>32</v>
      </c>
      <c r="B644" s="14" t="s">
        <v>84</v>
      </c>
      <c r="C644" s="14" t="s">
        <v>983</v>
      </c>
      <c r="D644" s="15">
        <f>D499*(inputs!$E$26*inputs!$E$27)</f>
        <v>0</v>
      </c>
      <c r="E644" s="14" t="str">
        <f t="shared" ca="1" si="10"/>
        <v>=D499*(inputs!$E$26*inputs!$E$27)</v>
      </c>
      <c r="F644"/>
    </row>
    <row r="645" spans="1:6" x14ac:dyDescent="0.25">
      <c r="A645" s="7" t="s">
        <v>495</v>
      </c>
      <c r="B645" s="7" t="s">
        <v>749</v>
      </c>
      <c r="C645" s="7" t="s">
        <v>532</v>
      </c>
      <c r="D645" s="8">
        <f>(D174*inputs!$E$88)/(inputs!$E$31^inputs!E111)</f>
        <v>12207064.897534411</v>
      </c>
      <c r="E645" s="7" t="str">
        <f t="shared" ref="E645:E751" ca="1" si="11">_xlfn.FORMULATEXT(D645)</f>
        <v>=(D174*inputs!$E$88)/(inputs!$E$31^inputs!E111)</v>
      </c>
    </row>
    <row r="646" spans="1:6" x14ac:dyDescent="0.25">
      <c r="A646" s="7" t="s">
        <v>495</v>
      </c>
      <c r="B646" s="7" t="s">
        <v>749</v>
      </c>
      <c r="C646" s="7" t="s">
        <v>533</v>
      </c>
      <c r="D646" s="8">
        <f>(D175*inputs!$E$88)/(inputs!$E$31^inputs!E112)</f>
        <v>11847963.862199176</v>
      </c>
      <c r="E646" s="7" t="str">
        <f t="shared" ca="1" si="11"/>
        <v>=(D175*inputs!$E$88)/(inputs!$E$31^inputs!E112)</v>
      </c>
    </row>
    <row r="647" spans="1:6" x14ac:dyDescent="0.25">
      <c r="A647" s="7" t="s">
        <v>495</v>
      </c>
      <c r="B647" s="7" t="s">
        <v>749</v>
      </c>
      <c r="C647" s="7" t="s">
        <v>534</v>
      </c>
      <c r="D647" s="8">
        <f>(D176*inputs!$E$88)/(inputs!$E$31^inputs!E113)</f>
        <v>11499426.672854869</v>
      </c>
      <c r="E647" s="7" t="str">
        <f t="shared" ca="1" si="11"/>
        <v>=(D176*inputs!$E$88)/(inputs!$E$31^inputs!E113)</v>
      </c>
    </row>
    <row r="648" spans="1:6" x14ac:dyDescent="0.25">
      <c r="A648" s="7" t="s">
        <v>495</v>
      </c>
      <c r="B648" s="7" t="s">
        <v>749</v>
      </c>
      <c r="C648" s="7" t="s">
        <v>535</v>
      </c>
      <c r="D648" s="8">
        <f>(D177*inputs!$E$88)/(inputs!$E$31^inputs!E114)</f>
        <v>11161142.567818459</v>
      </c>
      <c r="E648" s="7" t="str">
        <f t="shared" ca="1" si="11"/>
        <v>=(D177*inputs!$E$88)/(inputs!$E$31^inputs!E114)</v>
      </c>
    </row>
    <row r="649" spans="1:6" x14ac:dyDescent="0.25">
      <c r="A649" s="7" t="s">
        <v>495</v>
      </c>
      <c r="B649" s="7" t="s">
        <v>749</v>
      </c>
      <c r="C649" s="7" t="s">
        <v>536</v>
      </c>
      <c r="D649" s="8">
        <f>(D178*inputs!$E$88)/(inputs!$E$31^inputs!E115)</f>
        <v>10832809.927231178</v>
      </c>
      <c r="E649" s="7" t="str">
        <f t="shared" ca="1" si="11"/>
        <v>=(D178*inputs!$E$88)/(inputs!$E$31^inputs!E115)</v>
      </c>
    </row>
    <row r="650" spans="1:6" x14ac:dyDescent="0.25">
      <c r="A650" s="7" t="s">
        <v>495</v>
      </c>
      <c r="B650" s="7" t="s">
        <v>749</v>
      </c>
      <c r="C650" s="7" t="s">
        <v>537</v>
      </c>
      <c r="D650" s="8">
        <f>(D179*inputs!$E$88)/(inputs!$E$31^inputs!E116)</f>
        <v>10506773.900295096</v>
      </c>
      <c r="E650" s="7" t="str">
        <f t="shared" ca="1" si="11"/>
        <v>=(D179*inputs!$E$88)/(inputs!$E$31^inputs!E116)</v>
      </c>
    </row>
    <row r="651" spans="1:6" x14ac:dyDescent="0.25">
      <c r="A651" s="7" t="s">
        <v>495</v>
      </c>
      <c r="B651" s="7" t="s">
        <v>749</v>
      </c>
      <c r="C651" s="7" t="s">
        <v>538</v>
      </c>
      <c r="D651" s="8">
        <f>(D180*inputs!$E$88)/(inputs!$E$31^inputs!E117)</f>
        <v>10190550.608150292</v>
      </c>
      <c r="E651" s="7" t="str">
        <f t="shared" ca="1" si="11"/>
        <v>=(D180*inputs!$E$88)/(inputs!$E$31^inputs!E117)</v>
      </c>
    </row>
    <row r="652" spans="1:6" x14ac:dyDescent="0.25">
      <c r="A652" s="7" t="s">
        <v>495</v>
      </c>
      <c r="B652" s="7" t="s">
        <v>749</v>
      </c>
      <c r="C652" s="7" t="s">
        <v>539</v>
      </c>
      <c r="D652" s="8">
        <f>(D181*inputs!$E$88)/(inputs!$E$31^inputs!E118)</f>
        <v>9883844.7160603311</v>
      </c>
      <c r="E652" s="7" t="str">
        <f t="shared" ca="1" si="11"/>
        <v>=(D181*inputs!$E$88)/(inputs!$E$31^inputs!E118)</v>
      </c>
    </row>
    <row r="653" spans="1:6" x14ac:dyDescent="0.25">
      <c r="A653" s="7" t="s">
        <v>495</v>
      </c>
      <c r="B653" s="7" t="s">
        <v>749</v>
      </c>
      <c r="C653" s="7" t="s">
        <v>540</v>
      </c>
      <c r="D653" s="8">
        <f>(D182*inputs!$E$88)/(inputs!$E$31^inputs!E119)</f>
        <v>9586369.7780041452</v>
      </c>
      <c r="E653" s="7" t="str">
        <f t="shared" ca="1" si="11"/>
        <v>=(D182*inputs!$E$88)/(inputs!$E$31^inputs!E119)</v>
      </c>
    </row>
    <row r="654" spans="1:6" x14ac:dyDescent="0.25">
      <c r="A654" s="7" t="s">
        <v>495</v>
      </c>
      <c r="B654" s="7" t="s">
        <v>749</v>
      </c>
      <c r="C654" s="7" t="s">
        <v>541</v>
      </c>
      <c r="D654" s="8">
        <f>(D183*inputs!$E$88)/(inputs!$E$31^inputs!E120)</f>
        <v>9297847.9691515937</v>
      </c>
      <c r="E654" s="7" t="str">
        <f t="shared" ca="1" si="11"/>
        <v>=(D183*inputs!$E$88)/(inputs!$E$31^inputs!E120)</v>
      </c>
    </row>
    <row r="655" spans="1:6" x14ac:dyDescent="0.25">
      <c r="A655" s="7" t="s">
        <v>495</v>
      </c>
      <c r="B655" s="7" t="s">
        <v>749</v>
      </c>
      <c r="C655" s="7" t="s">
        <v>542</v>
      </c>
      <c r="D655" s="8">
        <f>(D184*inputs!$E$88)/(inputs!$E$31^inputs!E121)</f>
        <v>9008982.7895274665</v>
      </c>
      <c r="E655" s="7" t="str">
        <f t="shared" ca="1" si="11"/>
        <v>=(D184*inputs!$E$88)/(inputs!$E$31^inputs!E121)</v>
      </c>
    </row>
    <row r="656" spans="1:6" x14ac:dyDescent="0.25">
      <c r="A656" s="7" t="s">
        <v>495</v>
      </c>
      <c r="B656" s="7" t="s">
        <v>749</v>
      </c>
      <c r="C656" s="7" t="s">
        <v>543</v>
      </c>
      <c r="D656" s="8">
        <f>(D185*inputs!$E$88)/(inputs!$E$31^inputs!E122)</f>
        <v>8729092.0620858371</v>
      </c>
      <c r="E656" s="7" t="str">
        <f t="shared" ca="1" si="11"/>
        <v>=(D185*inputs!$E$88)/(inputs!$E$31^inputs!E122)</v>
      </c>
    </row>
    <row r="657" spans="1:5" x14ac:dyDescent="0.25">
      <c r="A657" s="7" t="s">
        <v>495</v>
      </c>
      <c r="B657" s="7" t="s">
        <v>749</v>
      </c>
      <c r="C657" s="7" t="s">
        <v>544</v>
      </c>
      <c r="D657" s="8">
        <f>(D186*inputs!$E$88)/(inputs!$E$31^inputs!E123)</f>
        <v>8457896.9688948207</v>
      </c>
      <c r="E657" s="7" t="str">
        <f t="shared" ca="1" si="11"/>
        <v>=(D186*inputs!$E$88)/(inputs!$E$31^inputs!E123)</v>
      </c>
    </row>
    <row r="658" spans="1:5" x14ac:dyDescent="0.25">
      <c r="A658" s="7" t="s">
        <v>495</v>
      </c>
      <c r="B658" s="7" t="s">
        <v>749</v>
      </c>
      <c r="C658" s="7" t="s">
        <v>545</v>
      </c>
      <c r="D658" s="8">
        <f>(D187*inputs!$E$88)/(inputs!$E$31^inputs!E124)</f>
        <v>8195127.3543272149</v>
      </c>
      <c r="E658" s="7" t="str">
        <f t="shared" ca="1" si="11"/>
        <v>=(D187*inputs!$E$88)/(inputs!$E$31^inputs!E124)</v>
      </c>
    </row>
    <row r="659" spans="1:5" x14ac:dyDescent="0.25">
      <c r="A659" s="7" t="s">
        <v>495</v>
      </c>
      <c r="B659" s="7" t="s">
        <v>749</v>
      </c>
      <c r="C659" s="7" t="s">
        <v>546</v>
      </c>
      <c r="D659" s="8">
        <f>(D188*inputs!$E$88)/(inputs!$E$31^inputs!E125)</f>
        <v>7940521.4559403509</v>
      </c>
      <c r="E659" s="7" t="str">
        <f t="shared" ca="1" si="11"/>
        <v>=(D188*inputs!$E$88)/(inputs!$E$31^inputs!E125)</v>
      </c>
    </row>
    <row r="660" spans="1:5" x14ac:dyDescent="0.25">
      <c r="A660" s="7" t="s">
        <v>495</v>
      </c>
      <c r="B660" s="7" t="s">
        <v>749</v>
      </c>
      <c r="C660" s="7" t="s">
        <v>547</v>
      </c>
      <c r="D660" s="8">
        <f>(D189*inputs!$E$88)/(inputs!$E$31^inputs!E126)</f>
        <v>7693825.6437169593</v>
      </c>
      <c r="E660" s="7" t="str">
        <f t="shared" ca="1" si="11"/>
        <v>=(D189*inputs!$E$88)/(inputs!$E$31^inputs!E126)</v>
      </c>
    </row>
    <row r="661" spans="1:5" x14ac:dyDescent="0.25">
      <c r="A661" s="7" t="s">
        <v>495</v>
      </c>
      <c r="B661" s="7" t="s">
        <v>749</v>
      </c>
      <c r="C661" s="7" t="s">
        <v>548</v>
      </c>
      <c r="D661" s="8">
        <f>(D190*inputs!$E$88)/(inputs!$E$31^inputs!E127)</f>
        <v>7454794.1674073068</v>
      </c>
      <c r="E661" s="7" t="str">
        <f t="shared" ca="1" si="11"/>
        <v>=(D190*inputs!$E$88)/(inputs!$E$31^inputs!E127)</v>
      </c>
    </row>
    <row r="662" spans="1:5" x14ac:dyDescent="0.25">
      <c r="A662" s="7" t="s">
        <v>495</v>
      </c>
      <c r="B662" s="7" t="s">
        <v>749</v>
      </c>
      <c r="C662" s="7" t="s">
        <v>549</v>
      </c>
      <c r="D662" s="8">
        <f>(D191*inputs!$E$88)/(inputs!$E$31^inputs!E128)</f>
        <v>7223188.9117208663</v>
      </c>
      <c r="E662" s="7" t="str">
        <f t="shared" ca="1" si="11"/>
        <v>=(D191*inputs!$E$88)/(inputs!$E$31^inputs!E128)</v>
      </c>
    </row>
    <row r="663" spans="1:5" x14ac:dyDescent="0.25">
      <c r="A663" s="7" t="s">
        <v>495</v>
      </c>
      <c r="B663" s="7" t="s">
        <v>749</v>
      </c>
      <c r="C663" s="7" t="s">
        <v>550</v>
      </c>
      <c r="D663" s="8">
        <f>(D192*inputs!$E$88)/(inputs!$E$31^inputs!E129)</f>
        <v>6998779.1591237141</v>
      </c>
      <c r="E663" s="7" t="str">
        <f t="shared" ca="1" si="11"/>
        <v>=(D192*inputs!$E$88)/(inputs!$E$31^inputs!E129)</v>
      </c>
    </row>
    <row r="664" spans="1:5" x14ac:dyDescent="0.25">
      <c r="A664" s="7" t="s">
        <v>495</v>
      </c>
      <c r="B664" s="7" t="s">
        <v>749</v>
      </c>
      <c r="C664" s="7" t="s">
        <v>551</v>
      </c>
      <c r="D664" s="8">
        <f>(D193*inputs!$E$88)/(inputs!$E$31^inputs!E130)</f>
        <v>6781341.360005307</v>
      </c>
      <c r="E664" s="7" t="str">
        <f t="shared" ca="1" si="11"/>
        <v>=(D193*inputs!$E$88)/(inputs!$E$31^inputs!E130)</v>
      </c>
    </row>
    <row r="665" spans="1:5" x14ac:dyDescent="0.25">
      <c r="A665" s="7" t="s">
        <v>495</v>
      </c>
      <c r="B665" s="7" t="s">
        <v>749</v>
      </c>
      <c r="C665" s="7" t="s">
        <v>552</v>
      </c>
      <c r="D665" s="8">
        <f>(D194*inputs!$E$88)/(inputs!$E$31^inputs!E131)</f>
        <v>6570658.9099857248</v>
      </c>
      <c r="E665" s="7" t="str">
        <f t="shared" ca="1" si="11"/>
        <v>=(D194*inputs!$E$88)/(inputs!$E$31^inputs!E131)</v>
      </c>
    </row>
    <row r="666" spans="1:5" x14ac:dyDescent="0.25">
      <c r="A666" s="7" t="s">
        <v>495</v>
      </c>
      <c r="B666" s="7" t="s">
        <v>749</v>
      </c>
      <c r="C666" s="7" t="s">
        <v>553</v>
      </c>
      <c r="D666" s="8">
        <f>(D195*inputs!$E$88)/(inputs!$E$31^inputs!E132)</f>
        <v>6366521.9341415083</v>
      </c>
      <c r="E666" s="7" t="str">
        <f t="shared" ca="1" si="11"/>
        <v>=(D195*inputs!$E$88)/(inputs!$E$31^inputs!E132)</v>
      </c>
    </row>
    <row r="667" spans="1:5" x14ac:dyDescent="0.25">
      <c r="A667" s="7" t="s">
        <v>495</v>
      </c>
      <c r="B667" s="7" t="s">
        <v>749</v>
      </c>
      <c r="C667" s="7" t="s">
        <v>554</v>
      </c>
      <c r="D667" s="8">
        <f>(D196*inputs!$E$88)/(inputs!$E$31^inputs!E133)</f>
        <v>6168727.0779351713</v>
      </c>
      <c r="E667" s="7" t="str">
        <f t="shared" ca="1" si="11"/>
        <v>=(D196*inputs!$E$88)/(inputs!$E$31^inputs!E133)</v>
      </c>
    </row>
    <row r="668" spans="1:5" x14ac:dyDescent="0.25">
      <c r="A668" s="7" t="s">
        <v>495</v>
      </c>
      <c r="B668" s="7" t="s">
        <v>749</v>
      </c>
      <c r="C668" s="7" t="s">
        <v>555</v>
      </c>
      <c r="D668" s="8">
        <f>(D197*inputs!$E$88)/(inputs!$E$31^inputs!E134)</f>
        <v>5977077.3046400975</v>
      </c>
      <c r="E668" s="7" t="str">
        <f t="shared" ca="1" si="11"/>
        <v>=(D197*inputs!$E$88)/(inputs!$E$31^inputs!E134)</v>
      </c>
    </row>
    <row r="669" spans="1:5" x14ac:dyDescent="0.25">
      <c r="A669" s="7" t="s">
        <v>495</v>
      </c>
      <c r="B669" s="7" t="s">
        <v>749</v>
      </c>
      <c r="C669" s="7" t="s">
        <v>556</v>
      </c>
      <c r="D669" s="8">
        <f>(D198*inputs!$E$88)/(inputs!$E$31^inputs!E135)</f>
        <v>5791381.6990590468</v>
      </c>
      <c r="E669" s="7" t="str">
        <f t="shared" ca="1" si="11"/>
        <v>=(D198*inputs!$E$88)/(inputs!$E$31^inputs!E135)</v>
      </c>
    </row>
    <row r="670" spans="1:5" x14ac:dyDescent="0.25">
      <c r="A670" s="7" t="s">
        <v>495</v>
      </c>
      <c r="B670" s="7" t="s">
        <v>749</v>
      </c>
      <c r="C670" s="7" t="s">
        <v>674</v>
      </c>
      <c r="D670" s="8">
        <f>(D252*inputs!$E$87)/(inputs!$E$31^inputs!E111)</f>
        <v>0</v>
      </c>
      <c r="E670" s="7" t="str">
        <f t="shared" ca="1" si="11"/>
        <v>=(D252*inputs!$E$87)/(inputs!$E$31^inputs!E111)</v>
      </c>
    </row>
    <row r="671" spans="1:5" x14ac:dyDescent="0.25">
      <c r="A671" s="7" t="s">
        <v>495</v>
      </c>
      <c r="B671" s="7" t="s">
        <v>749</v>
      </c>
      <c r="C671" s="7" t="s">
        <v>675</v>
      </c>
      <c r="D671" s="8">
        <f>(D253*inputs!$E$87)/(inputs!$E$31^inputs!E112)</f>
        <v>0</v>
      </c>
      <c r="E671" s="7" t="str">
        <f t="shared" ca="1" si="11"/>
        <v>=(D253*inputs!$E$87)/(inputs!$E$31^inputs!E112)</v>
      </c>
    </row>
    <row r="672" spans="1:5" x14ac:dyDescent="0.25">
      <c r="A672" s="7" t="s">
        <v>495</v>
      </c>
      <c r="B672" s="7" t="s">
        <v>749</v>
      </c>
      <c r="C672" s="7" t="s">
        <v>676</v>
      </c>
      <c r="D672" s="8">
        <f>(D254*inputs!$E$87)/(inputs!$E$31^inputs!E113)</f>
        <v>0</v>
      </c>
      <c r="E672" s="7" t="str">
        <f t="shared" ca="1" si="11"/>
        <v>=(D254*inputs!$E$87)/(inputs!$E$31^inputs!E113)</v>
      </c>
    </row>
    <row r="673" spans="1:5" x14ac:dyDescent="0.25">
      <c r="A673" s="7" t="s">
        <v>495</v>
      </c>
      <c r="B673" s="7" t="s">
        <v>749</v>
      </c>
      <c r="C673" s="7" t="s">
        <v>677</v>
      </c>
      <c r="D673" s="8">
        <f>(D255*inputs!$E$87)/(inputs!$E$31^inputs!E114)</f>
        <v>0</v>
      </c>
      <c r="E673" s="7" t="str">
        <f t="shared" ca="1" si="11"/>
        <v>=(D255*inputs!$E$87)/(inputs!$E$31^inputs!E114)</v>
      </c>
    </row>
    <row r="674" spans="1:5" x14ac:dyDescent="0.25">
      <c r="A674" s="7" t="s">
        <v>495</v>
      </c>
      <c r="B674" s="7" t="s">
        <v>749</v>
      </c>
      <c r="C674" s="7" t="s">
        <v>678</v>
      </c>
      <c r="D674" s="8">
        <f>(D256*inputs!$E$87)/(inputs!$E$31^inputs!E115)</f>
        <v>0</v>
      </c>
      <c r="E674" s="7" t="str">
        <f t="shared" ca="1" si="11"/>
        <v>=(D256*inputs!$E$87)/(inputs!$E$31^inputs!E115)</v>
      </c>
    </row>
    <row r="675" spans="1:5" x14ac:dyDescent="0.25">
      <c r="A675" s="7" t="s">
        <v>495</v>
      </c>
      <c r="B675" s="7" t="s">
        <v>749</v>
      </c>
      <c r="C675" s="7" t="s">
        <v>679</v>
      </c>
      <c r="D675" s="8">
        <f>(D257*inputs!$E$87)/(inputs!$E$31^inputs!E116)</f>
        <v>0</v>
      </c>
      <c r="E675" s="7" t="str">
        <f t="shared" ca="1" si="11"/>
        <v>=(D257*inputs!$E$87)/(inputs!$E$31^inputs!E116)</v>
      </c>
    </row>
    <row r="676" spans="1:5" x14ac:dyDescent="0.25">
      <c r="A676" s="7" t="s">
        <v>495</v>
      </c>
      <c r="B676" s="7" t="s">
        <v>749</v>
      </c>
      <c r="C676" s="7" t="s">
        <v>680</v>
      </c>
      <c r="D676" s="8">
        <f>(D258*inputs!$E$87)/(inputs!$E$31^inputs!E117)</f>
        <v>0</v>
      </c>
      <c r="E676" s="7" t="str">
        <f t="shared" ca="1" si="11"/>
        <v>=(D258*inputs!$E$87)/(inputs!$E$31^inputs!E117)</v>
      </c>
    </row>
    <row r="677" spans="1:5" x14ac:dyDescent="0.25">
      <c r="A677" s="7" t="s">
        <v>495</v>
      </c>
      <c r="B677" s="7" t="s">
        <v>749</v>
      </c>
      <c r="C677" s="7" t="s">
        <v>681</v>
      </c>
      <c r="D677" s="8">
        <f>(D259*inputs!$E$87)/(inputs!$E$31^inputs!E118)</f>
        <v>0</v>
      </c>
      <c r="E677" s="7" t="str">
        <f t="shared" ca="1" si="11"/>
        <v>=(D259*inputs!$E$87)/(inputs!$E$31^inputs!E118)</v>
      </c>
    </row>
    <row r="678" spans="1:5" x14ac:dyDescent="0.25">
      <c r="A678" s="7" t="s">
        <v>495</v>
      </c>
      <c r="B678" s="7" t="s">
        <v>749</v>
      </c>
      <c r="C678" s="7" t="s">
        <v>682</v>
      </c>
      <c r="D678" s="8">
        <f>(D260*inputs!$E$87)/(inputs!$E$31^inputs!E119)</f>
        <v>0</v>
      </c>
      <c r="E678" s="7" t="str">
        <f t="shared" ca="1" si="11"/>
        <v>=(D260*inputs!$E$87)/(inputs!$E$31^inputs!E119)</v>
      </c>
    </row>
    <row r="679" spans="1:5" x14ac:dyDescent="0.25">
      <c r="A679" s="7" t="s">
        <v>495</v>
      </c>
      <c r="B679" s="7" t="s">
        <v>749</v>
      </c>
      <c r="C679" s="7" t="s">
        <v>683</v>
      </c>
      <c r="D679" s="8">
        <f>(D261*inputs!$E$87)/(inputs!$E$31^inputs!E120)</f>
        <v>0</v>
      </c>
      <c r="E679" s="7" t="str">
        <f t="shared" ca="1" si="11"/>
        <v>=(D261*inputs!$E$87)/(inputs!$E$31^inputs!E120)</v>
      </c>
    </row>
    <row r="680" spans="1:5" x14ac:dyDescent="0.25">
      <c r="A680" s="7" t="s">
        <v>495</v>
      </c>
      <c r="B680" s="7" t="s">
        <v>749</v>
      </c>
      <c r="C680" s="7" t="s">
        <v>684</v>
      </c>
      <c r="D680" s="8">
        <f>(D262*inputs!$E$87)/(inputs!$E$31^inputs!E121)</f>
        <v>0</v>
      </c>
      <c r="E680" s="7" t="str">
        <f t="shared" ca="1" si="11"/>
        <v>=(D262*inputs!$E$87)/(inputs!$E$31^inputs!E121)</v>
      </c>
    </row>
    <row r="681" spans="1:5" x14ac:dyDescent="0.25">
      <c r="A681" s="7" t="s">
        <v>495</v>
      </c>
      <c r="B681" s="7" t="s">
        <v>749</v>
      </c>
      <c r="C681" s="7" t="s">
        <v>685</v>
      </c>
      <c r="D681" s="8">
        <f>(D263*inputs!$E$87)/(inputs!$E$31^inputs!E122)</f>
        <v>0</v>
      </c>
      <c r="E681" s="7" t="str">
        <f t="shared" ca="1" si="11"/>
        <v>=(D263*inputs!$E$87)/(inputs!$E$31^inputs!E122)</v>
      </c>
    </row>
    <row r="682" spans="1:5" x14ac:dyDescent="0.25">
      <c r="A682" s="7" t="s">
        <v>495</v>
      </c>
      <c r="B682" s="7" t="s">
        <v>749</v>
      </c>
      <c r="C682" s="7" t="s">
        <v>686</v>
      </c>
      <c r="D682" s="8">
        <f>(D264*inputs!$E$87)/(inputs!$E$31^inputs!E123)</f>
        <v>0</v>
      </c>
      <c r="E682" s="7" t="str">
        <f t="shared" ca="1" si="11"/>
        <v>=(D264*inputs!$E$87)/(inputs!$E$31^inputs!E123)</v>
      </c>
    </row>
    <row r="683" spans="1:5" x14ac:dyDescent="0.25">
      <c r="A683" s="7" t="s">
        <v>495</v>
      </c>
      <c r="B683" s="7" t="s">
        <v>749</v>
      </c>
      <c r="C683" s="7" t="s">
        <v>687</v>
      </c>
      <c r="D683" s="8">
        <f>(D265*inputs!$E$87)/(inputs!$E$31^inputs!E124)</f>
        <v>0</v>
      </c>
      <c r="E683" s="7" t="str">
        <f t="shared" ca="1" si="11"/>
        <v>=(D265*inputs!$E$87)/(inputs!$E$31^inputs!E124)</v>
      </c>
    </row>
    <row r="684" spans="1:5" x14ac:dyDescent="0.25">
      <c r="A684" s="7" t="s">
        <v>495</v>
      </c>
      <c r="B684" s="7" t="s">
        <v>749</v>
      </c>
      <c r="C684" s="7" t="s">
        <v>688</v>
      </c>
      <c r="D684" s="8">
        <f>(D266*inputs!$E$87)/(inputs!$E$31^inputs!E125)</f>
        <v>0</v>
      </c>
      <c r="E684" s="7" t="str">
        <f t="shared" ca="1" si="11"/>
        <v>=(D266*inputs!$E$87)/(inputs!$E$31^inputs!E125)</v>
      </c>
    </row>
    <row r="685" spans="1:5" x14ac:dyDescent="0.25">
      <c r="A685" s="7" t="s">
        <v>495</v>
      </c>
      <c r="B685" s="7" t="s">
        <v>749</v>
      </c>
      <c r="C685" s="7" t="s">
        <v>689</v>
      </c>
      <c r="D685" s="8">
        <f>(D267*inputs!$E$87)/(inputs!$E$31^inputs!E126)</f>
        <v>0</v>
      </c>
      <c r="E685" s="7" t="str">
        <f t="shared" ca="1" si="11"/>
        <v>=(D267*inputs!$E$87)/(inputs!$E$31^inputs!E126)</v>
      </c>
    </row>
    <row r="686" spans="1:5" x14ac:dyDescent="0.25">
      <c r="A686" s="7" t="s">
        <v>495</v>
      </c>
      <c r="B686" s="7" t="s">
        <v>749</v>
      </c>
      <c r="C686" s="7" t="s">
        <v>690</v>
      </c>
      <c r="D686" s="8">
        <f>(D268*inputs!$E$87)/(inputs!$E$31^inputs!E127)</f>
        <v>0</v>
      </c>
      <c r="E686" s="7" t="str">
        <f t="shared" ca="1" si="11"/>
        <v>=(D268*inputs!$E$87)/(inputs!$E$31^inputs!E127)</v>
      </c>
    </row>
    <row r="687" spans="1:5" x14ac:dyDescent="0.25">
      <c r="A687" s="7" t="s">
        <v>495</v>
      </c>
      <c r="B687" s="7" t="s">
        <v>749</v>
      </c>
      <c r="C687" s="7" t="s">
        <v>691</v>
      </c>
      <c r="D687" s="8">
        <f>(D269*inputs!$E$87)/(inputs!$E$31^inputs!E128)</f>
        <v>0</v>
      </c>
      <c r="E687" s="7" t="str">
        <f t="shared" ca="1" si="11"/>
        <v>=(D269*inputs!$E$87)/(inputs!$E$31^inputs!E128)</v>
      </c>
    </row>
    <row r="688" spans="1:5" x14ac:dyDescent="0.25">
      <c r="A688" s="7" t="s">
        <v>495</v>
      </c>
      <c r="B688" s="7" t="s">
        <v>749</v>
      </c>
      <c r="C688" s="7" t="s">
        <v>692</v>
      </c>
      <c r="D688" s="8">
        <f>(D270*inputs!$E$87)/(inputs!$E$31^inputs!E129)</f>
        <v>0</v>
      </c>
      <c r="E688" s="7" t="str">
        <f t="shared" ca="1" si="11"/>
        <v>=(D270*inputs!$E$87)/(inputs!$E$31^inputs!E129)</v>
      </c>
    </row>
    <row r="689" spans="1:5" x14ac:dyDescent="0.25">
      <c r="A689" s="7" t="s">
        <v>495</v>
      </c>
      <c r="B689" s="7" t="s">
        <v>749</v>
      </c>
      <c r="C689" s="7" t="s">
        <v>693</v>
      </c>
      <c r="D689" s="8">
        <f>(D271*inputs!$E$87)/(inputs!$E$31^inputs!E130)</f>
        <v>0</v>
      </c>
      <c r="E689" s="7" t="str">
        <f t="shared" ca="1" si="11"/>
        <v>=(D271*inputs!$E$87)/(inputs!$E$31^inputs!E130)</v>
      </c>
    </row>
    <row r="690" spans="1:5" x14ac:dyDescent="0.25">
      <c r="A690" s="7" t="s">
        <v>495</v>
      </c>
      <c r="B690" s="7" t="s">
        <v>749</v>
      </c>
      <c r="C690" s="7" t="s">
        <v>694</v>
      </c>
      <c r="D690" s="8">
        <f>(D272*inputs!$E$87)/(inputs!$E$31^inputs!E131)</f>
        <v>0</v>
      </c>
      <c r="E690" s="7" t="str">
        <f t="shared" ca="1" si="11"/>
        <v>=(D272*inputs!$E$87)/(inputs!$E$31^inputs!E131)</v>
      </c>
    </row>
    <row r="691" spans="1:5" x14ac:dyDescent="0.25">
      <c r="A691" s="7" t="s">
        <v>495</v>
      </c>
      <c r="B691" s="7" t="s">
        <v>749</v>
      </c>
      <c r="C691" s="7" t="s">
        <v>695</v>
      </c>
      <c r="D691" s="8">
        <f>(D273*inputs!$E$87)/(inputs!$E$31^inputs!E132)</f>
        <v>0</v>
      </c>
      <c r="E691" s="7" t="str">
        <f t="shared" ca="1" si="11"/>
        <v>=(D273*inputs!$E$87)/(inputs!$E$31^inputs!E132)</v>
      </c>
    </row>
    <row r="692" spans="1:5" x14ac:dyDescent="0.25">
      <c r="A692" s="7" t="s">
        <v>495</v>
      </c>
      <c r="B692" s="7" t="s">
        <v>749</v>
      </c>
      <c r="C692" s="7" t="s">
        <v>696</v>
      </c>
      <c r="D692" s="8">
        <f>(D274*inputs!$E$87)/(inputs!$E$31^inputs!E133)</f>
        <v>0</v>
      </c>
      <c r="E692" s="7" t="str">
        <f t="shared" ca="1" si="11"/>
        <v>=(D274*inputs!$E$87)/(inputs!$E$31^inputs!E133)</v>
      </c>
    </row>
    <row r="693" spans="1:5" x14ac:dyDescent="0.25">
      <c r="A693" s="7" t="s">
        <v>495</v>
      </c>
      <c r="B693" s="7" t="s">
        <v>749</v>
      </c>
      <c r="C693" s="7" t="s">
        <v>697</v>
      </c>
      <c r="D693" s="8">
        <f>(D275*inputs!$E$87)/(inputs!$E$31^inputs!E134)</f>
        <v>0</v>
      </c>
      <c r="E693" s="7" t="str">
        <f t="shared" ca="1" si="11"/>
        <v>=(D275*inputs!$E$87)/(inputs!$E$31^inputs!E134)</v>
      </c>
    </row>
    <row r="694" spans="1:5" x14ac:dyDescent="0.25">
      <c r="A694" s="7" t="s">
        <v>495</v>
      </c>
      <c r="B694" s="7" t="s">
        <v>749</v>
      </c>
      <c r="C694" s="7" t="s">
        <v>698</v>
      </c>
      <c r="D694" s="8">
        <f>(D276*inputs!$E$87)/(inputs!$E$31^inputs!E135)</f>
        <v>0</v>
      </c>
      <c r="E694" s="7" t="str">
        <f t="shared" ca="1" si="11"/>
        <v>=(D276*inputs!$E$87)/(inputs!$E$31^inputs!E135)</v>
      </c>
    </row>
    <row r="695" spans="1:5" x14ac:dyDescent="0.25">
      <c r="A695" s="7" t="s">
        <v>495</v>
      </c>
      <c r="B695" s="7" t="s">
        <v>749</v>
      </c>
      <c r="C695" s="7" t="s">
        <v>699</v>
      </c>
      <c r="D695" s="8">
        <f>(D291*inputs!$E$87)/(inputs!$E$31^inputs!E111)</f>
        <v>0</v>
      </c>
      <c r="E695" s="7" t="str">
        <f t="shared" ca="1" si="11"/>
        <v>=(D291*inputs!$E$87)/(inputs!$E$31^inputs!E111)</v>
      </c>
    </row>
    <row r="696" spans="1:5" x14ac:dyDescent="0.25">
      <c r="A696" s="7" t="s">
        <v>495</v>
      </c>
      <c r="B696" s="7" t="s">
        <v>749</v>
      </c>
      <c r="C696" s="7" t="s">
        <v>700</v>
      </c>
      <c r="D696" s="8">
        <f>(D292*inputs!$E$87)/(inputs!$E$31^inputs!E112)</f>
        <v>0</v>
      </c>
      <c r="E696" s="7" t="str">
        <f t="shared" ca="1" si="11"/>
        <v>=(D292*inputs!$E$87)/(inputs!$E$31^inputs!E112)</v>
      </c>
    </row>
    <row r="697" spans="1:5" x14ac:dyDescent="0.25">
      <c r="A697" s="7" t="s">
        <v>495</v>
      </c>
      <c r="B697" s="7" t="s">
        <v>749</v>
      </c>
      <c r="C697" s="7" t="s">
        <v>701</v>
      </c>
      <c r="D697" s="8">
        <f>(D293*inputs!$E$87)/(inputs!$E$31^inputs!E113)</f>
        <v>0</v>
      </c>
      <c r="E697" s="7" t="str">
        <f t="shared" ca="1" si="11"/>
        <v>=(D293*inputs!$E$87)/(inputs!$E$31^inputs!E113)</v>
      </c>
    </row>
    <row r="698" spans="1:5" x14ac:dyDescent="0.25">
      <c r="A698" s="7" t="s">
        <v>495</v>
      </c>
      <c r="B698" s="7" t="s">
        <v>749</v>
      </c>
      <c r="C698" s="7" t="s">
        <v>702</v>
      </c>
      <c r="D698" s="8">
        <f>(D294*inputs!$E$87)/(inputs!$E$31^inputs!E114)</f>
        <v>0</v>
      </c>
      <c r="E698" s="7" t="str">
        <f t="shared" ca="1" si="11"/>
        <v>=(D294*inputs!$E$87)/(inputs!$E$31^inputs!E114)</v>
      </c>
    </row>
    <row r="699" spans="1:5" x14ac:dyDescent="0.25">
      <c r="A699" s="7" t="s">
        <v>495</v>
      </c>
      <c r="B699" s="7" t="s">
        <v>749</v>
      </c>
      <c r="C699" s="7" t="s">
        <v>703</v>
      </c>
      <c r="D699" s="8">
        <f>(D295*inputs!$E$87)/(inputs!$E$31^inputs!E115)</f>
        <v>0</v>
      </c>
      <c r="E699" s="7" t="str">
        <f t="shared" ca="1" si="11"/>
        <v>=(D295*inputs!$E$87)/(inputs!$E$31^inputs!E115)</v>
      </c>
    </row>
    <row r="700" spans="1:5" x14ac:dyDescent="0.25">
      <c r="A700" s="7" t="s">
        <v>495</v>
      </c>
      <c r="B700" s="7" t="s">
        <v>749</v>
      </c>
      <c r="C700" s="7" t="s">
        <v>704</v>
      </c>
      <c r="D700" s="8">
        <f>(D296*inputs!$E$87)/(inputs!$E$31^inputs!E116)</f>
        <v>0</v>
      </c>
      <c r="E700" s="7" t="str">
        <f t="shared" ca="1" si="11"/>
        <v>=(D296*inputs!$E$87)/(inputs!$E$31^inputs!E116)</v>
      </c>
    </row>
    <row r="701" spans="1:5" x14ac:dyDescent="0.25">
      <c r="A701" s="7" t="s">
        <v>495</v>
      </c>
      <c r="B701" s="7" t="s">
        <v>749</v>
      </c>
      <c r="C701" s="7" t="s">
        <v>705</v>
      </c>
      <c r="D701" s="8">
        <f>(D297*inputs!$E$87)/(inputs!$E$31^inputs!E117)</f>
        <v>0</v>
      </c>
      <c r="E701" s="7" t="str">
        <f t="shared" ca="1" si="11"/>
        <v>=(D297*inputs!$E$87)/(inputs!$E$31^inputs!E117)</v>
      </c>
    </row>
    <row r="702" spans="1:5" x14ac:dyDescent="0.25">
      <c r="A702" s="7" t="s">
        <v>495</v>
      </c>
      <c r="B702" s="7" t="s">
        <v>749</v>
      </c>
      <c r="C702" s="7" t="s">
        <v>706</v>
      </c>
      <c r="D702" s="8">
        <f>(D298*inputs!$E$87)/(inputs!$E$31^inputs!E118)</f>
        <v>0</v>
      </c>
      <c r="E702" s="7" t="str">
        <f t="shared" ca="1" si="11"/>
        <v>=(D298*inputs!$E$87)/(inputs!$E$31^inputs!E118)</v>
      </c>
    </row>
    <row r="703" spans="1:5" x14ac:dyDescent="0.25">
      <c r="A703" s="7" t="s">
        <v>495</v>
      </c>
      <c r="B703" s="7" t="s">
        <v>749</v>
      </c>
      <c r="C703" s="7" t="s">
        <v>707</v>
      </c>
      <c r="D703" s="8">
        <f>(D299*inputs!$E$87)/(inputs!$E$31^inputs!E119)</f>
        <v>0</v>
      </c>
      <c r="E703" s="7" t="str">
        <f t="shared" ca="1" si="11"/>
        <v>=(D299*inputs!$E$87)/(inputs!$E$31^inputs!E119)</v>
      </c>
    </row>
    <row r="704" spans="1:5" x14ac:dyDescent="0.25">
      <c r="A704" s="7" t="s">
        <v>495</v>
      </c>
      <c r="B704" s="7" t="s">
        <v>749</v>
      </c>
      <c r="C704" s="7" t="s">
        <v>708</v>
      </c>
      <c r="D704" s="8">
        <f>(D300*inputs!$E$87)/(inputs!$E$31^inputs!E120)</f>
        <v>0</v>
      </c>
      <c r="E704" s="7" t="str">
        <f t="shared" ca="1" si="11"/>
        <v>=(D300*inputs!$E$87)/(inputs!$E$31^inputs!E120)</v>
      </c>
    </row>
    <row r="705" spans="1:5" x14ac:dyDescent="0.25">
      <c r="A705" s="7" t="s">
        <v>495</v>
      </c>
      <c r="B705" s="7" t="s">
        <v>749</v>
      </c>
      <c r="C705" s="7" t="s">
        <v>709</v>
      </c>
      <c r="D705" s="8">
        <f>(D301*inputs!$E$87)/(inputs!$E$31^inputs!E121)</f>
        <v>0</v>
      </c>
      <c r="E705" s="7" t="str">
        <f t="shared" ca="1" si="11"/>
        <v>=(D301*inputs!$E$87)/(inputs!$E$31^inputs!E121)</v>
      </c>
    </row>
    <row r="706" spans="1:5" x14ac:dyDescent="0.25">
      <c r="A706" s="7" t="s">
        <v>495</v>
      </c>
      <c r="B706" s="7" t="s">
        <v>749</v>
      </c>
      <c r="C706" s="7" t="s">
        <v>710</v>
      </c>
      <c r="D706" s="8">
        <f>(D302*inputs!$E$87)/(inputs!$E$31^inputs!E122)</f>
        <v>0</v>
      </c>
      <c r="E706" s="7" t="str">
        <f t="shared" ca="1" si="11"/>
        <v>=(D302*inputs!$E$87)/(inputs!$E$31^inputs!E122)</v>
      </c>
    </row>
    <row r="707" spans="1:5" x14ac:dyDescent="0.25">
      <c r="A707" s="7" t="s">
        <v>495</v>
      </c>
      <c r="B707" s="7" t="s">
        <v>749</v>
      </c>
      <c r="C707" s="7" t="s">
        <v>711</v>
      </c>
      <c r="D707" s="8">
        <f>(D303*inputs!$E$87)/(inputs!$E$31^inputs!E123)</f>
        <v>0</v>
      </c>
      <c r="E707" s="7" t="str">
        <f t="shared" ca="1" si="11"/>
        <v>=(D303*inputs!$E$87)/(inputs!$E$31^inputs!E123)</v>
      </c>
    </row>
    <row r="708" spans="1:5" x14ac:dyDescent="0.25">
      <c r="A708" s="7" t="s">
        <v>495</v>
      </c>
      <c r="B708" s="7" t="s">
        <v>749</v>
      </c>
      <c r="C708" s="7" t="s">
        <v>712</v>
      </c>
      <c r="D708" s="8">
        <f>(D304*inputs!$E$87)/(inputs!$E$31^inputs!E124)</f>
        <v>0</v>
      </c>
      <c r="E708" s="7" t="str">
        <f t="shared" ca="1" si="11"/>
        <v>=(D304*inputs!$E$87)/(inputs!$E$31^inputs!E124)</v>
      </c>
    </row>
    <row r="709" spans="1:5" x14ac:dyDescent="0.25">
      <c r="A709" s="7" t="s">
        <v>495</v>
      </c>
      <c r="B709" s="7" t="s">
        <v>749</v>
      </c>
      <c r="C709" s="7" t="s">
        <v>713</v>
      </c>
      <c r="D709" s="8">
        <f>(D305*inputs!$E$87)/(inputs!$E$31^inputs!E125)</f>
        <v>0</v>
      </c>
      <c r="E709" s="7" t="str">
        <f t="shared" ca="1" si="11"/>
        <v>=(D305*inputs!$E$87)/(inputs!$E$31^inputs!E125)</v>
      </c>
    </row>
    <row r="710" spans="1:5" x14ac:dyDescent="0.25">
      <c r="A710" s="7" t="s">
        <v>495</v>
      </c>
      <c r="B710" s="7" t="s">
        <v>749</v>
      </c>
      <c r="C710" s="7" t="s">
        <v>714</v>
      </c>
      <c r="D710" s="8">
        <f>(D306*inputs!$E$87)/(inputs!$E$31^inputs!E126)</f>
        <v>0</v>
      </c>
      <c r="E710" s="7" t="str">
        <f t="shared" ca="1" si="11"/>
        <v>=(D306*inputs!$E$87)/(inputs!$E$31^inputs!E126)</v>
      </c>
    </row>
    <row r="711" spans="1:5" x14ac:dyDescent="0.25">
      <c r="A711" s="7" t="s">
        <v>495</v>
      </c>
      <c r="B711" s="7" t="s">
        <v>749</v>
      </c>
      <c r="C711" s="7" t="s">
        <v>715</v>
      </c>
      <c r="D711" s="8">
        <f>(D307*inputs!$E$87)/(inputs!$E$31^inputs!E127)</f>
        <v>0</v>
      </c>
      <c r="E711" s="7" t="str">
        <f t="shared" ca="1" si="11"/>
        <v>=(D307*inputs!$E$87)/(inputs!$E$31^inputs!E127)</v>
      </c>
    </row>
    <row r="712" spans="1:5" x14ac:dyDescent="0.25">
      <c r="A712" s="7" t="s">
        <v>495</v>
      </c>
      <c r="B712" s="7" t="s">
        <v>749</v>
      </c>
      <c r="C712" s="7" t="s">
        <v>716</v>
      </c>
      <c r="D712" s="8">
        <f>(D308*inputs!$E$87)/(inputs!$E$31^inputs!E128)</f>
        <v>0</v>
      </c>
      <c r="E712" s="7" t="str">
        <f t="shared" ca="1" si="11"/>
        <v>=(D308*inputs!$E$87)/(inputs!$E$31^inputs!E128)</v>
      </c>
    </row>
    <row r="713" spans="1:5" x14ac:dyDescent="0.25">
      <c r="A713" s="7" t="s">
        <v>495</v>
      </c>
      <c r="B713" s="7" t="s">
        <v>749</v>
      </c>
      <c r="C713" s="7" t="s">
        <v>717</v>
      </c>
      <c r="D713" s="8">
        <f>(D309*inputs!$E$87)/(inputs!$E$31^inputs!E129)</f>
        <v>0</v>
      </c>
      <c r="E713" s="7" t="str">
        <f t="shared" ca="1" si="11"/>
        <v>=(D309*inputs!$E$87)/(inputs!$E$31^inputs!E129)</v>
      </c>
    </row>
    <row r="714" spans="1:5" x14ac:dyDescent="0.25">
      <c r="A714" s="7" t="s">
        <v>495</v>
      </c>
      <c r="B714" s="7" t="s">
        <v>749</v>
      </c>
      <c r="C714" s="7" t="s">
        <v>718</v>
      </c>
      <c r="D714" s="8">
        <f>(D310*inputs!$E$87)/(inputs!$E$31^inputs!E130)</f>
        <v>0</v>
      </c>
      <c r="E714" s="7" t="str">
        <f t="shared" ca="1" si="11"/>
        <v>=(D310*inputs!$E$87)/(inputs!$E$31^inputs!E130)</v>
      </c>
    </row>
    <row r="715" spans="1:5" x14ac:dyDescent="0.25">
      <c r="A715" s="7" t="s">
        <v>495</v>
      </c>
      <c r="B715" s="7" t="s">
        <v>749</v>
      </c>
      <c r="C715" s="7" t="s">
        <v>719</v>
      </c>
      <c r="D715" s="8">
        <f>(D311*inputs!$E$87)/(inputs!$E$31^inputs!E131)</f>
        <v>0</v>
      </c>
      <c r="E715" s="7" t="str">
        <f t="shared" ca="1" si="11"/>
        <v>=(D311*inputs!$E$87)/(inputs!$E$31^inputs!E131)</v>
      </c>
    </row>
    <row r="716" spans="1:5" x14ac:dyDescent="0.25">
      <c r="A716" s="7" t="s">
        <v>495</v>
      </c>
      <c r="B716" s="7" t="s">
        <v>749</v>
      </c>
      <c r="C716" s="7" t="s">
        <v>720</v>
      </c>
      <c r="D716" s="8">
        <f>(D312*inputs!$E$87)/(inputs!$E$31^inputs!E132)</f>
        <v>0</v>
      </c>
      <c r="E716" s="7" t="str">
        <f t="shared" ca="1" si="11"/>
        <v>=(D312*inputs!$E$87)/(inputs!$E$31^inputs!E132)</v>
      </c>
    </row>
    <row r="717" spans="1:5" x14ac:dyDescent="0.25">
      <c r="A717" s="7" t="s">
        <v>495</v>
      </c>
      <c r="B717" s="7" t="s">
        <v>749</v>
      </c>
      <c r="C717" s="7" t="s">
        <v>721</v>
      </c>
      <c r="D717" s="8">
        <f>(D313*inputs!$E$87)/(inputs!$E$31^inputs!E133)</f>
        <v>0</v>
      </c>
      <c r="E717" s="7" t="str">
        <f t="shared" ca="1" si="11"/>
        <v>=(D313*inputs!$E$87)/(inputs!$E$31^inputs!E133)</v>
      </c>
    </row>
    <row r="718" spans="1:5" x14ac:dyDescent="0.25">
      <c r="A718" s="7" t="s">
        <v>495</v>
      </c>
      <c r="B718" s="7" t="s">
        <v>749</v>
      </c>
      <c r="C718" s="7" t="s">
        <v>722</v>
      </c>
      <c r="D718" s="8">
        <f>(D314*inputs!$E$87)/(inputs!$E$31^inputs!E134)</f>
        <v>0</v>
      </c>
      <c r="E718" s="7" t="str">
        <f t="shared" ca="1" si="11"/>
        <v>=(D314*inputs!$E$87)/(inputs!$E$31^inputs!E134)</v>
      </c>
    </row>
    <row r="719" spans="1:5" x14ac:dyDescent="0.25">
      <c r="A719" s="7" t="s">
        <v>495</v>
      </c>
      <c r="B719" s="7" t="s">
        <v>749</v>
      </c>
      <c r="C719" s="7" t="s">
        <v>723</v>
      </c>
      <c r="D719" s="8">
        <f>(D315*inputs!$E$87)/(inputs!$E$31^inputs!E135)</f>
        <v>0</v>
      </c>
      <c r="E719" s="7" t="str">
        <f t="shared" ca="1" si="11"/>
        <v>=(D315*inputs!$E$87)/(inputs!$E$31^inputs!E135)</v>
      </c>
    </row>
    <row r="720" spans="1:5" x14ac:dyDescent="0.25">
      <c r="A720" s="7" t="s">
        <v>495</v>
      </c>
      <c r="B720" s="7" t="s">
        <v>749</v>
      </c>
      <c r="C720" s="7" t="s">
        <v>724</v>
      </c>
      <c r="D720" s="8">
        <f>(D330*inputs!$E$87)/(inputs!$E$31^inputs!E111)</f>
        <v>0</v>
      </c>
      <c r="E720" s="7" t="str">
        <f t="shared" ca="1" si="11"/>
        <v>=(D330*inputs!$E$87)/(inputs!$E$31^inputs!E111)</v>
      </c>
    </row>
    <row r="721" spans="1:5" x14ac:dyDescent="0.25">
      <c r="A721" s="7" t="s">
        <v>495</v>
      </c>
      <c r="B721" s="7" t="s">
        <v>749</v>
      </c>
      <c r="C721" s="7" t="s">
        <v>725</v>
      </c>
      <c r="D721" s="8">
        <f>(D331*inputs!$E$87)/(inputs!$E$31^inputs!E112)</f>
        <v>0</v>
      </c>
      <c r="E721" s="7" t="str">
        <f t="shared" ca="1" si="11"/>
        <v>=(D331*inputs!$E$87)/(inputs!$E$31^inputs!E112)</v>
      </c>
    </row>
    <row r="722" spans="1:5" x14ac:dyDescent="0.25">
      <c r="A722" s="7" t="s">
        <v>495</v>
      </c>
      <c r="B722" s="7" t="s">
        <v>749</v>
      </c>
      <c r="C722" s="7" t="s">
        <v>726</v>
      </c>
      <c r="D722" s="8">
        <f>(D332*inputs!$E$87)/(inputs!$E$31^inputs!E113)</f>
        <v>0</v>
      </c>
      <c r="E722" s="7" t="str">
        <f t="shared" ca="1" si="11"/>
        <v>=(D332*inputs!$E$87)/(inputs!$E$31^inputs!E113)</v>
      </c>
    </row>
    <row r="723" spans="1:5" x14ac:dyDescent="0.25">
      <c r="A723" s="7" t="s">
        <v>495</v>
      </c>
      <c r="B723" s="7" t="s">
        <v>749</v>
      </c>
      <c r="C723" s="7" t="s">
        <v>727</v>
      </c>
      <c r="D723" s="8">
        <f>(D333*inputs!$E$87)/(inputs!$E$31^inputs!E114)</f>
        <v>0</v>
      </c>
      <c r="E723" s="7" t="str">
        <f t="shared" ca="1" si="11"/>
        <v>=(D333*inputs!$E$87)/(inputs!$E$31^inputs!E114)</v>
      </c>
    </row>
    <row r="724" spans="1:5" x14ac:dyDescent="0.25">
      <c r="A724" s="7" t="s">
        <v>495</v>
      </c>
      <c r="B724" s="7" t="s">
        <v>749</v>
      </c>
      <c r="C724" s="7" t="s">
        <v>728</v>
      </c>
      <c r="D724" s="8">
        <f>(D334*inputs!$E$87)/(inputs!$E$31^inputs!E115)</f>
        <v>0</v>
      </c>
      <c r="E724" s="7" t="str">
        <f t="shared" ca="1" si="11"/>
        <v>=(D334*inputs!$E$87)/(inputs!$E$31^inputs!E115)</v>
      </c>
    </row>
    <row r="725" spans="1:5" x14ac:dyDescent="0.25">
      <c r="A725" s="7" t="s">
        <v>495</v>
      </c>
      <c r="B725" s="7" t="s">
        <v>749</v>
      </c>
      <c r="C725" s="7" t="s">
        <v>729</v>
      </c>
      <c r="D725" s="8">
        <f>(D335*inputs!$E$87)/(inputs!$E$31^inputs!E116)</f>
        <v>0</v>
      </c>
      <c r="E725" s="7" t="str">
        <f t="shared" ca="1" si="11"/>
        <v>=(D335*inputs!$E$87)/(inputs!$E$31^inputs!E116)</v>
      </c>
    </row>
    <row r="726" spans="1:5" x14ac:dyDescent="0.25">
      <c r="A726" s="7" t="s">
        <v>495</v>
      </c>
      <c r="B726" s="7" t="s">
        <v>749</v>
      </c>
      <c r="C726" s="7" t="s">
        <v>730</v>
      </c>
      <c r="D726" s="8">
        <f>(D336*inputs!$E$87)/(inputs!$E$31^inputs!E117)</f>
        <v>0</v>
      </c>
      <c r="E726" s="7" t="str">
        <f t="shared" ca="1" si="11"/>
        <v>=(D336*inputs!$E$87)/(inputs!$E$31^inputs!E117)</v>
      </c>
    </row>
    <row r="727" spans="1:5" x14ac:dyDescent="0.25">
      <c r="A727" s="7" t="s">
        <v>495</v>
      </c>
      <c r="B727" s="7" t="s">
        <v>749</v>
      </c>
      <c r="C727" s="7" t="s">
        <v>731</v>
      </c>
      <c r="D727" s="8">
        <f>(D337*inputs!$E$87)/(inputs!$E$31^inputs!E118)</f>
        <v>0</v>
      </c>
      <c r="E727" s="7" t="str">
        <f t="shared" ca="1" si="11"/>
        <v>=(D337*inputs!$E$87)/(inputs!$E$31^inputs!E118)</v>
      </c>
    </row>
    <row r="728" spans="1:5" x14ac:dyDescent="0.25">
      <c r="A728" s="7" t="s">
        <v>495</v>
      </c>
      <c r="B728" s="7" t="s">
        <v>749</v>
      </c>
      <c r="C728" s="7" t="s">
        <v>732</v>
      </c>
      <c r="D728" s="8">
        <f>(D338*inputs!$E$87)/(inputs!$E$31^inputs!E119)</f>
        <v>0</v>
      </c>
      <c r="E728" s="7" t="str">
        <f t="shared" ca="1" si="11"/>
        <v>=(D338*inputs!$E$87)/(inputs!$E$31^inputs!E119)</v>
      </c>
    </row>
    <row r="729" spans="1:5" x14ac:dyDescent="0.25">
      <c r="A729" s="7" t="s">
        <v>495</v>
      </c>
      <c r="B729" s="7" t="s">
        <v>749</v>
      </c>
      <c r="C729" s="7" t="s">
        <v>733</v>
      </c>
      <c r="D729" s="8">
        <f>(D339*inputs!$E$87)/(inputs!$E$31^inputs!E120)</f>
        <v>0</v>
      </c>
      <c r="E729" s="7" t="str">
        <f t="shared" ca="1" si="11"/>
        <v>=(D339*inputs!$E$87)/(inputs!$E$31^inputs!E120)</v>
      </c>
    </row>
    <row r="730" spans="1:5" x14ac:dyDescent="0.25">
      <c r="A730" s="7" t="s">
        <v>495</v>
      </c>
      <c r="B730" s="7" t="s">
        <v>749</v>
      </c>
      <c r="C730" s="7" t="s">
        <v>734</v>
      </c>
      <c r="D730" s="8">
        <f>(D340*inputs!$E$87)/(inputs!$E$31^inputs!E121)</f>
        <v>0</v>
      </c>
      <c r="E730" s="7" t="str">
        <f t="shared" ca="1" si="11"/>
        <v>=(D340*inputs!$E$87)/(inputs!$E$31^inputs!E121)</v>
      </c>
    </row>
    <row r="731" spans="1:5" x14ac:dyDescent="0.25">
      <c r="A731" s="7" t="s">
        <v>495</v>
      </c>
      <c r="B731" s="7" t="s">
        <v>749</v>
      </c>
      <c r="C731" s="7" t="s">
        <v>735</v>
      </c>
      <c r="D731" s="8">
        <f>(D341*inputs!$E$87)/(inputs!$E$31^inputs!E122)</f>
        <v>0</v>
      </c>
      <c r="E731" s="7" t="str">
        <f t="shared" ca="1" si="11"/>
        <v>=(D341*inputs!$E$87)/(inputs!$E$31^inputs!E122)</v>
      </c>
    </row>
    <row r="732" spans="1:5" x14ac:dyDescent="0.25">
      <c r="A732" s="7" t="s">
        <v>495</v>
      </c>
      <c r="B732" s="7" t="s">
        <v>749</v>
      </c>
      <c r="C732" s="7" t="s">
        <v>736</v>
      </c>
      <c r="D732" s="8">
        <f>(D342*inputs!$E$87)/(inputs!$E$31^inputs!E123)</f>
        <v>0</v>
      </c>
      <c r="E732" s="7" t="str">
        <f t="shared" ca="1" si="11"/>
        <v>=(D342*inputs!$E$87)/(inputs!$E$31^inputs!E123)</v>
      </c>
    </row>
    <row r="733" spans="1:5" x14ac:dyDescent="0.25">
      <c r="A733" s="7" t="s">
        <v>495</v>
      </c>
      <c r="B733" s="7" t="s">
        <v>749</v>
      </c>
      <c r="C733" s="7" t="s">
        <v>737</v>
      </c>
      <c r="D733" s="8">
        <f>(D343*inputs!$E$87)/(inputs!$E$31^inputs!E124)</f>
        <v>0</v>
      </c>
      <c r="E733" s="7" t="str">
        <f t="shared" ca="1" si="11"/>
        <v>=(D343*inputs!$E$87)/(inputs!$E$31^inputs!E124)</v>
      </c>
    </row>
    <row r="734" spans="1:5" x14ac:dyDescent="0.25">
      <c r="A734" s="7" t="s">
        <v>495</v>
      </c>
      <c r="B734" s="7" t="s">
        <v>749</v>
      </c>
      <c r="C734" s="7" t="s">
        <v>738</v>
      </c>
      <c r="D734" s="8">
        <f>(D344*inputs!$E$87)/(inputs!$E$31^inputs!E125)</f>
        <v>0</v>
      </c>
      <c r="E734" s="7" t="str">
        <f t="shared" ca="1" si="11"/>
        <v>=(D344*inputs!$E$87)/(inputs!$E$31^inputs!E125)</v>
      </c>
    </row>
    <row r="735" spans="1:5" x14ac:dyDescent="0.25">
      <c r="A735" s="7" t="s">
        <v>495</v>
      </c>
      <c r="B735" s="7" t="s">
        <v>749</v>
      </c>
      <c r="C735" s="7" t="s">
        <v>739</v>
      </c>
      <c r="D735" s="8">
        <f>(D345*inputs!$E$87)/(inputs!$E$31^inputs!E126)</f>
        <v>0</v>
      </c>
      <c r="E735" s="7" t="str">
        <f t="shared" ca="1" si="11"/>
        <v>=(D345*inputs!$E$87)/(inputs!$E$31^inputs!E126)</v>
      </c>
    </row>
    <row r="736" spans="1:5" x14ac:dyDescent="0.25">
      <c r="A736" s="7" t="s">
        <v>495</v>
      </c>
      <c r="B736" s="7" t="s">
        <v>749</v>
      </c>
      <c r="C736" s="7" t="s">
        <v>740</v>
      </c>
      <c r="D736" s="8">
        <f>(D346*inputs!$E$87)/(inputs!$E$31^inputs!E127)</f>
        <v>0</v>
      </c>
      <c r="E736" s="7" t="str">
        <f t="shared" ca="1" si="11"/>
        <v>=(D346*inputs!$E$87)/(inputs!$E$31^inputs!E127)</v>
      </c>
    </row>
    <row r="737" spans="1:5" x14ac:dyDescent="0.25">
      <c r="A737" s="7" t="s">
        <v>495</v>
      </c>
      <c r="B737" s="7" t="s">
        <v>749</v>
      </c>
      <c r="C737" s="7" t="s">
        <v>741</v>
      </c>
      <c r="D737" s="8">
        <f>(D347*inputs!$E$87)/(inputs!$E$31^inputs!E128)</f>
        <v>0</v>
      </c>
      <c r="E737" s="7" t="str">
        <f t="shared" ca="1" si="11"/>
        <v>=(D347*inputs!$E$87)/(inputs!$E$31^inputs!E128)</v>
      </c>
    </row>
    <row r="738" spans="1:5" x14ac:dyDescent="0.25">
      <c r="A738" s="7" t="s">
        <v>495</v>
      </c>
      <c r="B738" s="7" t="s">
        <v>749</v>
      </c>
      <c r="C738" s="7" t="s">
        <v>742</v>
      </c>
      <c r="D738" s="8">
        <f>(D348*inputs!$E$87)/(inputs!$E$31^inputs!E129)</f>
        <v>0</v>
      </c>
      <c r="E738" s="7" t="str">
        <f t="shared" ca="1" si="11"/>
        <v>=(D348*inputs!$E$87)/(inputs!$E$31^inputs!E129)</v>
      </c>
    </row>
    <row r="739" spans="1:5" x14ac:dyDescent="0.25">
      <c r="A739" s="7" t="s">
        <v>495</v>
      </c>
      <c r="B739" s="7" t="s">
        <v>749</v>
      </c>
      <c r="C739" s="7" t="s">
        <v>743</v>
      </c>
      <c r="D739" s="8">
        <f>(D349*inputs!$E$87)/(inputs!$E$31^inputs!E130)</f>
        <v>0</v>
      </c>
      <c r="E739" s="7" t="str">
        <f t="shared" ca="1" si="11"/>
        <v>=(D349*inputs!$E$87)/(inputs!$E$31^inputs!E130)</v>
      </c>
    </row>
    <row r="740" spans="1:5" x14ac:dyDescent="0.25">
      <c r="A740" s="7" t="s">
        <v>495</v>
      </c>
      <c r="B740" s="7" t="s">
        <v>749</v>
      </c>
      <c r="C740" s="7" t="s">
        <v>744</v>
      </c>
      <c r="D740" s="8">
        <f>(D350*inputs!$E$87)/(inputs!$E$31^inputs!E131)</f>
        <v>0</v>
      </c>
      <c r="E740" s="7" t="str">
        <f t="shared" ca="1" si="11"/>
        <v>=(D350*inputs!$E$87)/(inputs!$E$31^inputs!E131)</v>
      </c>
    </row>
    <row r="741" spans="1:5" x14ac:dyDescent="0.25">
      <c r="A741" s="7" t="s">
        <v>495</v>
      </c>
      <c r="B741" s="7" t="s">
        <v>749</v>
      </c>
      <c r="C741" s="7" t="s">
        <v>745</v>
      </c>
      <c r="D741" s="8">
        <f>(D351*inputs!$E$87)/(inputs!$E$31^inputs!E132)</f>
        <v>0</v>
      </c>
      <c r="E741" s="7" t="str">
        <f t="shared" ca="1" si="11"/>
        <v>=(D351*inputs!$E$87)/(inputs!$E$31^inputs!E132)</v>
      </c>
    </row>
    <row r="742" spans="1:5" x14ac:dyDescent="0.25">
      <c r="A742" s="7" t="s">
        <v>495</v>
      </c>
      <c r="B742" s="7" t="s">
        <v>749</v>
      </c>
      <c r="C742" s="7" t="s">
        <v>746</v>
      </c>
      <c r="D742" s="8">
        <f>(D352*inputs!$E$87)/(inputs!$E$31^inputs!E133)</f>
        <v>0</v>
      </c>
      <c r="E742" s="7" t="str">
        <f t="shared" ca="1" si="11"/>
        <v>=(D352*inputs!$E$87)/(inputs!$E$31^inputs!E133)</v>
      </c>
    </row>
    <row r="743" spans="1:5" x14ac:dyDescent="0.25">
      <c r="A743" s="7" t="s">
        <v>495</v>
      </c>
      <c r="B743" s="7" t="s">
        <v>749</v>
      </c>
      <c r="C743" s="7" t="s">
        <v>747</v>
      </c>
      <c r="D743" s="8">
        <f>(D353*inputs!$E$87)/(inputs!$E$31^inputs!E134)</f>
        <v>0</v>
      </c>
      <c r="E743" s="7" t="str">
        <f t="shared" ca="1" si="11"/>
        <v>=(D353*inputs!$E$87)/(inputs!$E$31^inputs!E134)</v>
      </c>
    </row>
    <row r="744" spans="1:5" x14ac:dyDescent="0.25">
      <c r="A744" s="7" t="s">
        <v>495</v>
      </c>
      <c r="B744" s="7" t="s">
        <v>749</v>
      </c>
      <c r="C744" s="7" t="s">
        <v>748</v>
      </c>
      <c r="D744" s="8">
        <f>(D354*inputs!$E$87)/(inputs!$E$31^inputs!E135)</f>
        <v>0</v>
      </c>
      <c r="E744" s="7" t="str">
        <f t="shared" ca="1" si="11"/>
        <v>=(D354*inputs!$E$87)/(inputs!$E$31^inputs!E135)</v>
      </c>
    </row>
    <row r="745" spans="1:5" x14ac:dyDescent="0.25">
      <c r="A745" s="7" t="s">
        <v>495</v>
      </c>
      <c r="B745" s="7" t="s">
        <v>750</v>
      </c>
      <c r="C745" s="7" t="s">
        <v>665</v>
      </c>
      <c r="D745" s="8">
        <f>D149*inputs!E89</f>
        <v>16308821.680187535</v>
      </c>
      <c r="E745" s="7" t="str">
        <f t="shared" ca="1" si="11"/>
        <v>=D149*inputs!E89</v>
      </c>
    </row>
    <row r="746" spans="1:5" x14ac:dyDescent="0.25">
      <c r="A746" s="7" t="s">
        <v>495</v>
      </c>
      <c r="B746" s="7" t="s">
        <v>750</v>
      </c>
      <c r="C746" s="7" t="s">
        <v>666</v>
      </c>
      <c r="D746" s="8">
        <f>D150*inputs!E90</f>
        <v>9503594.4773476571</v>
      </c>
      <c r="E746" s="7" t="str">
        <f t="shared" ca="1" si="11"/>
        <v>=D150*inputs!E90</v>
      </c>
    </row>
    <row r="747" spans="1:5" x14ac:dyDescent="0.25">
      <c r="A747" s="7" t="s">
        <v>495</v>
      </c>
      <c r="B747" s="7" t="s">
        <v>750</v>
      </c>
      <c r="C747" s="7" t="s">
        <v>667</v>
      </c>
      <c r="D747" s="8">
        <f>D152*inputs!E91</f>
        <v>0</v>
      </c>
      <c r="E747" s="7" t="str">
        <f t="shared" ca="1" si="11"/>
        <v>=D152*inputs!E91</v>
      </c>
    </row>
    <row r="748" spans="1:5" x14ac:dyDescent="0.25">
      <c r="A748" s="7" t="s">
        <v>495</v>
      </c>
      <c r="B748" s="7" t="s">
        <v>750</v>
      </c>
      <c r="C748" s="7" t="s">
        <v>668</v>
      </c>
      <c r="D748" s="8">
        <f>D153*inputs!E92</f>
        <v>0</v>
      </c>
      <c r="E748" s="7" t="str">
        <f t="shared" ca="1" si="11"/>
        <v>=D153*inputs!E92</v>
      </c>
    </row>
    <row r="749" spans="1:5" x14ac:dyDescent="0.25">
      <c r="A749" s="7" t="s">
        <v>495</v>
      </c>
      <c r="B749" s="7" t="s">
        <v>750</v>
      </c>
      <c r="C749" s="7" t="s">
        <v>669</v>
      </c>
      <c r="D749" s="8">
        <f>D154*inputs!E93</f>
        <v>0</v>
      </c>
      <c r="E749" s="7" t="str">
        <f t="shared" ca="1" si="11"/>
        <v>=D154*inputs!E93</v>
      </c>
    </row>
    <row r="750" spans="1:5" x14ac:dyDescent="0.25">
      <c r="A750" s="7" t="s">
        <v>495</v>
      </c>
      <c r="B750" s="7" t="s">
        <v>750</v>
      </c>
      <c r="C750" s="7" t="s">
        <v>672</v>
      </c>
      <c r="D750" s="8">
        <f>D155*inputs!E94</f>
        <v>32626546.958244383</v>
      </c>
      <c r="E750" s="7" t="str">
        <f t="shared" ca="1" si="11"/>
        <v>=D155*inputs!E94</v>
      </c>
    </row>
    <row r="751" spans="1:5" x14ac:dyDescent="0.25">
      <c r="A751" s="7" t="s">
        <v>495</v>
      </c>
      <c r="B751" s="7" t="s">
        <v>750</v>
      </c>
      <c r="C751" s="7" t="s">
        <v>673</v>
      </c>
      <c r="D751" s="8">
        <f>D156*inputs!E95</f>
        <v>0</v>
      </c>
      <c r="E751" s="7" t="str">
        <f t="shared" ca="1" si="11"/>
        <v>=D156*inputs!E95</v>
      </c>
    </row>
    <row r="752" spans="1:5" x14ac:dyDescent="0.25">
      <c r="A752" s="7"/>
      <c r="B752" s="7"/>
      <c r="C752" s="7"/>
      <c r="D752" s="8"/>
      <c r="E752" s="7"/>
    </row>
    <row r="753" spans="1:5" x14ac:dyDescent="0.25">
      <c r="A753" s="7"/>
      <c r="B753" s="7"/>
      <c r="C753" s="7"/>
      <c r="D753" s="8"/>
      <c r="E753" s="7"/>
    </row>
    <row r="754" spans="1:5" x14ac:dyDescent="0.25">
      <c r="A754" s="7"/>
      <c r="B754" s="7"/>
      <c r="C754" s="7"/>
      <c r="D754" s="8"/>
      <c r="E754" s="7"/>
    </row>
    <row r="755" spans="1:5" x14ac:dyDescent="0.25">
      <c r="A755" s="7"/>
      <c r="B755" s="7"/>
      <c r="C755" s="7"/>
      <c r="D755" s="8"/>
      <c r="E755" s="7"/>
    </row>
    <row r="756" spans="1:5" x14ac:dyDescent="0.25">
      <c r="A756" s="7"/>
      <c r="B756" s="7"/>
      <c r="C756" s="7"/>
      <c r="D756" s="8"/>
      <c r="E756" s="7"/>
    </row>
    <row r="757" spans="1:5" x14ac:dyDescent="0.25">
      <c r="A757" s="7"/>
      <c r="B757" s="7"/>
      <c r="C757" s="7"/>
      <c r="D757" s="8"/>
      <c r="E757" s="7"/>
    </row>
    <row r="758" spans="1:5" x14ac:dyDescent="0.25">
      <c r="A758" s="7"/>
      <c r="B758" s="7"/>
      <c r="C758" s="7"/>
      <c r="D758" s="8"/>
      <c r="E758" s="7"/>
    </row>
    <row r="759" spans="1:5" x14ac:dyDescent="0.25">
      <c r="A759" s="7"/>
      <c r="B759" s="7"/>
      <c r="C759" s="7"/>
      <c r="D759" s="8"/>
      <c r="E759" s="7"/>
    </row>
    <row r="760" spans="1:5" x14ac:dyDescent="0.25">
      <c r="A760" s="7"/>
      <c r="B760" s="7"/>
      <c r="C760" s="7"/>
      <c r="D760" s="8"/>
      <c r="E760" s="7"/>
    </row>
    <row r="761" spans="1:5" x14ac:dyDescent="0.25">
      <c r="A761" s="7"/>
      <c r="B761" s="7"/>
      <c r="C761" s="7"/>
      <c r="D761" s="8"/>
      <c r="E761" s="7"/>
    </row>
    <row r="762" spans="1:5" x14ac:dyDescent="0.25">
      <c r="A762" s="7"/>
      <c r="B762" s="7"/>
      <c r="C762" s="7"/>
      <c r="D762" s="8"/>
      <c r="E762" s="7"/>
    </row>
    <row r="763" spans="1:5" x14ac:dyDescent="0.25">
      <c r="A763" s="7"/>
      <c r="B763" s="7"/>
      <c r="C763" s="7"/>
      <c r="D763" s="8"/>
      <c r="E763" s="7"/>
    </row>
    <row r="764" spans="1:5" x14ac:dyDescent="0.25">
      <c r="A764" s="7"/>
      <c r="B764" s="7"/>
      <c r="C764" s="7"/>
      <c r="D764" s="8"/>
      <c r="E764" s="7"/>
    </row>
    <row r="765" spans="1:5" x14ac:dyDescent="0.25">
      <c r="A765" s="7"/>
      <c r="B765" s="7"/>
      <c r="C765" s="7"/>
      <c r="D765" s="8"/>
      <c r="E765" s="7"/>
    </row>
    <row r="766" spans="1:5" x14ac:dyDescent="0.25">
      <c r="A766" s="7"/>
      <c r="B766" s="7"/>
      <c r="C766" s="7"/>
      <c r="D766" s="8"/>
      <c r="E766" s="7"/>
    </row>
    <row r="767" spans="1:5" x14ac:dyDescent="0.25">
      <c r="A767" s="7"/>
      <c r="B767" s="7"/>
      <c r="C767" s="7"/>
      <c r="D767" s="8"/>
      <c r="E767" s="7"/>
    </row>
    <row r="768" spans="1:5" x14ac:dyDescent="0.25">
      <c r="A768" s="7"/>
      <c r="B768" s="7"/>
      <c r="C768" s="7"/>
      <c r="D768" s="8"/>
      <c r="E768" s="7"/>
    </row>
    <row r="769" spans="1:5" x14ac:dyDescent="0.25">
      <c r="A769" s="7"/>
      <c r="B769" s="7"/>
      <c r="C769" s="7"/>
      <c r="D769" s="8"/>
      <c r="E769" s="7"/>
    </row>
    <row r="770" spans="1:5" x14ac:dyDescent="0.25">
      <c r="A770" s="7"/>
      <c r="B770" s="7"/>
      <c r="C770" s="7"/>
      <c r="D770" s="8"/>
      <c r="E770" s="7"/>
    </row>
    <row r="771" spans="1:5" x14ac:dyDescent="0.25">
      <c r="A771" s="7"/>
      <c r="B771" s="7"/>
      <c r="C771" s="7"/>
      <c r="D771" s="8"/>
      <c r="E771" s="7"/>
    </row>
    <row r="772" spans="1:5" x14ac:dyDescent="0.25">
      <c r="A772" s="7"/>
      <c r="B772" s="7"/>
      <c r="C772" s="7"/>
      <c r="D772" s="8"/>
      <c r="E772" s="7"/>
    </row>
    <row r="773" spans="1:5" x14ac:dyDescent="0.25">
      <c r="A773" s="7"/>
      <c r="B773" s="7"/>
      <c r="C773" s="7"/>
      <c r="D773" s="8"/>
      <c r="E773" s="7"/>
    </row>
    <row r="774" spans="1:5" x14ac:dyDescent="0.25">
      <c r="A774" s="7"/>
      <c r="B774" s="7"/>
      <c r="C774" s="7"/>
      <c r="D774" s="8"/>
      <c r="E774" s="7"/>
    </row>
    <row r="775" spans="1:5" x14ac:dyDescent="0.25">
      <c r="A775" s="7"/>
      <c r="B775" s="7"/>
      <c r="C775" s="7"/>
      <c r="D775" s="8"/>
      <c r="E775" s="7"/>
    </row>
    <row r="776" spans="1:5" x14ac:dyDescent="0.25">
      <c r="A776" s="7"/>
      <c r="B776" s="7"/>
      <c r="C776" s="7"/>
      <c r="D776" s="8"/>
      <c r="E776" s="7"/>
    </row>
    <row r="777" spans="1:5" x14ac:dyDescent="0.25">
      <c r="A777" s="7"/>
      <c r="B777" s="7"/>
      <c r="C777" s="7"/>
      <c r="D777" s="8"/>
      <c r="E777" s="7"/>
    </row>
    <row r="778" spans="1:5" x14ac:dyDescent="0.25">
      <c r="A778" s="7"/>
      <c r="B778" s="7"/>
      <c r="C778" s="7"/>
      <c r="D778" s="8"/>
      <c r="E778" s="7"/>
    </row>
    <row r="779" spans="1:5" x14ac:dyDescent="0.25">
      <c r="A779" s="7"/>
      <c r="B779" s="7"/>
      <c r="C779" s="7"/>
      <c r="D779" s="8"/>
      <c r="E779" s="7"/>
    </row>
    <row r="780" spans="1:5" x14ac:dyDescent="0.25">
      <c r="A780" s="7"/>
      <c r="B780" s="7"/>
      <c r="C780" s="7"/>
      <c r="D780" s="8"/>
      <c r="E780" s="7"/>
    </row>
    <row r="781" spans="1:5" x14ac:dyDescent="0.25">
      <c r="A781" s="7"/>
      <c r="B781" s="7"/>
      <c r="C781" s="7"/>
      <c r="D781" s="8"/>
      <c r="E781" s="7"/>
    </row>
    <row r="782" spans="1:5" x14ac:dyDescent="0.25">
      <c r="A782" s="7"/>
      <c r="B782" s="7"/>
      <c r="C782" s="7"/>
      <c r="D782" s="8"/>
      <c r="E782" s="7"/>
    </row>
    <row r="783" spans="1:5" x14ac:dyDescent="0.25">
      <c r="A783" s="7"/>
      <c r="B783" s="7"/>
      <c r="C783" s="7"/>
      <c r="D783" s="8"/>
      <c r="E783" s="7"/>
    </row>
    <row r="784" spans="1:5" x14ac:dyDescent="0.25">
      <c r="A784" s="7"/>
      <c r="B784" s="7"/>
      <c r="C784" s="7"/>
      <c r="D784" s="8"/>
      <c r="E784" s="7"/>
    </row>
    <row r="785" spans="1:5" x14ac:dyDescent="0.25">
      <c r="A785" s="7"/>
      <c r="B785" s="7"/>
      <c r="C785" s="7"/>
      <c r="D785" s="8"/>
      <c r="E785" s="7"/>
    </row>
    <row r="786" spans="1:5" x14ac:dyDescent="0.25">
      <c r="A786" s="7"/>
      <c r="B786" s="7"/>
      <c r="C786" s="7"/>
      <c r="D786" s="8"/>
      <c r="E786" s="7"/>
    </row>
    <row r="787" spans="1:5" x14ac:dyDescent="0.25">
      <c r="A787" s="7"/>
      <c r="B787" s="7"/>
      <c r="C787" s="7"/>
      <c r="D787" s="8"/>
      <c r="E787" s="7"/>
    </row>
    <row r="788" spans="1:5" x14ac:dyDescent="0.25">
      <c r="A788" s="7"/>
      <c r="B788" s="7"/>
      <c r="C788" s="7"/>
      <c r="D788" s="8"/>
      <c r="E788" s="7"/>
    </row>
    <row r="789" spans="1:5" x14ac:dyDescent="0.25">
      <c r="A789" s="7"/>
      <c r="B789" s="7"/>
      <c r="C789" s="7"/>
      <c r="D789" s="8"/>
      <c r="E789" s="7"/>
    </row>
    <row r="790" spans="1:5" x14ac:dyDescent="0.25">
      <c r="A790" s="7"/>
      <c r="B790" s="7"/>
      <c r="C790" s="7"/>
      <c r="D790" s="8"/>
      <c r="E790" s="7"/>
    </row>
    <row r="791" spans="1:5" x14ac:dyDescent="0.25">
      <c r="A791" s="7"/>
      <c r="B791" s="7"/>
      <c r="C791" s="7"/>
      <c r="D791" s="8"/>
      <c r="E791" s="7"/>
    </row>
    <row r="792" spans="1:5" x14ac:dyDescent="0.25">
      <c r="A792" s="7"/>
      <c r="B792" s="7"/>
      <c r="C792" s="7"/>
      <c r="D792" s="8"/>
      <c r="E792" s="7"/>
    </row>
    <row r="793" spans="1:5" x14ac:dyDescent="0.25">
      <c r="A793" s="7"/>
      <c r="B793" s="7"/>
      <c r="C793" s="7"/>
      <c r="D793" s="8"/>
      <c r="E793" s="7"/>
    </row>
    <row r="794" spans="1:5" x14ac:dyDescent="0.25">
      <c r="A794" s="7"/>
      <c r="B794" s="7"/>
      <c r="C794" s="7"/>
      <c r="D794" s="8"/>
      <c r="E794" s="7"/>
    </row>
    <row r="795" spans="1:5" x14ac:dyDescent="0.25">
      <c r="A795" s="7"/>
      <c r="B795" s="7"/>
      <c r="C795" s="7"/>
      <c r="D795" s="8"/>
      <c r="E795" s="7"/>
    </row>
    <row r="796" spans="1:5" x14ac:dyDescent="0.25">
      <c r="A796" s="7"/>
      <c r="B796" s="7"/>
      <c r="C796" s="7"/>
      <c r="D796" s="8"/>
      <c r="E796" s="7"/>
    </row>
    <row r="797" spans="1:5" x14ac:dyDescent="0.25">
      <c r="A797" s="7"/>
      <c r="B797" s="7"/>
      <c r="C797" s="7"/>
      <c r="D797" s="8"/>
      <c r="E797" s="7"/>
    </row>
    <row r="798" spans="1:5" x14ac:dyDescent="0.25">
      <c r="A798" s="7"/>
      <c r="B798" s="7"/>
      <c r="C798" s="7"/>
      <c r="D798" s="8"/>
      <c r="E798" s="7"/>
    </row>
    <row r="799" spans="1:5" x14ac:dyDescent="0.25">
      <c r="A799" s="7"/>
      <c r="B799" s="7"/>
      <c r="C799" s="7"/>
      <c r="D799" s="8"/>
      <c r="E799" s="7"/>
    </row>
    <row r="800" spans="1:5" x14ac:dyDescent="0.25">
      <c r="A800" s="7"/>
      <c r="B800" s="7"/>
      <c r="C800" s="7"/>
      <c r="D800" s="8"/>
      <c r="E800" s="7"/>
    </row>
    <row r="801" spans="1:5" x14ac:dyDescent="0.25">
      <c r="A801" s="7"/>
      <c r="B801" s="7"/>
      <c r="C801" s="7"/>
      <c r="D801" s="8"/>
      <c r="E801" s="7"/>
    </row>
    <row r="802" spans="1:5" x14ac:dyDescent="0.25">
      <c r="A802" s="7"/>
      <c r="B802" s="7"/>
      <c r="C802" s="7"/>
      <c r="D802" s="8"/>
      <c r="E802" s="7"/>
    </row>
    <row r="803" spans="1:5" x14ac:dyDescent="0.25">
      <c r="A803" s="7"/>
      <c r="B803" s="7"/>
      <c r="C803" s="7"/>
      <c r="D803" s="8"/>
      <c r="E803" s="7"/>
    </row>
    <row r="804" spans="1:5" x14ac:dyDescent="0.25">
      <c r="A804" s="7"/>
      <c r="B804" s="7"/>
      <c r="C804" s="7"/>
      <c r="D804" s="8"/>
      <c r="E804" s="7"/>
    </row>
    <row r="805" spans="1:5" x14ac:dyDescent="0.25">
      <c r="A805" s="7"/>
      <c r="B805" s="7"/>
      <c r="C805" s="7"/>
      <c r="D805" s="8"/>
      <c r="E805" s="7"/>
    </row>
    <row r="806" spans="1:5" x14ac:dyDescent="0.25">
      <c r="A806" s="7"/>
      <c r="B806" s="7"/>
      <c r="C806" s="7"/>
      <c r="D806" s="8"/>
      <c r="E806" s="7"/>
    </row>
    <row r="807" spans="1:5" x14ac:dyDescent="0.25">
      <c r="A807" s="7"/>
      <c r="B807" s="7"/>
      <c r="C807" s="7"/>
      <c r="D807" s="8"/>
      <c r="E807" s="7"/>
    </row>
    <row r="808" spans="1:5" x14ac:dyDescent="0.25">
      <c r="A808" s="7"/>
      <c r="B808" s="7"/>
      <c r="C808" s="7"/>
      <c r="D808" s="8"/>
      <c r="E808" s="7"/>
    </row>
    <row r="809" spans="1:5" x14ac:dyDescent="0.25">
      <c r="A809" s="7"/>
      <c r="B809" s="7"/>
      <c r="C809" s="7"/>
      <c r="D809" s="8"/>
      <c r="E809" s="7"/>
    </row>
    <row r="810" spans="1:5" x14ac:dyDescent="0.25">
      <c r="A810" s="7"/>
      <c r="B810" s="7"/>
      <c r="C810" s="7"/>
      <c r="D810" s="8"/>
      <c r="E810" s="7"/>
    </row>
    <row r="811" spans="1:5" x14ac:dyDescent="0.25">
      <c r="A811" s="7"/>
      <c r="B811" s="7"/>
      <c r="C811" s="7"/>
      <c r="D811" s="8"/>
      <c r="E811" s="7"/>
    </row>
    <row r="812" spans="1:5" x14ac:dyDescent="0.25">
      <c r="A812" s="7"/>
      <c r="B812" s="7"/>
      <c r="C812" s="7"/>
      <c r="D812" s="8"/>
      <c r="E812" s="7"/>
    </row>
    <row r="813" spans="1:5" x14ac:dyDescent="0.25">
      <c r="A813" s="7"/>
      <c r="B813" s="7"/>
      <c r="C813" s="7"/>
      <c r="D813" s="8"/>
      <c r="E813" s="7"/>
    </row>
    <row r="814" spans="1:5" x14ac:dyDescent="0.25">
      <c r="A814" s="7"/>
      <c r="B814" s="7"/>
      <c r="C814" s="7"/>
      <c r="D814" s="8"/>
      <c r="E814" s="7"/>
    </row>
    <row r="815" spans="1:5" x14ac:dyDescent="0.25">
      <c r="A815" s="7"/>
      <c r="B815" s="7"/>
      <c r="C815" s="7"/>
      <c r="D815" s="8"/>
      <c r="E815" s="7"/>
    </row>
    <row r="816" spans="1:5" x14ac:dyDescent="0.25">
      <c r="A816" s="7"/>
      <c r="B816" s="7"/>
      <c r="C816" s="7"/>
      <c r="D816" s="8"/>
      <c r="E816" s="7"/>
    </row>
    <row r="817" spans="1:5" x14ac:dyDescent="0.25">
      <c r="A817" s="7"/>
      <c r="B817" s="7"/>
      <c r="C817" s="7"/>
      <c r="D817" s="8"/>
      <c r="E817" s="7"/>
    </row>
    <row r="818" spans="1:5" x14ac:dyDescent="0.25">
      <c r="A818" s="7"/>
      <c r="B818" s="7"/>
      <c r="C818" s="7"/>
      <c r="D818" s="8"/>
      <c r="E818" s="7"/>
    </row>
    <row r="819" spans="1:5" x14ac:dyDescent="0.25">
      <c r="A819" s="7"/>
      <c r="B819" s="7"/>
      <c r="C819" s="7"/>
      <c r="D819" s="8"/>
      <c r="E819" s="7"/>
    </row>
    <row r="820" spans="1:5" x14ac:dyDescent="0.25">
      <c r="A820" s="7"/>
      <c r="B820" s="7"/>
      <c r="C820" s="7"/>
      <c r="D820" s="8"/>
      <c r="E820" s="7"/>
    </row>
    <row r="821" spans="1:5" x14ac:dyDescent="0.25">
      <c r="A821" s="7"/>
      <c r="B821" s="7"/>
      <c r="C821" s="7"/>
      <c r="D821" s="8"/>
      <c r="E821" s="7"/>
    </row>
    <row r="822" spans="1:5" x14ac:dyDescent="0.25">
      <c r="A822" s="7"/>
      <c r="B822" s="7"/>
      <c r="C822" s="7"/>
      <c r="D822" s="8"/>
      <c r="E822" s="7"/>
    </row>
    <row r="823" spans="1:5" x14ac:dyDescent="0.25">
      <c r="A823" s="7"/>
      <c r="B823" s="7"/>
      <c r="C823" s="7"/>
      <c r="D823" s="8"/>
      <c r="E823" s="7"/>
    </row>
    <row r="824" spans="1:5" x14ac:dyDescent="0.25">
      <c r="A824" s="7"/>
      <c r="B824" s="7"/>
      <c r="C824" s="7"/>
      <c r="D824" s="8"/>
      <c r="E824" s="7"/>
    </row>
    <row r="825" spans="1:5" x14ac:dyDescent="0.25">
      <c r="A825" s="7"/>
      <c r="B825" s="7"/>
      <c r="C825" s="7"/>
      <c r="D825" s="8"/>
      <c r="E825" s="7"/>
    </row>
    <row r="826" spans="1:5" x14ac:dyDescent="0.25">
      <c r="A826" s="7"/>
      <c r="B826" s="7"/>
      <c r="C826" s="7"/>
      <c r="D826" s="8"/>
      <c r="E826" s="7"/>
    </row>
    <row r="827" spans="1:5" x14ac:dyDescent="0.25">
      <c r="A827" s="7"/>
      <c r="B827" s="7"/>
      <c r="C827" s="7"/>
      <c r="D827" s="8"/>
      <c r="E827" s="7"/>
    </row>
    <row r="828" spans="1:5" x14ac:dyDescent="0.25">
      <c r="A828" s="7"/>
      <c r="B828" s="7"/>
      <c r="C828" s="7"/>
      <c r="D828" s="8"/>
      <c r="E828" s="7"/>
    </row>
    <row r="829" spans="1:5" x14ac:dyDescent="0.25">
      <c r="A829" s="7"/>
      <c r="B829" s="7"/>
      <c r="C829" s="7"/>
      <c r="D829" s="8"/>
      <c r="E829" s="7"/>
    </row>
    <row r="830" spans="1:5" x14ac:dyDescent="0.25">
      <c r="A830" s="7"/>
      <c r="B830" s="7"/>
      <c r="C830" s="7"/>
      <c r="D830" s="8"/>
      <c r="E830" s="7"/>
    </row>
    <row r="831" spans="1:5" x14ac:dyDescent="0.25">
      <c r="A831" s="7"/>
      <c r="B831" s="7"/>
      <c r="C831" s="7"/>
      <c r="D831" s="8"/>
      <c r="E831" s="7"/>
    </row>
    <row r="832" spans="1:5" x14ac:dyDescent="0.25">
      <c r="A832" s="7"/>
      <c r="B832" s="7"/>
      <c r="C832" s="7"/>
      <c r="D832" s="8"/>
      <c r="E832" s="7"/>
    </row>
    <row r="833" spans="1:5" x14ac:dyDescent="0.25">
      <c r="A833" s="7"/>
      <c r="B833" s="7"/>
      <c r="C833" s="7"/>
      <c r="D833" s="8"/>
      <c r="E833" s="7"/>
    </row>
    <row r="834" spans="1:5" x14ac:dyDescent="0.25">
      <c r="A834" s="7"/>
      <c r="B834" s="7"/>
      <c r="C834" s="7"/>
      <c r="D834" s="8"/>
      <c r="E834" s="7"/>
    </row>
    <row r="835" spans="1:5" x14ac:dyDescent="0.25">
      <c r="A835" s="7"/>
      <c r="B835" s="7"/>
      <c r="C835" s="7"/>
      <c r="D835" s="8"/>
      <c r="E835" s="7"/>
    </row>
    <row r="836" spans="1:5" x14ac:dyDescent="0.25">
      <c r="A836" s="7"/>
      <c r="B836" s="7"/>
      <c r="C836" s="7"/>
      <c r="D836" s="8"/>
      <c r="E836" s="7"/>
    </row>
    <row r="837" spans="1:5" x14ac:dyDescent="0.25">
      <c r="A837" s="7"/>
      <c r="B837" s="7"/>
      <c r="C837" s="7"/>
      <c r="D837" s="8"/>
      <c r="E837" s="7"/>
    </row>
    <row r="838" spans="1:5" x14ac:dyDescent="0.25">
      <c r="A838" s="7"/>
      <c r="B838" s="7"/>
      <c r="C838" s="7"/>
      <c r="D838" s="8"/>
      <c r="E838" s="7"/>
    </row>
    <row r="839" spans="1:5" x14ac:dyDescent="0.25">
      <c r="A839" s="7"/>
      <c r="B839" s="7"/>
      <c r="C839" s="7"/>
      <c r="D839" s="8"/>
      <c r="E839" s="7"/>
    </row>
    <row r="840" spans="1:5" x14ac:dyDescent="0.25">
      <c r="A840" s="7"/>
      <c r="B840" s="7"/>
      <c r="C840" s="7"/>
      <c r="D840" s="8"/>
      <c r="E840" s="7"/>
    </row>
    <row r="841" spans="1:5" x14ac:dyDescent="0.25">
      <c r="A841" s="7"/>
      <c r="B841" s="7"/>
      <c r="C841" s="7"/>
      <c r="D841" s="8"/>
      <c r="E841" s="7"/>
    </row>
    <row r="842" spans="1:5" x14ac:dyDescent="0.25">
      <c r="A842" s="7"/>
      <c r="B842" s="7"/>
      <c r="C842" s="7"/>
      <c r="D842" s="8"/>
      <c r="E842" s="7"/>
    </row>
    <row r="843" spans="1:5" x14ac:dyDescent="0.25">
      <c r="A843" s="7"/>
      <c r="B843" s="7"/>
      <c r="C843" s="7"/>
      <c r="D843" s="8"/>
      <c r="E843" s="7"/>
    </row>
    <row r="844" spans="1:5" x14ac:dyDescent="0.25">
      <c r="A844" s="7"/>
      <c r="B844" s="7"/>
      <c r="C844" s="7"/>
      <c r="D844" s="8"/>
      <c r="E844" s="7"/>
    </row>
    <row r="845" spans="1:5" x14ac:dyDescent="0.25">
      <c r="A845" s="7"/>
      <c r="B845" s="7"/>
      <c r="C845" s="7"/>
      <c r="D845" s="8"/>
      <c r="E845" s="7"/>
    </row>
    <row r="846" spans="1:5" x14ac:dyDescent="0.25">
      <c r="A846" s="7"/>
      <c r="B846" s="7"/>
      <c r="C846" s="7"/>
      <c r="D846" s="8"/>
      <c r="E846" s="7"/>
    </row>
    <row r="847" spans="1:5" x14ac:dyDescent="0.25">
      <c r="A847" s="7"/>
      <c r="B847" s="7"/>
      <c r="C847" s="7"/>
      <c r="D847" s="8"/>
      <c r="E847" s="7"/>
    </row>
    <row r="848" spans="1:5" x14ac:dyDescent="0.25">
      <c r="A848" s="7"/>
      <c r="B848" s="7"/>
      <c r="C848" s="7"/>
      <c r="D848" s="8"/>
      <c r="E848" s="7"/>
    </row>
    <row r="849" spans="1:5" x14ac:dyDescent="0.25">
      <c r="A849" s="7"/>
      <c r="B849" s="7"/>
      <c r="C849" s="7"/>
      <c r="D849" s="8"/>
      <c r="E849" s="7"/>
    </row>
    <row r="850" spans="1:5" x14ac:dyDescent="0.25">
      <c r="A850" s="7"/>
      <c r="B850" s="7"/>
      <c r="C850" s="7"/>
      <c r="D850" s="8"/>
      <c r="E850" s="7"/>
    </row>
    <row r="851" spans="1:5" x14ac:dyDescent="0.25">
      <c r="A851" s="7"/>
      <c r="B851" s="7"/>
      <c r="C851" s="7"/>
      <c r="D851" s="8"/>
      <c r="E851" s="7"/>
    </row>
    <row r="852" spans="1:5" x14ac:dyDescent="0.25">
      <c r="A852" s="7"/>
      <c r="B852" s="7"/>
      <c r="C852" s="7"/>
      <c r="D852" s="8"/>
      <c r="E852" s="7"/>
    </row>
    <row r="853" spans="1:5" x14ac:dyDescent="0.25">
      <c r="A853" s="7"/>
      <c r="B853" s="7"/>
      <c r="C853" s="7"/>
      <c r="D853" s="8"/>
      <c r="E853" s="7"/>
    </row>
    <row r="854" spans="1:5" x14ac:dyDescent="0.25">
      <c r="A854" s="7"/>
      <c r="B854" s="7"/>
      <c r="C854" s="7"/>
      <c r="D854" s="8"/>
      <c r="E854" s="7"/>
    </row>
    <row r="855" spans="1:5" x14ac:dyDescent="0.25">
      <c r="A855" s="7"/>
      <c r="B855" s="7"/>
      <c r="C855" s="7"/>
      <c r="D855" s="8"/>
      <c r="E855" s="7"/>
    </row>
    <row r="856" spans="1:5" x14ac:dyDescent="0.25">
      <c r="A856" s="7"/>
      <c r="B856" s="7"/>
      <c r="C856" s="7"/>
      <c r="D856" s="8"/>
      <c r="E856" s="7"/>
    </row>
    <row r="857" spans="1:5" x14ac:dyDescent="0.25">
      <c r="A857" s="7"/>
      <c r="B857" s="7"/>
      <c r="C857" s="7"/>
      <c r="D857" s="8"/>
      <c r="E857" s="7"/>
    </row>
    <row r="858" spans="1:5" x14ac:dyDescent="0.25">
      <c r="A858" s="7"/>
      <c r="B858" s="7"/>
      <c r="C858" s="7"/>
      <c r="D858" s="8"/>
      <c r="E858" s="7"/>
    </row>
    <row r="859" spans="1:5" x14ac:dyDescent="0.25">
      <c r="A859" s="7"/>
      <c r="B859" s="7"/>
      <c r="C859" s="7"/>
      <c r="D859" s="8"/>
      <c r="E859" s="7"/>
    </row>
    <row r="860" spans="1:5" x14ac:dyDescent="0.25">
      <c r="A860" s="7"/>
      <c r="B860" s="7"/>
      <c r="C860" s="7"/>
      <c r="D860" s="8"/>
      <c r="E860" s="7"/>
    </row>
    <row r="861" spans="1:5" x14ac:dyDescent="0.25">
      <c r="A861" s="7"/>
      <c r="B861" s="7"/>
      <c r="C861" s="7"/>
      <c r="D861" s="8"/>
      <c r="E861" s="7"/>
    </row>
    <row r="862" spans="1:5" x14ac:dyDescent="0.25">
      <c r="A862" s="7"/>
      <c r="B862" s="7"/>
      <c r="C862" s="7"/>
      <c r="D862" s="8"/>
      <c r="E862" s="7"/>
    </row>
    <row r="863" spans="1:5" x14ac:dyDescent="0.25">
      <c r="A863" s="7"/>
      <c r="B863" s="7"/>
      <c r="C863" s="7"/>
      <c r="D863" s="8"/>
      <c r="E863" s="7"/>
    </row>
    <row r="864" spans="1:5" x14ac:dyDescent="0.25">
      <c r="A864" s="7"/>
      <c r="B864" s="7"/>
      <c r="C864" s="7"/>
      <c r="D864" s="8"/>
      <c r="E864" s="7"/>
    </row>
    <row r="865" spans="1:5" x14ac:dyDescent="0.25">
      <c r="A865" s="7"/>
      <c r="B865" s="7"/>
      <c r="C865" s="7"/>
      <c r="D865" s="8"/>
      <c r="E865" s="7"/>
    </row>
    <row r="866" spans="1:5" x14ac:dyDescent="0.25">
      <c r="A866" s="7"/>
      <c r="B866" s="7"/>
      <c r="C866" s="7"/>
      <c r="D866" s="8"/>
      <c r="E866" s="7"/>
    </row>
    <row r="867" spans="1:5" x14ac:dyDescent="0.25">
      <c r="A867" s="7"/>
      <c r="B867" s="7"/>
      <c r="C867" s="7"/>
      <c r="D867" s="8"/>
      <c r="E867" s="7"/>
    </row>
    <row r="868" spans="1:5" x14ac:dyDescent="0.25">
      <c r="A868" s="7"/>
      <c r="B868" s="7"/>
      <c r="C868" s="7"/>
      <c r="D868" s="8"/>
      <c r="E868" s="7"/>
    </row>
    <row r="869" spans="1:5" x14ac:dyDescent="0.25">
      <c r="A869" s="7"/>
      <c r="B869" s="7"/>
      <c r="C869" s="7"/>
      <c r="D869" s="8"/>
      <c r="E869" s="7"/>
    </row>
    <row r="870" spans="1:5" x14ac:dyDescent="0.25">
      <c r="A870" s="7"/>
      <c r="B870" s="7"/>
      <c r="C870" s="7"/>
      <c r="D870" s="8"/>
      <c r="E870" s="7"/>
    </row>
    <row r="871" spans="1:5" x14ac:dyDescent="0.25">
      <c r="A871" s="7"/>
      <c r="B871" s="7"/>
      <c r="C871" s="7"/>
      <c r="D871" s="8"/>
      <c r="E871" s="7"/>
    </row>
    <row r="872" spans="1:5" x14ac:dyDescent="0.25">
      <c r="A872" s="7"/>
      <c r="B872" s="7"/>
      <c r="C872" s="7"/>
      <c r="D872" s="8"/>
      <c r="E872" s="7"/>
    </row>
    <row r="873" spans="1:5" x14ac:dyDescent="0.25">
      <c r="A873" s="7"/>
      <c r="B873" s="7"/>
      <c r="C873" s="7"/>
      <c r="D873" s="8"/>
      <c r="E873" s="7"/>
    </row>
    <row r="874" spans="1:5" x14ac:dyDescent="0.25">
      <c r="A874" s="7"/>
      <c r="B874" s="7"/>
      <c r="C874" s="7"/>
      <c r="D874" s="8"/>
      <c r="E874" s="7"/>
    </row>
    <row r="875" spans="1:5" x14ac:dyDescent="0.25">
      <c r="A875" s="7"/>
      <c r="B875" s="7"/>
      <c r="C875" s="7"/>
      <c r="D875" s="8"/>
      <c r="E875" s="7"/>
    </row>
    <row r="876" spans="1:5" x14ac:dyDescent="0.25">
      <c r="A876" s="7"/>
      <c r="B876" s="7"/>
      <c r="C876" s="7"/>
      <c r="D876" s="8"/>
      <c r="E876" s="7"/>
    </row>
    <row r="877" spans="1:5" x14ac:dyDescent="0.25">
      <c r="A877" s="7"/>
      <c r="B877" s="7"/>
      <c r="C877" s="7"/>
      <c r="D877" s="8"/>
      <c r="E877" s="7"/>
    </row>
    <row r="878" spans="1:5" x14ac:dyDescent="0.25">
      <c r="A878" s="7"/>
      <c r="B878" s="7"/>
      <c r="C878" s="7"/>
      <c r="D878" s="8"/>
      <c r="E878" s="7"/>
    </row>
    <row r="879" spans="1:5" x14ac:dyDescent="0.25">
      <c r="A879" s="7"/>
      <c r="B879" s="7"/>
      <c r="C879" s="7"/>
      <c r="D879" s="8"/>
      <c r="E879" s="7"/>
    </row>
    <row r="880" spans="1:5" x14ac:dyDescent="0.25">
      <c r="A880" s="7"/>
      <c r="B880" s="7"/>
      <c r="C880" s="7"/>
      <c r="D880" s="8"/>
      <c r="E880" s="7"/>
    </row>
    <row r="881" spans="1:5" x14ac:dyDescent="0.25">
      <c r="A881" s="7"/>
      <c r="B881" s="7"/>
      <c r="C881" s="7"/>
      <c r="D881" s="8"/>
      <c r="E881" s="7"/>
    </row>
    <row r="882" spans="1:5" x14ac:dyDescent="0.25">
      <c r="A882" s="7"/>
      <c r="B882" s="7"/>
      <c r="C882" s="7"/>
      <c r="D882" s="8"/>
      <c r="E882" s="7"/>
    </row>
    <row r="883" spans="1:5" x14ac:dyDescent="0.25">
      <c r="A883" s="7"/>
      <c r="B883" s="7"/>
      <c r="C883" s="7"/>
      <c r="D883" s="8"/>
      <c r="E883" s="7"/>
    </row>
    <row r="884" spans="1:5" x14ac:dyDescent="0.25">
      <c r="A884" s="7"/>
      <c r="B884" s="7"/>
      <c r="C884" s="7"/>
      <c r="D884" s="8"/>
      <c r="E884" s="7"/>
    </row>
    <row r="885" spans="1:5" x14ac:dyDescent="0.25">
      <c r="A885" s="7"/>
      <c r="B885" s="7"/>
      <c r="C885" s="7"/>
      <c r="D885" s="8"/>
      <c r="E885" s="7"/>
    </row>
    <row r="886" spans="1:5" x14ac:dyDescent="0.25">
      <c r="A886" s="7"/>
      <c r="B886" s="7"/>
      <c r="C886" s="7"/>
      <c r="D886" s="8"/>
      <c r="E886" s="7"/>
    </row>
    <row r="887" spans="1:5" x14ac:dyDescent="0.25">
      <c r="A887" s="7"/>
      <c r="B887" s="7"/>
      <c r="C887" s="7"/>
      <c r="D887" s="8"/>
      <c r="E887" s="7"/>
    </row>
    <row r="888" spans="1:5" x14ac:dyDescent="0.25">
      <c r="A888" s="7"/>
      <c r="B888" s="7"/>
      <c r="C888" s="7"/>
      <c r="D888" s="8"/>
      <c r="E888" s="7"/>
    </row>
    <row r="889" spans="1:5" x14ac:dyDescent="0.25">
      <c r="A889" s="7"/>
      <c r="B889" s="7"/>
      <c r="C889" s="7"/>
      <c r="D889" s="8"/>
      <c r="E889" s="7"/>
    </row>
    <row r="890" spans="1:5" x14ac:dyDescent="0.25">
      <c r="A890" s="7"/>
      <c r="B890" s="7"/>
      <c r="C890" s="7"/>
      <c r="D890" s="8"/>
      <c r="E890" s="7"/>
    </row>
    <row r="891" spans="1:5" x14ac:dyDescent="0.25">
      <c r="A891" s="7"/>
      <c r="B891" s="7"/>
      <c r="C891" s="7"/>
      <c r="D891" s="8"/>
      <c r="E891" s="7"/>
    </row>
    <row r="892" spans="1:5" x14ac:dyDescent="0.25">
      <c r="A892" s="7"/>
      <c r="B892" s="7"/>
      <c r="C892" s="7"/>
      <c r="D892" s="8"/>
      <c r="E892" s="7"/>
    </row>
    <row r="893" spans="1:5" x14ac:dyDescent="0.25">
      <c r="A893" s="7"/>
      <c r="B893" s="7"/>
      <c r="C893" s="7"/>
      <c r="D893" s="8"/>
      <c r="E893" s="7"/>
    </row>
    <row r="894" spans="1:5" x14ac:dyDescent="0.25">
      <c r="A894" s="7"/>
      <c r="B894" s="7"/>
      <c r="C894" s="7"/>
      <c r="D894" s="8"/>
      <c r="E894" s="7"/>
    </row>
    <row r="895" spans="1:5" x14ac:dyDescent="0.25">
      <c r="A895" s="7"/>
      <c r="B895" s="7"/>
      <c r="C895" s="7"/>
      <c r="D895" s="8"/>
      <c r="E895" s="7"/>
    </row>
    <row r="896" spans="1:5" x14ac:dyDescent="0.25">
      <c r="A896" s="7"/>
      <c r="B896" s="7"/>
      <c r="C896" s="7"/>
      <c r="D896" s="8"/>
      <c r="E896" s="7"/>
    </row>
    <row r="897" spans="1:5" x14ac:dyDescent="0.25">
      <c r="A897" s="7"/>
      <c r="B897" s="7"/>
      <c r="C897" s="7"/>
      <c r="D897" s="8"/>
      <c r="E897" s="7"/>
    </row>
    <row r="898" spans="1:5" x14ac:dyDescent="0.25">
      <c r="A898" s="7"/>
      <c r="B898" s="7"/>
      <c r="C898" s="7"/>
      <c r="D898" s="8"/>
      <c r="E898" s="7"/>
    </row>
    <row r="899" spans="1:5" x14ac:dyDescent="0.25">
      <c r="A899" s="7"/>
      <c r="B899" s="7"/>
      <c r="C899" s="7"/>
      <c r="D899" s="8"/>
      <c r="E899" s="7"/>
    </row>
    <row r="900" spans="1:5" x14ac:dyDescent="0.25">
      <c r="A900" s="7"/>
      <c r="B900" s="7"/>
      <c r="C900" s="7"/>
      <c r="D900" s="8"/>
      <c r="E900" s="7"/>
    </row>
    <row r="901" spans="1:5" x14ac:dyDescent="0.25">
      <c r="A901" s="7"/>
      <c r="B901" s="7"/>
      <c r="C901" s="7"/>
      <c r="D901" s="8"/>
      <c r="E901" s="7"/>
    </row>
    <row r="902" spans="1:5" x14ac:dyDescent="0.25">
      <c r="A902" s="7"/>
      <c r="B902" s="7"/>
      <c r="C902" s="7"/>
      <c r="D902" s="8"/>
      <c r="E902" s="7"/>
    </row>
    <row r="903" spans="1:5" x14ac:dyDescent="0.25">
      <c r="A903" s="7"/>
      <c r="B903" s="7"/>
      <c r="C903" s="7"/>
      <c r="D903" s="8"/>
      <c r="E903" s="7"/>
    </row>
    <row r="904" spans="1:5" x14ac:dyDescent="0.25">
      <c r="A904" s="7"/>
      <c r="B904" s="7"/>
      <c r="C904" s="7"/>
      <c r="D904" s="8"/>
      <c r="E904" s="7"/>
    </row>
    <row r="905" spans="1:5" x14ac:dyDescent="0.25">
      <c r="A905" s="7"/>
      <c r="B905" s="7"/>
      <c r="C905" s="7"/>
      <c r="D905" s="8"/>
      <c r="E905" s="7"/>
    </row>
    <row r="906" spans="1:5" x14ac:dyDescent="0.25">
      <c r="A906" s="7"/>
      <c r="B906" s="7"/>
      <c r="C906" s="7"/>
      <c r="D906" s="8"/>
      <c r="E906" s="7"/>
    </row>
    <row r="907" spans="1:5" x14ac:dyDescent="0.25">
      <c r="A907" s="7"/>
      <c r="B907" s="7"/>
      <c r="C907" s="7"/>
      <c r="D907" s="8"/>
      <c r="E907" s="7"/>
    </row>
    <row r="908" spans="1:5" x14ac:dyDescent="0.25">
      <c r="A908" s="7"/>
      <c r="B908" s="7"/>
      <c r="C908" s="7"/>
      <c r="D908" s="8"/>
      <c r="E908" s="7"/>
    </row>
    <row r="909" spans="1:5" x14ac:dyDescent="0.25">
      <c r="A909" s="7"/>
      <c r="B909" s="7"/>
      <c r="C909" s="7"/>
      <c r="D909" s="8"/>
      <c r="E909" s="7"/>
    </row>
    <row r="910" spans="1:5" x14ac:dyDescent="0.25">
      <c r="A910" s="7"/>
      <c r="B910" s="7"/>
      <c r="C910" s="7"/>
      <c r="D910" s="8"/>
      <c r="E910" s="7"/>
    </row>
    <row r="911" spans="1:5" x14ac:dyDescent="0.25">
      <c r="A911" s="7"/>
      <c r="B911" s="7"/>
      <c r="C911" s="7"/>
      <c r="D911" s="8"/>
      <c r="E911" s="7"/>
    </row>
    <row r="912" spans="1:5" x14ac:dyDescent="0.25">
      <c r="A912" s="7"/>
      <c r="B912" s="7"/>
      <c r="C912" s="7"/>
      <c r="D912" s="8"/>
      <c r="E912" s="7"/>
    </row>
    <row r="913" spans="1:5" x14ac:dyDescent="0.25">
      <c r="A913" s="7"/>
      <c r="B913" s="7"/>
      <c r="C913" s="7"/>
      <c r="D913" s="8"/>
      <c r="E913" s="7"/>
    </row>
    <row r="914" spans="1:5" x14ac:dyDescent="0.25">
      <c r="A914" s="7"/>
      <c r="B914" s="7"/>
      <c r="C914" s="7"/>
      <c r="D914" s="8"/>
      <c r="E914" s="7"/>
    </row>
    <row r="915" spans="1:5" x14ac:dyDescent="0.25">
      <c r="A915" s="7"/>
      <c r="B915" s="7"/>
      <c r="C915" s="7"/>
      <c r="D915" s="8"/>
      <c r="E915" s="7"/>
    </row>
    <row r="916" spans="1:5" x14ac:dyDescent="0.25">
      <c r="A916" s="7"/>
      <c r="B916" s="7"/>
      <c r="C916" s="7"/>
      <c r="D916" s="8"/>
      <c r="E916" s="7"/>
    </row>
    <row r="917" spans="1:5" x14ac:dyDescent="0.25">
      <c r="A917" s="7"/>
      <c r="B917" s="7"/>
      <c r="C917" s="7"/>
      <c r="D917" s="8"/>
      <c r="E917" s="7"/>
    </row>
    <row r="918" spans="1:5" x14ac:dyDescent="0.25">
      <c r="A918" s="7"/>
      <c r="B918" s="7"/>
      <c r="C918" s="7"/>
      <c r="D918" s="8"/>
      <c r="E918" s="7"/>
    </row>
    <row r="919" spans="1:5" x14ac:dyDescent="0.25">
      <c r="A919" s="7"/>
      <c r="B919" s="7"/>
      <c r="C919" s="7"/>
      <c r="D919" s="8"/>
      <c r="E919" s="7"/>
    </row>
    <row r="920" spans="1:5" x14ac:dyDescent="0.25">
      <c r="A920" s="7"/>
      <c r="B920" s="7"/>
      <c r="C920" s="7"/>
      <c r="D920" s="8"/>
      <c r="E920" s="7"/>
    </row>
    <row r="921" spans="1:5" x14ac:dyDescent="0.25">
      <c r="A921" s="7"/>
      <c r="B921" s="7"/>
      <c r="C921" s="7"/>
      <c r="D921" s="8"/>
      <c r="E921" s="7"/>
    </row>
    <row r="922" spans="1:5" x14ac:dyDescent="0.25">
      <c r="A922" s="7"/>
      <c r="B922" s="7"/>
      <c r="C922" s="7"/>
      <c r="D922" s="8"/>
      <c r="E922" s="7"/>
    </row>
    <row r="923" spans="1:5" x14ac:dyDescent="0.25">
      <c r="A923" s="7"/>
      <c r="B923" s="7"/>
      <c r="C923" s="7"/>
      <c r="D923" s="8"/>
      <c r="E923" s="7"/>
    </row>
    <row r="924" spans="1:5" x14ac:dyDescent="0.25">
      <c r="A924" s="7"/>
      <c r="B924" s="7"/>
      <c r="C924" s="7"/>
      <c r="D924" s="8"/>
      <c r="E924" s="7"/>
    </row>
    <row r="925" spans="1:5" x14ac:dyDescent="0.25">
      <c r="A925" s="7"/>
      <c r="B925" s="7"/>
      <c r="C925" s="7"/>
      <c r="D925" s="8"/>
      <c r="E925" s="7"/>
    </row>
    <row r="926" spans="1:5" x14ac:dyDescent="0.25">
      <c r="A926" s="7"/>
      <c r="B926" s="7"/>
      <c r="C926" s="7"/>
      <c r="D926" s="8"/>
      <c r="E926" s="7"/>
    </row>
    <row r="927" spans="1:5" x14ac:dyDescent="0.25">
      <c r="A927" s="7"/>
      <c r="B927" s="7"/>
      <c r="C927" s="7"/>
      <c r="D927" s="8"/>
      <c r="E927" s="7"/>
    </row>
    <row r="928" spans="1:5" x14ac:dyDescent="0.25">
      <c r="A928" s="7"/>
      <c r="B928" s="7"/>
      <c r="C928" s="7"/>
      <c r="D928" s="8"/>
      <c r="E928" s="7"/>
    </row>
    <row r="929" spans="1:5" x14ac:dyDescent="0.25">
      <c r="A929" s="7"/>
      <c r="B929" s="7"/>
      <c r="C929" s="7"/>
      <c r="D929" s="8"/>
      <c r="E929" s="7"/>
    </row>
    <row r="930" spans="1:5" x14ac:dyDescent="0.25">
      <c r="A930" s="7"/>
      <c r="B930" s="7"/>
      <c r="C930" s="7"/>
      <c r="D930" s="8"/>
      <c r="E930" s="7"/>
    </row>
    <row r="931" spans="1:5" x14ac:dyDescent="0.25">
      <c r="A931" s="7"/>
      <c r="B931" s="7"/>
      <c r="C931" s="7"/>
      <c r="D931" s="8"/>
      <c r="E931" s="7"/>
    </row>
    <row r="932" spans="1:5" x14ac:dyDescent="0.25">
      <c r="A932" s="7"/>
      <c r="B932" s="7"/>
      <c r="C932" s="7"/>
      <c r="D932" s="8"/>
      <c r="E932" s="7"/>
    </row>
    <row r="933" spans="1:5" x14ac:dyDescent="0.25">
      <c r="A933" s="7"/>
      <c r="B933" s="7"/>
      <c r="C933" s="7"/>
      <c r="D933" s="8"/>
      <c r="E933" s="7"/>
    </row>
    <row r="934" spans="1:5" x14ac:dyDescent="0.25">
      <c r="A934" s="7"/>
      <c r="B934" s="7"/>
      <c r="C934" s="7"/>
      <c r="D934" s="8"/>
      <c r="E934" s="7"/>
    </row>
    <row r="935" spans="1:5" x14ac:dyDescent="0.25">
      <c r="A935" s="7"/>
      <c r="B935" s="7"/>
      <c r="C935" s="7"/>
      <c r="D935" s="8"/>
      <c r="E935" s="7"/>
    </row>
    <row r="936" spans="1:5" x14ac:dyDescent="0.25">
      <c r="A936" s="7"/>
      <c r="B936" s="7"/>
      <c r="C936" s="7"/>
      <c r="D936" s="8"/>
      <c r="E936" s="7"/>
    </row>
    <row r="937" spans="1:5" x14ac:dyDescent="0.25">
      <c r="A937" s="7"/>
      <c r="B937" s="7"/>
      <c r="C937" s="7"/>
      <c r="D937" s="8"/>
      <c r="E937" s="7"/>
    </row>
    <row r="938" spans="1:5" x14ac:dyDescent="0.25">
      <c r="A938" s="7"/>
      <c r="B938" s="7"/>
      <c r="C938" s="7"/>
      <c r="D938" s="8"/>
      <c r="E938" s="7"/>
    </row>
    <row r="939" spans="1:5" x14ac:dyDescent="0.25">
      <c r="A939" s="7"/>
      <c r="B939" s="7"/>
      <c r="C939" s="7"/>
      <c r="D939" s="8"/>
      <c r="E939" s="7"/>
    </row>
    <row r="940" spans="1:5" x14ac:dyDescent="0.25">
      <c r="A940" s="7"/>
      <c r="B940" s="7"/>
      <c r="C940" s="7"/>
      <c r="D940" s="8"/>
      <c r="E940" s="7"/>
    </row>
    <row r="941" spans="1:5" x14ac:dyDescent="0.25">
      <c r="A941" s="7"/>
      <c r="B941" s="7"/>
      <c r="C941" s="7"/>
      <c r="D941" s="8"/>
      <c r="E941" s="7"/>
    </row>
    <row r="942" spans="1:5" x14ac:dyDescent="0.25">
      <c r="A942" s="7"/>
      <c r="B942" s="7"/>
      <c r="C942" s="7"/>
      <c r="D942" s="8"/>
      <c r="E942" s="7"/>
    </row>
    <row r="943" spans="1:5" x14ac:dyDescent="0.25">
      <c r="A943" s="7"/>
      <c r="B943" s="7"/>
      <c r="C943" s="7"/>
      <c r="D943" s="8"/>
      <c r="E943" s="7"/>
    </row>
    <row r="944" spans="1:5" x14ac:dyDescent="0.25">
      <c r="A944" s="7"/>
      <c r="B944" s="7"/>
      <c r="C944" s="7"/>
      <c r="D944" s="8"/>
      <c r="E944" s="7"/>
    </row>
    <row r="945" spans="1:5" x14ac:dyDescent="0.25">
      <c r="A945" s="7"/>
      <c r="B945" s="7"/>
      <c r="C945" s="7"/>
      <c r="D945" s="8"/>
      <c r="E945" s="7"/>
    </row>
    <row r="946" spans="1:5" x14ac:dyDescent="0.25">
      <c r="A946" s="7"/>
      <c r="B946" s="7"/>
      <c r="C946" s="7"/>
      <c r="D946" s="8"/>
      <c r="E946" s="7"/>
    </row>
    <row r="947" spans="1:5" x14ac:dyDescent="0.25">
      <c r="A947" s="7"/>
      <c r="B947" s="7"/>
      <c r="C947" s="7"/>
      <c r="D947" s="8"/>
      <c r="E947" s="7"/>
    </row>
    <row r="948" spans="1:5" x14ac:dyDescent="0.25">
      <c r="A948" s="7"/>
      <c r="B948" s="7"/>
      <c r="C948" s="7"/>
      <c r="D948" s="8"/>
      <c r="E948" s="7"/>
    </row>
    <row r="949" spans="1:5" x14ac:dyDescent="0.25">
      <c r="A949" s="7"/>
      <c r="B949" s="7"/>
      <c r="C949" s="7"/>
      <c r="D949" s="8"/>
      <c r="E949" s="7"/>
    </row>
    <row r="950" spans="1:5" x14ac:dyDescent="0.25">
      <c r="A950" s="7"/>
      <c r="B950" s="7"/>
      <c r="C950" s="7"/>
      <c r="D950" s="8"/>
      <c r="E950" s="7"/>
    </row>
    <row r="951" spans="1:5" x14ac:dyDescent="0.25">
      <c r="A951" s="7"/>
      <c r="B951" s="7"/>
      <c r="C951" s="7"/>
      <c r="D951" s="8"/>
      <c r="E951" s="7"/>
    </row>
    <row r="952" spans="1:5" x14ac:dyDescent="0.25">
      <c r="A952" s="7"/>
      <c r="B952" s="7"/>
      <c r="C952" s="7"/>
      <c r="D952" s="8"/>
      <c r="E952" s="7"/>
    </row>
    <row r="953" spans="1:5" x14ac:dyDescent="0.25">
      <c r="A953" s="7"/>
      <c r="B953" s="7"/>
      <c r="C953" s="7"/>
      <c r="D953" s="8"/>
      <c r="E953" s="7"/>
    </row>
    <row r="954" spans="1:5" x14ac:dyDescent="0.25">
      <c r="A954" s="7"/>
      <c r="B954" s="7"/>
      <c r="C954" s="7"/>
      <c r="D954" s="8"/>
      <c r="E954" s="7"/>
    </row>
    <row r="955" spans="1:5" x14ac:dyDescent="0.25">
      <c r="A955" s="7"/>
      <c r="B955" s="7"/>
      <c r="C955" s="7"/>
      <c r="D955" s="8"/>
      <c r="E955" s="7"/>
    </row>
    <row r="956" spans="1:5" x14ac:dyDescent="0.25">
      <c r="A956" s="7"/>
      <c r="B956" s="7"/>
      <c r="C956" s="7"/>
      <c r="D956" s="8"/>
      <c r="E956" s="7"/>
    </row>
    <row r="957" spans="1:5" x14ac:dyDescent="0.25">
      <c r="A957" s="7"/>
      <c r="B957" s="7"/>
      <c r="C957" s="7"/>
      <c r="D957" s="8"/>
      <c r="E957" s="7"/>
    </row>
    <row r="958" spans="1:5" x14ac:dyDescent="0.25">
      <c r="A958" s="7"/>
      <c r="B958" s="7"/>
      <c r="C958" s="7"/>
      <c r="D958" s="8"/>
      <c r="E958" s="7"/>
    </row>
    <row r="959" spans="1:5" x14ac:dyDescent="0.25">
      <c r="A959" s="7"/>
      <c r="B959" s="7"/>
      <c r="C959" s="7"/>
      <c r="D959" s="8"/>
      <c r="E959" s="7"/>
    </row>
    <row r="960" spans="1:5" x14ac:dyDescent="0.25">
      <c r="A960" s="7"/>
      <c r="B960" s="7"/>
      <c r="C960" s="7"/>
      <c r="D960" s="8"/>
      <c r="E960" s="7"/>
    </row>
    <row r="961" spans="1:5" x14ac:dyDescent="0.25">
      <c r="A961" s="7"/>
      <c r="B961" s="7"/>
      <c r="C961" s="7"/>
      <c r="D961" s="8"/>
      <c r="E961" s="7"/>
    </row>
    <row r="962" spans="1:5" x14ac:dyDescent="0.25">
      <c r="A962" s="7"/>
      <c r="B962" s="7"/>
      <c r="C962" s="7"/>
      <c r="D962" s="8"/>
      <c r="E962" s="7"/>
    </row>
    <row r="963" spans="1:5" x14ac:dyDescent="0.25">
      <c r="A963" s="7"/>
      <c r="B963" s="7"/>
      <c r="C963" s="7"/>
      <c r="D963" s="8"/>
      <c r="E963" s="7"/>
    </row>
    <row r="964" spans="1:5" x14ac:dyDescent="0.25">
      <c r="A964" s="7"/>
      <c r="B964" s="7"/>
      <c r="C964" s="7"/>
      <c r="D964" s="8"/>
      <c r="E964" s="7"/>
    </row>
    <row r="965" spans="1:5" x14ac:dyDescent="0.25">
      <c r="A965" s="7"/>
      <c r="B965" s="7"/>
      <c r="C965" s="7"/>
      <c r="D965" s="8"/>
      <c r="E965" s="7"/>
    </row>
    <row r="966" spans="1:5" x14ac:dyDescent="0.25">
      <c r="A966" s="7"/>
      <c r="B966" s="7"/>
      <c r="C966" s="7"/>
      <c r="D966" s="8"/>
      <c r="E966" s="7"/>
    </row>
    <row r="967" spans="1:5" x14ac:dyDescent="0.25">
      <c r="A967" s="7"/>
      <c r="B967" s="7"/>
      <c r="C967" s="7"/>
      <c r="D967" s="8"/>
      <c r="E967" s="7"/>
    </row>
    <row r="968" spans="1:5" x14ac:dyDescent="0.25">
      <c r="A968" s="7"/>
      <c r="B968" s="7"/>
      <c r="C968" s="7"/>
      <c r="D968" s="8"/>
      <c r="E968" s="7"/>
    </row>
    <row r="969" spans="1:5" x14ac:dyDescent="0.25">
      <c r="A969" s="7"/>
      <c r="B969" s="7"/>
      <c r="C969" s="7"/>
      <c r="D969" s="8"/>
      <c r="E969" s="7"/>
    </row>
    <row r="970" spans="1:5" x14ac:dyDescent="0.25">
      <c r="A970" s="7"/>
      <c r="B970" s="7"/>
      <c r="C970" s="7"/>
      <c r="D970" s="8"/>
      <c r="E970" s="7"/>
    </row>
    <row r="971" spans="1:5" x14ac:dyDescent="0.25">
      <c r="A971" s="7"/>
      <c r="B971" s="7"/>
      <c r="C971" s="7"/>
      <c r="D971" s="8"/>
      <c r="E971" s="7"/>
    </row>
    <row r="972" spans="1:5" x14ac:dyDescent="0.25">
      <c r="A972" s="7"/>
      <c r="B972" s="7"/>
      <c r="C972" s="7"/>
      <c r="D972" s="8"/>
      <c r="E972" s="7"/>
    </row>
    <row r="973" spans="1:5" x14ac:dyDescent="0.25">
      <c r="A973" s="7"/>
      <c r="B973" s="7"/>
      <c r="C973" s="7"/>
      <c r="D973" s="8"/>
      <c r="E973" s="7"/>
    </row>
    <row r="974" spans="1:5" x14ac:dyDescent="0.25">
      <c r="A974" s="7"/>
      <c r="B974" s="7"/>
      <c r="C974" s="7"/>
      <c r="D974" s="8"/>
      <c r="E974" s="7"/>
    </row>
    <row r="975" spans="1:5" x14ac:dyDescent="0.25">
      <c r="A975" s="7"/>
      <c r="B975" s="7"/>
      <c r="C975" s="7"/>
      <c r="D975" s="8"/>
      <c r="E975" s="7"/>
    </row>
    <row r="976" spans="1:5" x14ac:dyDescent="0.25">
      <c r="A976" s="7"/>
      <c r="B976" s="7"/>
      <c r="C976" s="7"/>
      <c r="D976" s="8"/>
      <c r="E976" s="7"/>
    </row>
    <row r="977" spans="1:5" x14ac:dyDescent="0.25">
      <c r="A977" s="7"/>
      <c r="B977" s="7"/>
      <c r="C977" s="7"/>
      <c r="D977" s="8"/>
      <c r="E977" s="7"/>
    </row>
    <row r="978" spans="1:5" x14ac:dyDescent="0.25">
      <c r="A978" s="7"/>
      <c r="B978" s="7"/>
      <c r="C978" s="7"/>
      <c r="D978" s="8"/>
      <c r="E978" s="7"/>
    </row>
    <row r="979" spans="1:5" x14ac:dyDescent="0.25">
      <c r="A979" s="7"/>
      <c r="B979" s="7"/>
      <c r="C979" s="7"/>
      <c r="D979" s="8"/>
      <c r="E979" s="7"/>
    </row>
    <row r="980" spans="1:5" x14ac:dyDescent="0.25">
      <c r="A980" s="7"/>
      <c r="B980" s="7"/>
      <c r="C980" s="7"/>
      <c r="D980" s="8"/>
      <c r="E980" s="7"/>
    </row>
    <row r="981" spans="1:5" x14ac:dyDescent="0.25">
      <c r="A981" s="7"/>
      <c r="B981" s="7"/>
      <c r="C981" s="7"/>
      <c r="D981" s="8"/>
      <c r="E981" s="7"/>
    </row>
    <row r="982" spans="1:5" x14ac:dyDescent="0.25">
      <c r="A982" s="7"/>
      <c r="B982" s="7"/>
      <c r="C982" s="7"/>
      <c r="D982" s="8"/>
      <c r="E982" s="7"/>
    </row>
    <row r="983" spans="1:5" x14ac:dyDescent="0.25">
      <c r="A983" s="7"/>
      <c r="B983" s="7"/>
      <c r="C983" s="7"/>
      <c r="D983" s="8"/>
      <c r="E983" s="7"/>
    </row>
    <row r="984" spans="1:5" x14ac:dyDescent="0.25">
      <c r="A984" s="7"/>
      <c r="B984" s="7"/>
      <c r="C984" s="7"/>
      <c r="D984" s="8"/>
      <c r="E984" s="7"/>
    </row>
    <row r="985" spans="1:5" x14ac:dyDescent="0.25">
      <c r="A985" s="7"/>
      <c r="B985" s="7"/>
      <c r="C985" s="7"/>
      <c r="D985" s="8"/>
      <c r="E985" s="7"/>
    </row>
    <row r="986" spans="1:5" x14ac:dyDescent="0.25">
      <c r="A986" s="7"/>
      <c r="B986" s="7"/>
      <c r="C986" s="7"/>
      <c r="D986" s="8"/>
      <c r="E986" s="7"/>
    </row>
    <row r="987" spans="1:5" x14ac:dyDescent="0.25">
      <c r="A987" s="7"/>
      <c r="B987" s="7"/>
      <c r="C987" s="7"/>
      <c r="D987" s="8"/>
      <c r="E987" s="7"/>
    </row>
    <row r="988" spans="1:5" x14ac:dyDescent="0.25">
      <c r="A988" s="7"/>
      <c r="B988" s="7"/>
      <c r="C988" s="7"/>
      <c r="D988" s="8"/>
      <c r="E988" s="7"/>
    </row>
    <row r="989" spans="1:5" x14ac:dyDescent="0.25">
      <c r="A989" s="7"/>
      <c r="B989" s="7"/>
      <c r="C989" s="7"/>
      <c r="D989" s="8"/>
      <c r="E989" s="7"/>
    </row>
    <row r="990" spans="1:5" x14ac:dyDescent="0.25">
      <c r="A990" s="7"/>
      <c r="B990" s="7"/>
      <c r="C990" s="7"/>
      <c r="D990" s="8"/>
      <c r="E990" s="7"/>
    </row>
    <row r="991" spans="1:5" x14ac:dyDescent="0.25">
      <c r="A991" s="7"/>
      <c r="B991" s="7"/>
      <c r="C991" s="7"/>
      <c r="D991" s="8"/>
      <c r="E991" s="7"/>
    </row>
    <row r="992" spans="1:5" x14ac:dyDescent="0.25">
      <c r="A992" s="7"/>
      <c r="B992" s="7"/>
      <c r="C992" s="7"/>
      <c r="D992" s="8"/>
      <c r="E992" s="7"/>
    </row>
    <row r="993" spans="1:5" x14ac:dyDescent="0.25">
      <c r="A993" s="7"/>
      <c r="B993" s="7"/>
      <c r="C993" s="7"/>
      <c r="D993" s="8"/>
      <c r="E993" s="7"/>
    </row>
    <row r="994" spans="1:5" x14ac:dyDescent="0.25">
      <c r="A994" s="7"/>
      <c r="B994" s="7"/>
      <c r="C994" s="7"/>
      <c r="D994" s="8"/>
      <c r="E994" s="7"/>
    </row>
    <row r="995" spans="1:5" x14ac:dyDescent="0.25">
      <c r="A995" s="7"/>
      <c r="B995" s="7"/>
      <c r="C995" s="7"/>
      <c r="D995" s="8"/>
      <c r="E995" s="7"/>
    </row>
    <row r="996" spans="1:5" x14ac:dyDescent="0.25">
      <c r="A996" s="7"/>
      <c r="B996" s="7"/>
      <c r="C996" s="7"/>
      <c r="D996" s="8"/>
      <c r="E996" s="7"/>
    </row>
    <row r="997" spans="1:5" x14ac:dyDescent="0.25">
      <c r="A997" s="7"/>
      <c r="B997" s="7"/>
      <c r="C997" s="7"/>
      <c r="D997" s="8"/>
      <c r="E997" s="7"/>
    </row>
    <row r="998" spans="1:5" x14ac:dyDescent="0.25">
      <c r="A998" s="7"/>
      <c r="B998" s="7"/>
      <c r="C998" s="7"/>
      <c r="D998" s="8"/>
      <c r="E998" s="7"/>
    </row>
    <row r="999" spans="1:5" x14ac:dyDescent="0.25">
      <c r="A999" s="7"/>
      <c r="B999" s="7"/>
      <c r="C999" s="7"/>
      <c r="D999" s="8"/>
      <c r="E999" s="7"/>
    </row>
    <row r="1000" spans="1:5" x14ac:dyDescent="0.25">
      <c r="A1000" s="7"/>
      <c r="B1000" s="7"/>
      <c r="C1000" s="7"/>
      <c r="D1000" s="8"/>
      <c r="E1000" s="7"/>
    </row>
    <row r="1001" spans="1:5" x14ac:dyDescent="0.25">
      <c r="A1001" s="7"/>
      <c r="B1001" s="7"/>
      <c r="C1001" s="7"/>
      <c r="D1001" s="8"/>
      <c r="E1001" s="7"/>
    </row>
    <row r="1002" spans="1:5" x14ac:dyDescent="0.25">
      <c r="A1002" s="7"/>
      <c r="B1002" s="7"/>
      <c r="C1002" s="7"/>
      <c r="D1002" s="8"/>
      <c r="E1002" s="7"/>
    </row>
    <row r="1003" spans="1:5" x14ac:dyDescent="0.25">
      <c r="A1003" s="7"/>
      <c r="B1003" s="7"/>
      <c r="C1003" s="7"/>
      <c r="D1003" s="8"/>
      <c r="E1003" s="7"/>
    </row>
    <row r="1004" spans="1:5" x14ac:dyDescent="0.25">
      <c r="A1004" s="7"/>
      <c r="B1004" s="7"/>
      <c r="C1004" s="7"/>
      <c r="D1004" s="8"/>
      <c r="E1004" s="7"/>
    </row>
    <row r="1005" spans="1:5" x14ac:dyDescent="0.25">
      <c r="A1005" s="7"/>
      <c r="B1005" s="7"/>
      <c r="C1005" s="7"/>
      <c r="D1005" s="8"/>
      <c r="E1005" s="7"/>
    </row>
    <row r="1006" spans="1:5" x14ac:dyDescent="0.25">
      <c r="A1006" s="7"/>
      <c r="B1006" s="7"/>
      <c r="C1006" s="7"/>
      <c r="D1006" s="8"/>
      <c r="E1006" s="7"/>
    </row>
    <row r="1007" spans="1:5" x14ac:dyDescent="0.25">
      <c r="A1007" s="7"/>
      <c r="B1007" s="7"/>
      <c r="C1007" s="7"/>
      <c r="D1007" s="8"/>
      <c r="E1007" s="7"/>
    </row>
    <row r="1008" spans="1:5" x14ac:dyDescent="0.25">
      <c r="A1008" s="7"/>
      <c r="B1008" s="7"/>
      <c r="C1008" s="7"/>
      <c r="D1008" s="8"/>
      <c r="E1008" s="7"/>
    </row>
    <row r="1009" spans="1:5" x14ac:dyDescent="0.25">
      <c r="A1009" s="7"/>
      <c r="B1009" s="7"/>
      <c r="C1009" s="7"/>
      <c r="D1009" s="8"/>
      <c r="E1009" s="7"/>
    </row>
    <row r="1010" spans="1:5" x14ac:dyDescent="0.25">
      <c r="A1010" s="7"/>
      <c r="B1010" s="7"/>
      <c r="C1010" s="7"/>
      <c r="D1010" s="8"/>
      <c r="E1010" s="7"/>
    </row>
    <row r="1011" spans="1:5" x14ac:dyDescent="0.25">
      <c r="A1011" s="7"/>
      <c r="B1011" s="7"/>
      <c r="C1011" s="7"/>
      <c r="D1011" s="8"/>
      <c r="E1011" s="7"/>
    </row>
    <row r="1012" spans="1:5" x14ac:dyDescent="0.25">
      <c r="A1012" s="7"/>
      <c r="B1012" s="7"/>
      <c r="C1012" s="7"/>
      <c r="D1012" s="8"/>
      <c r="E1012" s="7"/>
    </row>
    <row r="1013" spans="1:5" x14ac:dyDescent="0.25">
      <c r="A1013" s="7"/>
      <c r="B1013" s="7"/>
      <c r="C1013" s="7"/>
      <c r="D1013" s="8"/>
      <c r="E1013" s="7"/>
    </row>
    <row r="1014" spans="1:5" x14ac:dyDescent="0.25">
      <c r="A1014" s="7"/>
      <c r="B1014" s="7"/>
      <c r="C1014" s="7"/>
      <c r="D1014" s="8"/>
      <c r="E1014" s="7"/>
    </row>
    <row r="1015" spans="1:5" x14ac:dyDescent="0.25">
      <c r="A1015" s="7"/>
      <c r="B1015" s="7"/>
      <c r="C1015" s="7"/>
      <c r="D1015" s="8"/>
      <c r="E1015" s="7"/>
    </row>
    <row r="1016" spans="1:5" x14ac:dyDescent="0.25">
      <c r="A1016" s="7"/>
      <c r="B1016" s="7"/>
      <c r="C1016" s="7"/>
      <c r="D1016" s="8"/>
      <c r="E1016" s="7"/>
    </row>
    <row r="1017" spans="1:5" x14ac:dyDescent="0.25">
      <c r="A1017" s="7"/>
      <c r="B1017" s="7"/>
      <c r="C1017" s="7"/>
      <c r="D1017" s="8"/>
      <c r="E1017" s="7"/>
    </row>
    <row r="1018" spans="1:5" x14ac:dyDescent="0.25">
      <c r="A1018" s="7"/>
      <c r="B1018" s="7"/>
      <c r="C1018" s="7"/>
      <c r="D1018" s="8"/>
      <c r="E1018" s="7"/>
    </row>
    <row r="1019" spans="1:5" x14ac:dyDescent="0.25">
      <c r="A1019" s="7"/>
      <c r="B1019" s="7"/>
      <c r="C1019" s="7"/>
      <c r="D1019" s="8"/>
      <c r="E1019" s="7"/>
    </row>
    <row r="1020" spans="1:5" x14ac:dyDescent="0.25">
      <c r="A1020" s="7"/>
      <c r="B1020" s="7"/>
      <c r="C1020" s="7"/>
      <c r="D1020" s="8"/>
      <c r="E1020" s="7"/>
    </row>
    <row r="1021" spans="1:5" x14ac:dyDescent="0.25">
      <c r="A1021" s="7"/>
      <c r="B1021" s="7"/>
      <c r="C1021" s="7"/>
      <c r="D1021" s="8"/>
      <c r="E1021" s="7"/>
    </row>
    <row r="1022" spans="1:5" x14ac:dyDescent="0.25">
      <c r="A1022" s="7"/>
      <c r="B1022" s="7"/>
      <c r="C1022" s="7"/>
      <c r="D1022" s="8"/>
      <c r="E1022" s="7"/>
    </row>
    <row r="1023" spans="1:5" x14ac:dyDescent="0.25">
      <c r="A1023" s="7"/>
      <c r="B1023" s="7"/>
      <c r="C1023" s="7"/>
      <c r="D1023" s="8"/>
      <c r="E1023" s="7"/>
    </row>
    <row r="1024" spans="1:5" x14ac:dyDescent="0.25">
      <c r="A1024" s="7"/>
      <c r="B1024" s="7"/>
      <c r="C1024" s="7"/>
      <c r="D1024" s="8"/>
      <c r="E1024" s="7"/>
    </row>
    <row r="1025" spans="1:5" x14ac:dyDescent="0.25">
      <c r="A1025" s="7"/>
      <c r="B1025" s="7"/>
      <c r="C1025" s="7"/>
      <c r="D1025" s="8"/>
      <c r="E1025" s="7"/>
    </row>
    <row r="1026" spans="1:5" x14ac:dyDescent="0.25">
      <c r="A1026" s="7"/>
      <c r="B1026" s="7"/>
      <c r="C1026" s="7"/>
      <c r="D1026" s="8"/>
      <c r="E1026" s="7"/>
    </row>
    <row r="1027" spans="1:5" x14ac:dyDescent="0.25">
      <c r="A1027" s="7"/>
      <c r="B1027" s="7"/>
      <c r="C1027" s="7"/>
      <c r="D1027" s="8"/>
      <c r="E1027" s="7"/>
    </row>
    <row r="1028" spans="1:5" x14ac:dyDescent="0.25">
      <c r="A1028" s="7"/>
      <c r="B1028" s="7"/>
      <c r="C1028" s="7"/>
      <c r="D1028" s="8"/>
      <c r="E1028" s="7"/>
    </row>
    <row r="1029" spans="1:5" x14ac:dyDescent="0.25">
      <c r="A1029" s="7"/>
      <c r="B1029" s="7"/>
      <c r="C1029" s="7"/>
      <c r="D1029" s="8"/>
      <c r="E1029" s="7"/>
    </row>
    <row r="1030" spans="1:5" x14ac:dyDescent="0.25">
      <c r="A1030" s="7"/>
      <c r="B1030" s="7"/>
      <c r="C1030" s="7"/>
      <c r="D1030" s="8"/>
      <c r="E1030" s="7"/>
    </row>
    <row r="1031" spans="1:5" x14ac:dyDescent="0.25">
      <c r="A1031" s="7"/>
      <c r="B1031" s="7"/>
      <c r="C1031" s="7"/>
      <c r="D1031" s="8"/>
      <c r="E1031" s="7"/>
    </row>
    <row r="1032" spans="1:5" x14ac:dyDescent="0.25">
      <c r="A1032" s="7"/>
      <c r="B1032" s="7"/>
      <c r="C1032" s="7"/>
      <c r="D1032" s="8"/>
      <c r="E1032" s="7"/>
    </row>
    <row r="1033" spans="1:5" x14ac:dyDescent="0.25">
      <c r="A1033" s="7"/>
      <c r="B1033" s="7"/>
      <c r="C1033" s="7"/>
      <c r="D1033" s="8"/>
      <c r="E1033" s="7"/>
    </row>
    <row r="1034" spans="1:5" x14ac:dyDescent="0.25">
      <c r="A1034" s="7"/>
      <c r="B1034" s="7"/>
      <c r="C1034" s="7"/>
      <c r="D1034" s="8"/>
      <c r="E1034" s="7"/>
    </row>
    <row r="1035" spans="1:5" x14ac:dyDescent="0.25">
      <c r="A1035" s="7"/>
      <c r="B1035" s="7"/>
      <c r="C1035" s="7"/>
      <c r="D1035" s="8"/>
      <c r="E1035" s="7"/>
    </row>
    <row r="1036" spans="1:5" x14ac:dyDescent="0.25">
      <c r="A1036" s="7"/>
      <c r="B1036" s="7"/>
      <c r="C1036" s="7"/>
      <c r="D1036" s="8"/>
      <c r="E1036" s="7"/>
    </row>
    <row r="1037" spans="1:5" x14ac:dyDescent="0.25">
      <c r="A1037" s="7"/>
      <c r="B1037" s="7"/>
      <c r="C1037" s="7"/>
      <c r="D1037" s="8"/>
      <c r="E1037" s="7"/>
    </row>
    <row r="1038" spans="1:5" x14ac:dyDescent="0.25">
      <c r="A1038" s="7"/>
      <c r="B1038" s="7"/>
      <c r="C1038" s="7"/>
      <c r="D1038" s="8"/>
      <c r="E1038" s="7"/>
    </row>
    <row r="1039" spans="1:5" x14ac:dyDescent="0.25">
      <c r="A1039" s="7"/>
      <c r="B1039" s="7"/>
      <c r="C1039" s="7"/>
      <c r="D1039" s="8"/>
      <c r="E1039" s="7"/>
    </row>
    <row r="1040" spans="1:5" x14ac:dyDescent="0.25">
      <c r="A1040" s="7"/>
      <c r="B1040" s="7"/>
      <c r="C1040" s="7"/>
      <c r="D1040" s="8"/>
      <c r="E1040" s="7"/>
    </row>
    <row r="1041" spans="1:5" x14ac:dyDescent="0.25">
      <c r="A1041" s="7"/>
      <c r="B1041" s="7"/>
      <c r="C1041" s="7"/>
      <c r="D1041" s="8"/>
      <c r="E1041" s="7"/>
    </row>
    <row r="1042" spans="1:5" x14ac:dyDescent="0.25">
      <c r="A1042" s="7"/>
      <c r="B1042" s="7"/>
      <c r="C1042" s="7"/>
      <c r="D1042" s="8"/>
      <c r="E1042" s="7"/>
    </row>
    <row r="1043" spans="1:5" x14ac:dyDescent="0.25">
      <c r="A1043" s="7"/>
      <c r="B1043" s="7"/>
      <c r="C1043" s="7"/>
      <c r="D1043" s="8"/>
      <c r="E1043" s="7"/>
    </row>
    <row r="1044" spans="1:5" x14ac:dyDescent="0.25">
      <c r="A1044" s="7"/>
      <c r="B1044" s="7"/>
      <c r="C1044" s="7"/>
      <c r="D1044" s="8"/>
      <c r="E1044" s="7"/>
    </row>
    <row r="1045" spans="1:5" x14ac:dyDescent="0.25">
      <c r="A1045" s="7"/>
      <c r="B1045" s="7"/>
      <c r="C1045" s="7"/>
      <c r="D1045" s="8"/>
      <c r="E1045" s="7"/>
    </row>
    <row r="1046" spans="1:5" x14ac:dyDescent="0.25">
      <c r="A1046" s="7"/>
      <c r="B1046" s="7"/>
      <c r="C1046" s="7"/>
      <c r="D1046" s="8"/>
      <c r="E1046" s="7"/>
    </row>
    <row r="1047" spans="1:5" x14ac:dyDescent="0.25">
      <c r="A1047" s="7"/>
      <c r="B1047" s="7"/>
      <c r="C1047" s="7"/>
      <c r="D1047" s="8"/>
      <c r="E1047" s="7"/>
    </row>
    <row r="1048" spans="1:5" x14ac:dyDescent="0.25">
      <c r="A1048" s="7"/>
      <c r="B1048" s="7"/>
      <c r="C1048" s="7"/>
      <c r="D1048" s="8"/>
      <c r="E1048" s="7"/>
    </row>
    <row r="1049" spans="1:5" x14ac:dyDescent="0.25">
      <c r="A1049" s="7"/>
      <c r="B1049" s="7"/>
      <c r="C1049" s="7"/>
      <c r="D1049" s="8"/>
      <c r="E1049" s="7"/>
    </row>
    <row r="1050" spans="1:5" x14ac:dyDescent="0.25">
      <c r="A1050" s="7"/>
      <c r="B1050" s="7"/>
      <c r="C1050" s="7"/>
      <c r="D1050" s="8"/>
      <c r="E1050" s="7"/>
    </row>
    <row r="1051" spans="1:5" x14ac:dyDescent="0.25">
      <c r="A1051" s="7"/>
      <c r="B1051" s="7"/>
      <c r="C1051" s="7"/>
      <c r="D1051" s="8"/>
      <c r="E1051" s="7"/>
    </row>
    <row r="1052" spans="1:5" x14ac:dyDescent="0.25">
      <c r="A1052" s="7"/>
      <c r="B1052" s="7"/>
      <c r="C1052" s="7"/>
      <c r="D1052" s="8"/>
      <c r="E1052" s="7"/>
    </row>
    <row r="1053" spans="1:5" x14ac:dyDescent="0.25">
      <c r="A1053" s="7"/>
      <c r="B1053" s="7"/>
      <c r="C1053" s="7"/>
      <c r="D1053" s="8"/>
      <c r="E1053" s="7"/>
    </row>
    <row r="1054" spans="1:5" x14ac:dyDescent="0.25">
      <c r="A1054" s="7"/>
      <c r="B1054" s="7"/>
      <c r="C1054" s="7"/>
      <c r="D1054" s="8"/>
      <c r="E1054" s="7"/>
    </row>
    <row r="1055" spans="1:5" x14ac:dyDescent="0.25">
      <c r="A1055" s="7"/>
      <c r="B1055" s="7"/>
      <c r="C1055" s="7"/>
      <c r="D1055" s="8"/>
      <c r="E1055" s="7"/>
    </row>
    <row r="1056" spans="1:5" x14ac:dyDescent="0.25">
      <c r="A1056" s="7"/>
      <c r="B1056" s="7"/>
      <c r="C1056" s="7"/>
      <c r="D1056" s="8"/>
      <c r="E1056" s="7"/>
    </row>
    <row r="1057" spans="1:5" x14ac:dyDescent="0.25">
      <c r="A1057" s="7"/>
      <c r="B1057" s="7"/>
      <c r="C1057" s="7"/>
      <c r="D1057" s="8"/>
      <c r="E1057" s="7"/>
    </row>
    <row r="1058" spans="1:5" x14ac:dyDescent="0.25">
      <c r="A1058" s="7"/>
      <c r="B1058" s="7"/>
      <c r="C1058" s="7"/>
      <c r="D1058" s="8"/>
      <c r="E1058" s="7"/>
    </row>
    <row r="1059" spans="1:5" x14ac:dyDescent="0.25">
      <c r="A1059" s="7"/>
      <c r="B1059" s="7"/>
      <c r="C1059" s="7"/>
      <c r="D1059" s="8"/>
      <c r="E1059" s="7"/>
    </row>
    <row r="1060" spans="1:5" x14ac:dyDescent="0.25">
      <c r="A1060" s="7"/>
      <c r="B1060" s="7"/>
      <c r="C1060" s="7"/>
      <c r="D1060" s="8"/>
      <c r="E1060" s="7"/>
    </row>
    <row r="1061" spans="1:5" x14ac:dyDescent="0.25">
      <c r="A1061" s="7"/>
      <c r="B1061" s="7"/>
      <c r="C1061" s="7"/>
      <c r="D1061" s="8"/>
      <c r="E1061" s="7"/>
    </row>
    <row r="1062" spans="1:5" x14ac:dyDescent="0.25">
      <c r="A1062" s="7"/>
      <c r="B1062" s="7"/>
      <c r="C1062" s="7"/>
      <c r="D1062" s="8"/>
      <c r="E1062" s="7"/>
    </row>
    <row r="1063" spans="1:5" x14ac:dyDescent="0.25">
      <c r="A1063" s="7"/>
      <c r="B1063" s="7"/>
      <c r="C1063" s="7"/>
      <c r="D1063" s="8"/>
      <c r="E1063" s="7"/>
    </row>
    <row r="1064" spans="1:5" x14ac:dyDescent="0.25">
      <c r="A1064" s="7"/>
      <c r="B1064" s="7"/>
      <c r="C1064" s="7"/>
      <c r="D1064" s="8"/>
      <c r="E1064" s="7"/>
    </row>
    <row r="1065" spans="1:5" x14ac:dyDescent="0.25">
      <c r="A1065" s="7"/>
      <c r="B1065" s="7"/>
      <c r="C1065" s="7"/>
      <c r="D1065" s="8"/>
      <c r="E1065" s="7"/>
    </row>
    <row r="1066" spans="1:5" x14ac:dyDescent="0.25">
      <c r="A1066" s="7"/>
      <c r="B1066" s="7"/>
      <c r="C1066" s="7"/>
      <c r="D1066" s="8"/>
      <c r="E1066" s="7"/>
    </row>
    <row r="1067" spans="1:5" x14ac:dyDescent="0.25">
      <c r="A1067" s="7"/>
      <c r="B1067" s="7"/>
      <c r="C1067" s="7"/>
      <c r="D1067" s="8"/>
      <c r="E1067" s="7"/>
    </row>
    <row r="1068" spans="1:5" x14ac:dyDescent="0.25">
      <c r="A1068" s="7"/>
      <c r="B1068" s="7"/>
      <c r="C1068" s="7"/>
      <c r="D1068" s="8"/>
      <c r="E1068" s="7"/>
    </row>
    <row r="1069" spans="1:5" x14ac:dyDescent="0.25">
      <c r="A1069" s="7"/>
      <c r="B1069" s="7"/>
      <c r="C1069" s="7"/>
      <c r="D1069" s="8"/>
      <c r="E1069" s="7"/>
    </row>
    <row r="1070" spans="1:5" x14ac:dyDescent="0.25">
      <c r="A1070" s="7"/>
      <c r="B1070" s="7"/>
      <c r="C1070" s="7"/>
      <c r="D1070" s="8"/>
      <c r="E1070" s="7"/>
    </row>
    <row r="1071" spans="1:5" x14ac:dyDescent="0.25">
      <c r="A1071" s="7"/>
      <c r="B1071" s="7"/>
      <c r="C1071" s="7"/>
      <c r="D1071" s="8"/>
      <c r="E1071" s="7"/>
    </row>
    <row r="1072" spans="1:5" x14ac:dyDescent="0.25">
      <c r="A1072" s="7"/>
      <c r="B1072" s="7"/>
      <c r="C1072" s="7"/>
      <c r="D1072" s="8"/>
      <c r="E1072" s="7"/>
    </row>
    <row r="1073" spans="1:5" x14ac:dyDescent="0.25">
      <c r="A1073" s="7"/>
      <c r="B1073" s="7"/>
      <c r="C1073" s="7"/>
      <c r="D1073" s="8"/>
      <c r="E1073" s="7"/>
    </row>
    <row r="1074" spans="1:5" x14ac:dyDescent="0.25">
      <c r="A1074" s="7"/>
      <c r="B1074" s="7"/>
      <c r="C1074" s="7"/>
      <c r="D1074" s="8"/>
      <c r="E1074" s="7"/>
    </row>
    <row r="1075" spans="1:5" x14ac:dyDescent="0.25">
      <c r="A1075" s="7"/>
      <c r="B1075" s="7"/>
      <c r="C1075" s="7"/>
      <c r="D1075" s="8"/>
      <c r="E1075" s="7"/>
    </row>
    <row r="1076" spans="1:5" x14ac:dyDescent="0.25">
      <c r="A1076" s="7"/>
      <c r="B1076" s="7"/>
      <c r="C1076" s="7"/>
      <c r="D1076" s="8"/>
      <c r="E1076" s="7"/>
    </row>
    <row r="1077" spans="1:5" x14ac:dyDescent="0.25">
      <c r="A1077" s="7"/>
      <c r="B1077" s="7"/>
      <c r="C1077" s="7"/>
      <c r="D1077" s="8"/>
      <c r="E1077" s="7"/>
    </row>
    <row r="1078" spans="1:5" x14ac:dyDescent="0.25">
      <c r="A1078" s="7"/>
      <c r="B1078" s="7"/>
      <c r="C1078" s="7"/>
      <c r="D1078" s="8"/>
      <c r="E1078" s="7"/>
    </row>
    <row r="1079" spans="1:5" x14ac:dyDescent="0.25">
      <c r="A1079" s="7"/>
      <c r="B1079" s="7"/>
      <c r="C1079" s="7"/>
      <c r="D1079" s="8"/>
      <c r="E1079" s="7"/>
    </row>
    <row r="1080" spans="1:5" x14ac:dyDescent="0.25">
      <c r="A1080" s="7"/>
      <c r="B1080" s="7"/>
      <c r="C1080" s="7"/>
      <c r="D1080" s="8"/>
      <c r="E1080" s="7"/>
    </row>
    <row r="1081" spans="1:5" x14ac:dyDescent="0.25">
      <c r="A1081" s="7"/>
      <c r="B1081" s="7"/>
      <c r="C1081" s="7"/>
      <c r="D1081" s="8"/>
      <c r="E1081" s="7"/>
    </row>
    <row r="1082" spans="1:5" x14ac:dyDescent="0.25">
      <c r="A1082" s="7"/>
      <c r="B1082" s="7"/>
      <c r="C1082" s="7"/>
      <c r="D1082" s="8"/>
      <c r="E1082" s="7"/>
    </row>
    <row r="1083" spans="1:5" x14ac:dyDescent="0.25">
      <c r="A1083" s="7"/>
      <c r="B1083" s="7"/>
      <c r="C1083" s="7"/>
      <c r="D1083" s="8"/>
      <c r="E1083" s="7"/>
    </row>
    <row r="1084" spans="1:5" x14ac:dyDescent="0.25">
      <c r="A1084" s="7"/>
      <c r="B1084" s="7"/>
      <c r="C1084" s="7"/>
      <c r="D1084" s="8"/>
      <c r="E1084" s="7"/>
    </row>
    <row r="1085" spans="1:5" x14ac:dyDescent="0.25">
      <c r="A1085" s="7"/>
      <c r="B1085" s="7"/>
      <c r="C1085" s="7"/>
      <c r="D1085" s="8"/>
      <c r="E1085" s="7"/>
    </row>
    <row r="1086" spans="1:5" x14ac:dyDescent="0.25">
      <c r="A1086" s="7"/>
      <c r="B1086" s="7"/>
      <c r="C1086" s="7"/>
      <c r="D1086" s="8"/>
      <c r="E1086" s="7"/>
    </row>
    <row r="1087" spans="1:5" x14ac:dyDescent="0.25">
      <c r="A1087" s="7"/>
      <c r="B1087" s="7"/>
      <c r="C1087" s="7"/>
      <c r="D1087" s="8"/>
      <c r="E1087" s="7"/>
    </row>
    <row r="1088" spans="1:5" x14ac:dyDescent="0.25">
      <c r="A1088" s="7"/>
      <c r="B1088" s="7"/>
      <c r="C1088" s="7"/>
      <c r="D1088" s="8"/>
      <c r="E1088" s="7"/>
    </row>
    <row r="1089" spans="1:5" x14ac:dyDescent="0.25">
      <c r="A1089" s="7"/>
      <c r="B1089" s="7"/>
      <c r="C1089" s="7"/>
      <c r="D1089" s="8"/>
      <c r="E1089" s="7"/>
    </row>
    <row r="1090" spans="1:5" x14ac:dyDescent="0.25">
      <c r="A1090" s="7"/>
      <c r="B1090" s="7"/>
      <c r="C1090" s="7"/>
      <c r="D1090" s="8"/>
      <c r="E1090" s="7"/>
    </row>
    <row r="1091" spans="1:5" x14ac:dyDescent="0.25">
      <c r="A1091" s="7"/>
      <c r="B1091" s="7"/>
      <c r="C1091" s="7"/>
      <c r="D1091" s="8"/>
      <c r="E1091" s="7"/>
    </row>
    <row r="1092" spans="1:5" x14ac:dyDescent="0.25">
      <c r="A1092" s="7"/>
      <c r="B1092" s="7"/>
      <c r="C1092" s="7"/>
      <c r="D1092" s="8"/>
      <c r="E1092" s="7"/>
    </row>
    <row r="1093" spans="1:5" x14ac:dyDescent="0.25">
      <c r="A1093" s="7"/>
      <c r="B1093" s="7"/>
      <c r="C1093" s="7"/>
      <c r="D1093" s="8"/>
      <c r="E1093" s="7"/>
    </row>
    <row r="1094" spans="1:5" x14ac:dyDescent="0.25">
      <c r="A1094" s="7"/>
      <c r="B1094" s="7"/>
      <c r="C1094" s="7"/>
      <c r="D1094" s="8"/>
      <c r="E1094" s="7"/>
    </row>
    <row r="1095" spans="1:5" x14ac:dyDescent="0.25">
      <c r="A1095" s="7"/>
      <c r="B1095" s="7"/>
      <c r="C1095" s="7"/>
      <c r="D1095" s="8"/>
      <c r="E1095" s="7"/>
    </row>
    <row r="1096" spans="1:5" x14ac:dyDescent="0.25">
      <c r="A1096" s="7"/>
      <c r="B1096" s="7"/>
      <c r="C1096" s="7"/>
      <c r="D1096" s="8"/>
      <c r="E1096" s="7"/>
    </row>
    <row r="1097" spans="1:5" x14ac:dyDescent="0.25">
      <c r="A1097" s="7"/>
      <c r="B1097" s="7"/>
      <c r="C1097" s="7"/>
      <c r="D1097" s="8"/>
      <c r="E1097" s="7"/>
    </row>
    <row r="1098" spans="1:5" x14ac:dyDescent="0.25">
      <c r="A1098" s="7"/>
      <c r="B1098" s="7"/>
      <c r="C1098" s="7"/>
      <c r="D1098" s="8"/>
      <c r="E1098" s="7"/>
    </row>
    <row r="1099" spans="1:5" x14ac:dyDescent="0.25">
      <c r="A1099" s="7"/>
      <c r="B1099" s="7"/>
      <c r="C1099" s="7"/>
      <c r="D1099" s="8"/>
      <c r="E1099" s="7"/>
    </row>
    <row r="1100" spans="1:5" x14ac:dyDescent="0.25">
      <c r="A1100" s="7"/>
      <c r="B1100" s="7"/>
      <c r="C1100" s="7"/>
      <c r="D1100" s="8"/>
      <c r="E1100" s="7"/>
    </row>
    <row r="1101" spans="1:5" x14ac:dyDescent="0.25">
      <c r="A1101" s="7"/>
      <c r="B1101" s="7"/>
      <c r="C1101" s="7"/>
      <c r="D1101" s="8"/>
      <c r="E1101" s="7"/>
    </row>
    <row r="1102" spans="1:5" x14ac:dyDescent="0.25">
      <c r="A1102" s="7"/>
      <c r="B1102" s="7"/>
      <c r="C1102" s="7"/>
      <c r="D1102" s="8"/>
      <c r="E1102" s="7"/>
    </row>
    <row r="1103" spans="1:5" x14ac:dyDescent="0.25">
      <c r="A1103" s="7"/>
      <c r="B1103" s="7"/>
      <c r="C1103" s="7"/>
      <c r="D1103" s="8"/>
      <c r="E1103" s="7"/>
    </row>
    <row r="1104" spans="1:5" x14ac:dyDescent="0.25">
      <c r="A1104" s="7"/>
      <c r="B1104" s="7"/>
      <c r="C1104" s="7"/>
      <c r="D1104" s="8"/>
      <c r="E1104" s="7"/>
    </row>
    <row r="1105" spans="1:5" x14ac:dyDescent="0.25">
      <c r="A1105" s="7"/>
      <c r="B1105" s="7"/>
      <c r="C1105" s="7"/>
      <c r="D1105" s="8"/>
      <c r="E1105" s="7"/>
    </row>
    <row r="1106" spans="1:5" x14ac:dyDescent="0.25">
      <c r="A1106" s="7"/>
      <c r="B1106" s="7"/>
      <c r="C1106" s="7"/>
      <c r="D1106" s="8"/>
      <c r="E1106" s="7"/>
    </row>
    <row r="1107" spans="1:5" x14ac:dyDescent="0.25">
      <c r="A1107" s="7"/>
      <c r="B1107" s="7"/>
      <c r="C1107" s="7"/>
      <c r="D1107" s="8"/>
      <c r="E1107" s="7"/>
    </row>
    <row r="1108" spans="1:5" x14ac:dyDescent="0.25">
      <c r="A1108" s="7"/>
      <c r="B1108" s="7"/>
      <c r="C1108" s="7"/>
      <c r="D1108" s="8"/>
      <c r="E1108" s="7"/>
    </row>
    <row r="1109" spans="1:5" x14ac:dyDescent="0.25">
      <c r="A1109" s="7"/>
      <c r="B1109" s="7"/>
      <c r="C1109" s="7"/>
      <c r="D1109" s="8"/>
      <c r="E1109" s="7"/>
    </row>
    <row r="1110" spans="1:5" x14ac:dyDescent="0.25">
      <c r="A1110" s="7"/>
      <c r="B1110" s="7"/>
      <c r="C1110" s="7"/>
      <c r="D1110" s="8"/>
      <c r="E1110" s="7"/>
    </row>
    <row r="1111" spans="1:5" x14ac:dyDescent="0.25">
      <c r="A1111" s="7"/>
      <c r="B1111" s="7"/>
      <c r="C1111" s="7"/>
      <c r="D1111" s="8"/>
      <c r="E1111" s="7"/>
    </row>
    <row r="1112" spans="1:5" x14ac:dyDescent="0.25">
      <c r="A1112" s="7"/>
      <c r="B1112" s="7"/>
      <c r="C1112" s="7"/>
      <c r="D1112" s="8"/>
      <c r="E1112" s="7"/>
    </row>
    <row r="1113" spans="1:5" x14ac:dyDescent="0.25">
      <c r="A1113" s="7"/>
      <c r="B1113" s="7"/>
      <c r="C1113" s="7"/>
      <c r="D1113" s="8"/>
      <c r="E1113" s="7"/>
    </row>
    <row r="1114" spans="1:5" x14ac:dyDescent="0.25">
      <c r="A1114" s="7"/>
      <c r="B1114" s="7"/>
      <c r="C1114" s="7"/>
      <c r="D1114" s="8"/>
      <c r="E1114" s="7"/>
    </row>
    <row r="1115" spans="1:5" x14ac:dyDescent="0.25">
      <c r="A1115" s="7"/>
      <c r="B1115" s="7"/>
      <c r="C1115" s="7"/>
      <c r="D1115" s="8"/>
      <c r="E1115" s="7"/>
    </row>
    <row r="1116" spans="1:5" x14ac:dyDescent="0.25">
      <c r="A1116" s="7"/>
      <c r="B1116" s="7"/>
      <c r="C1116" s="7"/>
      <c r="D1116" s="8"/>
      <c r="E1116" s="7"/>
    </row>
    <row r="1117" spans="1:5" x14ac:dyDescent="0.25">
      <c r="A1117" s="7"/>
      <c r="B1117" s="7"/>
      <c r="C1117" s="7"/>
      <c r="D1117" s="8"/>
      <c r="E1117" s="7"/>
    </row>
    <row r="1118" spans="1:5" x14ac:dyDescent="0.25">
      <c r="A1118" s="7"/>
      <c r="B1118" s="7"/>
      <c r="C1118" s="7"/>
      <c r="D1118" s="8"/>
      <c r="E1118" s="7"/>
    </row>
    <row r="1119" spans="1:5" x14ac:dyDescent="0.25">
      <c r="A1119" s="7"/>
      <c r="B1119" s="7"/>
      <c r="C1119" s="7"/>
      <c r="D1119" s="8"/>
      <c r="E1119" s="7"/>
    </row>
    <row r="1120" spans="1:5" x14ac:dyDescent="0.25">
      <c r="A1120" s="7"/>
      <c r="B1120" s="7"/>
      <c r="C1120" s="7"/>
      <c r="D1120" s="8"/>
      <c r="E1120" s="7"/>
    </row>
    <row r="1121" spans="1:5" x14ac:dyDescent="0.25">
      <c r="A1121" s="7"/>
      <c r="B1121" s="7"/>
      <c r="C1121" s="7"/>
      <c r="D1121" s="8"/>
      <c r="E1121" s="7"/>
    </row>
    <row r="1122" spans="1:5" x14ac:dyDescent="0.25">
      <c r="A1122" s="7"/>
      <c r="B1122" s="7"/>
      <c r="C1122" s="7"/>
      <c r="D1122" s="8"/>
      <c r="E1122" s="7"/>
    </row>
    <row r="1123" spans="1:5" x14ac:dyDescent="0.25">
      <c r="A1123" s="7"/>
      <c r="B1123" s="7"/>
      <c r="C1123" s="7"/>
      <c r="D1123" s="8"/>
      <c r="E1123" s="7"/>
    </row>
    <row r="1124" spans="1:5" x14ac:dyDescent="0.25">
      <c r="A1124" s="7"/>
      <c r="B1124" s="7"/>
      <c r="C1124" s="7"/>
      <c r="D1124" s="8"/>
      <c r="E1124" s="7"/>
    </row>
    <row r="1125" spans="1:5" x14ac:dyDescent="0.25">
      <c r="A1125" s="7"/>
      <c r="B1125" s="7"/>
      <c r="C1125" s="7"/>
      <c r="D1125" s="8"/>
      <c r="E1125" s="7"/>
    </row>
    <row r="1126" spans="1:5" x14ac:dyDescent="0.25">
      <c r="A1126" s="7"/>
      <c r="B1126" s="7"/>
      <c r="C1126" s="7"/>
      <c r="D1126" s="8"/>
      <c r="E1126" s="7"/>
    </row>
    <row r="1127" spans="1:5" x14ac:dyDescent="0.25">
      <c r="A1127" s="7"/>
      <c r="B1127" s="7"/>
      <c r="C1127" s="7"/>
      <c r="D1127" s="8"/>
      <c r="E1127" s="7"/>
    </row>
    <row r="1128" spans="1:5" x14ac:dyDescent="0.25">
      <c r="A1128" s="7"/>
      <c r="B1128" s="7"/>
      <c r="C1128" s="7"/>
      <c r="D1128" s="8"/>
      <c r="E1128" s="7"/>
    </row>
    <row r="1129" spans="1:5" x14ac:dyDescent="0.25">
      <c r="A1129" s="7"/>
      <c r="B1129" s="7"/>
      <c r="C1129" s="7"/>
      <c r="D1129" s="8"/>
      <c r="E1129" s="7"/>
    </row>
    <row r="1130" spans="1:5" x14ac:dyDescent="0.25">
      <c r="A1130" s="7"/>
      <c r="B1130" s="7"/>
      <c r="C1130" s="7"/>
      <c r="D1130" s="8"/>
      <c r="E1130" s="7"/>
    </row>
    <row r="1131" spans="1:5" x14ac:dyDescent="0.25">
      <c r="A1131" s="7"/>
      <c r="B1131" s="7"/>
      <c r="C1131" s="7"/>
      <c r="D1131" s="8"/>
      <c r="E1131" s="7"/>
    </row>
    <row r="1132" spans="1:5" x14ac:dyDescent="0.25">
      <c r="A1132" s="7"/>
      <c r="B1132" s="7"/>
      <c r="C1132" s="7"/>
      <c r="D1132" s="8"/>
      <c r="E1132" s="7"/>
    </row>
    <row r="1133" spans="1:5" x14ac:dyDescent="0.25">
      <c r="A1133" s="7"/>
      <c r="B1133" s="7"/>
      <c r="C1133" s="7"/>
      <c r="D1133" s="8"/>
      <c r="E1133" s="7"/>
    </row>
    <row r="1134" spans="1:5" x14ac:dyDescent="0.25">
      <c r="A1134" s="7"/>
      <c r="B1134" s="7"/>
      <c r="C1134" s="7"/>
      <c r="D1134" s="8"/>
      <c r="E1134" s="7"/>
    </row>
    <row r="1135" spans="1:5" x14ac:dyDescent="0.25">
      <c r="A1135" s="7"/>
      <c r="B1135" s="7"/>
      <c r="C1135" s="7"/>
      <c r="D1135" s="8"/>
      <c r="E1135" s="7"/>
    </row>
    <row r="1136" spans="1:5" x14ac:dyDescent="0.25">
      <c r="A1136" s="7"/>
      <c r="B1136" s="7"/>
      <c r="C1136" s="7"/>
      <c r="D1136" s="8"/>
      <c r="E1136" s="7"/>
    </row>
    <row r="1137" spans="1:5" x14ac:dyDescent="0.25">
      <c r="A1137" s="7"/>
      <c r="B1137" s="7"/>
      <c r="C1137" s="7"/>
      <c r="D1137" s="8"/>
      <c r="E1137" s="7"/>
    </row>
    <row r="1138" spans="1:5" x14ac:dyDescent="0.25">
      <c r="A1138" s="7"/>
      <c r="B1138" s="7"/>
      <c r="C1138" s="7"/>
      <c r="D1138" s="8"/>
      <c r="E1138" s="7"/>
    </row>
    <row r="1139" spans="1:5" x14ac:dyDescent="0.25">
      <c r="A1139" s="7"/>
      <c r="B1139" s="7"/>
      <c r="C1139" s="7"/>
      <c r="D1139" s="8"/>
      <c r="E1139" s="7"/>
    </row>
    <row r="1140" spans="1:5" x14ac:dyDescent="0.25">
      <c r="A1140" s="7"/>
      <c r="B1140" s="7"/>
      <c r="C1140" s="7"/>
      <c r="D1140" s="8"/>
      <c r="E1140" s="7"/>
    </row>
    <row r="1141" spans="1:5" x14ac:dyDescent="0.25">
      <c r="A1141" s="7"/>
      <c r="B1141" s="7"/>
      <c r="C1141" s="7"/>
      <c r="D1141" s="8"/>
      <c r="E1141" s="7"/>
    </row>
    <row r="1142" spans="1:5" x14ac:dyDescent="0.25">
      <c r="A1142" s="7"/>
      <c r="B1142" s="7"/>
      <c r="C1142" s="7"/>
      <c r="D1142" s="8"/>
      <c r="E1142" s="7"/>
    </row>
    <row r="1143" spans="1:5" x14ac:dyDescent="0.25">
      <c r="A1143" s="7"/>
      <c r="B1143" s="7"/>
      <c r="C1143" s="7"/>
      <c r="D1143" s="8"/>
      <c r="E1143" s="7"/>
    </row>
    <row r="1144" spans="1:5" x14ac:dyDescent="0.25">
      <c r="A1144" s="7"/>
      <c r="B1144" s="7"/>
      <c r="C1144" s="7"/>
      <c r="D1144" s="8"/>
      <c r="E1144" s="7"/>
    </row>
    <row r="1145" spans="1:5" x14ac:dyDescent="0.25">
      <c r="A1145" s="7"/>
      <c r="B1145" s="7"/>
      <c r="C1145" s="7"/>
      <c r="D1145" s="8"/>
      <c r="E1145" s="7"/>
    </row>
    <row r="1146" spans="1:5" x14ac:dyDescent="0.25">
      <c r="A1146" s="7"/>
      <c r="B1146" s="7"/>
      <c r="C1146" s="7"/>
      <c r="D1146" s="8"/>
      <c r="E1146" s="7"/>
    </row>
    <row r="1147" spans="1:5" x14ac:dyDescent="0.25">
      <c r="A1147" s="7"/>
      <c r="B1147" s="7"/>
      <c r="C1147" s="7"/>
      <c r="D1147" s="8"/>
      <c r="E1147" s="7"/>
    </row>
    <row r="1148" spans="1:5" x14ac:dyDescent="0.25">
      <c r="A1148" s="7"/>
      <c r="B1148" s="7"/>
      <c r="C1148" s="7"/>
      <c r="D1148" s="8"/>
      <c r="E1148" s="7"/>
    </row>
    <row r="1149" spans="1:5" x14ac:dyDescent="0.25">
      <c r="A1149" s="7"/>
      <c r="B1149" s="7"/>
      <c r="C1149" s="7"/>
      <c r="D1149" s="8"/>
      <c r="E1149" s="7"/>
    </row>
    <row r="1150" spans="1:5" x14ac:dyDescent="0.25">
      <c r="A1150" s="7"/>
      <c r="B1150" s="7"/>
      <c r="C1150" s="7"/>
      <c r="D1150" s="8"/>
      <c r="E1150" s="7"/>
    </row>
    <row r="1151" spans="1:5" x14ac:dyDescent="0.25">
      <c r="A1151" s="7"/>
      <c r="B1151" s="7"/>
      <c r="C1151" s="7"/>
      <c r="D1151" s="8"/>
      <c r="E1151" s="7"/>
    </row>
    <row r="1152" spans="1:5" x14ac:dyDescent="0.25">
      <c r="A1152" s="7"/>
      <c r="B1152" s="7"/>
      <c r="C1152" s="7"/>
      <c r="D1152" s="8"/>
      <c r="E1152" s="7"/>
    </row>
    <row r="1153" spans="1:5" x14ac:dyDescent="0.25">
      <c r="A1153" s="7"/>
      <c r="B1153" s="7"/>
      <c r="C1153" s="7"/>
      <c r="D1153" s="8"/>
      <c r="E1153" s="7"/>
    </row>
    <row r="1154" spans="1:5" x14ac:dyDescent="0.25">
      <c r="A1154" s="7"/>
      <c r="B1154" s="7"/>
      <c r="C1154" s="7"/>
      <c r="D1154" s="8"/>
      <c r="E1154" s="7"/>
    </row>
    <row r="1155" spans="1:5" x14ac:dyDescent="0.25">
      <c r="A1155" s="7"/>
      <c r="B1155" s="7"/>
      <c r="C1155" s="7"/>
      <c r="D1155" s="8"/>
      <c r="E1155" s="7"/>
    </row>
    <row r="1156" spans="1:5" x14ac:dyDescent="0.25">
      <c r="A1156" s="7"/>
      <c r="B1156" s="7"/>
      <c r="C1156" s="7"/>
      <c r="D1156" s="8"/>
      <c r="E1156" s="7"/>
    </row>
    <row r="1157" spans="1:5" x14ac:dyDescent="0.25">
      <c r="A1157" s="7"/>
      <c r="B1157" s="7"/>
      <c r="C1157" s="7"/>
      <c r="D1157" s="8"/>
      <c r="E1157" s="7"/>
    </row>
    <row r="1158" spans="1:5" x14ac:dyDescent="0.25">
      <c r="A1158" s="7"/>
      <c r="B1158" s="7"/>
      <c r="C1158" s="7"/>
      <c r="D1158" s="8"/>
      <c r="E1158" s="7"/>
    </row>
    <row r="1159" spans="1:5" x14ac:dyDescent="0.25">
      <c r="A1159" s="7"/>
      <c r="B1159" s="7"/>
      <c r="C1159" s="7"/>
      <c r="D1159" s="8"/>
      <c r="E1159" s="7"/>
    </row>
    <row r="1160" spans="1:5" x14ac:dyDescent="0.25">
      <c r="A1160" s="7"/>
      <c r="B1160" s="7"/>
      <c r="C1160" s="7"/>
      <c r="D1160" s="8"/>
      <c r="E1160" s="7"/>
    </row>
    <row r="1161" spans="1:5" x14ac:dyDescent="0.25">
      <c r="A1161" s="7"/>
      <c r="B1161" s="7"/>
      <c r="C1161" s="7"/>
      <c r="D1161" s="8"/>
      <c r="E1161" s="7"/>
    </row>
    <row r="1162" spans="1:5" x14ac:dyDescent="0.25">
      <c r="A1162" s="7"/>
      <c r="B1162" s="7"/>
      <c r="C1162" s="7"/>
      <c r="D1162" s="8"/>
      <c r="E1162" s="7"/>
    </row>
    <row r="1163" spans="1:5" x14ac:dyDescent="0.25">
      <c r="A1163" s="7"/>
      <c r="B1163" s="7"/>
      <c r="C1163" s="7"/>
      <c r="D1163" s="8"/>
      <c r="E1163" s="7"/>
    </row>
    <row r="1164" spans="1:5" x14ac:dyDescent="0.25">
      <c r="A1164" s="7"/>
      <c r="B1164" s="7"/>
      <c r="C1164" s="7"/>
      <c r="D1164" s="8"/>
      <c r="E1164" s="7"/>
    </row>
    <row r="1165" spans="1:5" x14ac:dyDescent="0.25">
      <c r="A1165" s="7"/>
      <c r="B1165" s="7"/>
      <c r="C1165" s="7"/>
      <c r="D1165" s="8"/>
      <c r="E1165" s="7"/>
    </row>
    <row r="1166" spans="1:5" x14ac:dyDescent="0.25">
      <c r="A1166" s="7"/>
      <c r="B1166" s="7"/>
      <c r="C1166" s="7"/>
      <c r="D1166" s="8"/>
      <c r="E1166" s="7"/>
    </row>
    <row r="1167" spans="1:5" x14ac:dyDescent="0.25">
      <c r="A1167" s="7"/>
      <c r="B1167" s="7"/>
      <c r="C1167" s="7"/>
      <c r="D1167" s="8"/>
      <c r="E1167" s="7"/>
    </row>
    <row r="1168" spans="1:5" x14ac:dyDescent="0.25">
      <c r="A1168" s="7"/>
      <c r="B1168" s="7"/>
      <c r="C1168" s="7"/>
      <c r="D1168" s="8"/>
      <c r="E1168" s="7"/>
    </row>
    <row r="1169" spans="1:5" x14ac:dyDescent="0.25">
      <c r="A1169" s="7"/>
      <c r="B1169" s="7"/>
      <c r="C1169" s="7"/>
      <c r="D1169" s="8"/>
      <c r="E1169" s="7"/>
    </row>
    <row r="1170" spans="1:5" x14ac:dyDescent="0.25">
      <c r="A1170" s="7"/>
      <c r="B1170" s="7"/>
      <c r="C1170" s="7"/>
      <c r="D1170" s="8"/>
      <c r="E1170" s="7"/>
    </row>
    <row r="1171" spans="1:5" x14ac:dyDescent="0.25">
      <c r="A1171" s="7"/>
      <c r="B1171" s="7"/>
      <c r="C1171" s="7"/>
      <c r="D1171" s="8"/>
      <c r="E1171" s="7"/>
    </row>
    <row r="1172" spans="1:5" x14ac:dyDescent="0.25">
      <c r="A1172" s="7"/>
      <c r="B1172" s="7"/>
      <c r="C1172" s="7"/>
      <c r="D1172" s="8"/>
      <c r="E1172" s="7"/>
    </row>
    <row r="1173" spans="1:5" x14ac:dyDescent="0.25">
      <c r="A1173" s="7"/>
      <c r="B1173" s="7"/>
      <c r="C1173" s="7"/>
      <c r="D1173" s="8"/>
      <c r="E1173" s="7"/>
    </row>
    <row r="1174" spans="1:5" x14ac:dyDescent="0.25">
      <c r="A1174" s="7"/>
      <c r="B1174" s="7"/>
      <c r="C1174" s="7"/>
      <c r="D1174" s="8"/>
      <c r="E1174" s="7"/>
    </row>
    <row r="1175" spans="1:5" x14ac:dyDescent="0.25">
      <c r="A1175" s="7"/>
      <c r="B1175" s="7"/>
      <c r="C1175" s="7"/>
      <c r="D1175" s="8"/>
      <c r="E1175" s="7"/>
    </row>
    <row r="1176" spans="1:5" x14ac:dyDescent="0.25">
      <c r="A1176" s="7"/>
      <c r="B1176" s="7"/>
      <c r="C1176" s="7"/>
      <c r="D1176" s="8"/>
      <c r="E1176" s="7"/>
    </row>
    <row r="1177" spans="1:5" x14ac:dyDescent="0.25">
      <c r="A1177" s="7"/>
      <c r="B1177" s="7"/>
      <c r="C1177" s="7"/>
      <c r="D1177" s="8"/>
      <c r="E1177" s="7"/>
    </row>
    <row r="1178" spans="1:5" x14ac:dyDescent="0.25">
      <c r="A1178" s="7"/>
      <c r="B1178" s="7"/>
      <c r="C1178" s="7"/>
      <c r="D1178" s="8"/>
      <c r="E1178" s="7"/>
    </row>
    <row r="1179" spans="1:5" x14ac:dyDescent="0.25">
      <c r="A1179" s="7"/>
      <c r="B1179" s="7"/>
      <c r="C1179" s="7"/>
      <c r="D1179" s="8"/>
      <c r="E1179" s="7"/>
    </row>
    <row r="1180" spans="1:5" x14ac:dyDescent="0.25">
      <c r="A1180" s="7"/>
      <c r="B1180" s="7"/>
      <c r="C1180" s="7"/>
      <c r="D1180" s="8"/>
      <c r="E1180" s="7"/>
    </row>
    <row r="1181" spans="1:5" x14ac:dyDescent="0.25">
      <c r="A1181" s="7"/>
      <c r="B1181" s="7"/>
      <c r="C1181" s="7"/>
      <c r="D1181" s="8"/>
      <c r="E1181" s="7"/>
    </row>
    <row r="1182" spans="1:5" x14ac:dyDescent="0.25">
      <c r="A1182" s="7"/>
      <c r="B1182" s="7"/>
      <c r="C1182" s="7"/>
      <c r="D1182" s="8"/>
      <c r="E1182" s="7"/>
    </row>
    <row r="1183" spans="1:5" x14ac:dyDescent="0.25">
      <c r="A1183" s="7"/>
      <c r="B1183" s="7"/>
      <c r="C1183" s="7"/>
      <c r="D1183" s="8"/>
      <c r="E1183" s="7"/>
    </row>
    <row r="1184" spans="1:5" x14ac:dyDescent="0.25">
      <c r="A1184" s="7"/>
      <c r="B1184" s="7"/>
      <c r="C1184" s="7"/>
      <c r="D1184" s="8"/>
      <c r="E1184" s="7"/>
    </row>
    <row r="1185" spans="1:5" x14ac:dyDescent="0.25">
      <c r="A1185" s="7"/>
      <c r="B1185" s="7"/>
      <c r="C1185" s="7"/>
      <c r="D1185" s="8"/>
      <c r="E1185" s="7"/>
    </row>
    <row r="1186" spans="1:5" x14ac:dyDescent="0.25">
      <c r="A1186" s="7"/>
      <c r="B1186" s="7"/>
      <c r="C1186" s="7"/>
      <c r="D1186" s="8"/>
      <c r="E1186" s="7"/>
    </row>
    <row r="1187" spans="1:5" x14ac:dyDescent="0.25">
      <c r="A1187" s="7"/>
      <c r="B1187" s="7"/>
      <c r="C1187" s="7"/>
      <c r="D1187" s="8"/>
      <c r="E1187" s="7"/>
    </row>
    <row r="1188" spans="1:5" x14ac:dyDescent="0.25">
      <c r="A1188" s="7"/>
      <c r="B1188" s="7"/>
      <c r="C1188" s="7"/>
      <c r="D1188" s="8"/>
      <c r="E1188" s="7"/>
    </row>
    <row r="1189" spans="1:5" x14ac:dyDescent="0.25">
      <c r="A1189" s="7"/>
      <c r="B1189" s="7"/>
      <c r="C1189" s="7"/>
      <c r="D1189" s="8"/>
      <c r="E1189" s="7"/>
    </row>
    <row r="1190" spans="1:5" x14ac:dyDescent="0.25">
      <c r="A1190" s="7"/>
      <c r="B1190" s="7"/>
      <c r="C1190" s="7"/>
      <c r="D1190" s="8"/>
      <c r="E1190" s="7"/>
    </row>
    <row r="1191" spans="1:5" x14ac:dyDescent="0.25">
      <c r="A1191" s="7"/>
      <c r="B1191" s="7"/>
      <c r="C1191" s="7"/>
      <c r="D1191" s="8"/>
      <c r="E1191" s="7"/>
    </row>
    <row r="1192" spans="1:5" x14ac:dyDescent="0.25">
      <c r="A1192" s="7"/>
      <c r="B1192" s="7"/>
      <c r="C1192" s="7"/>
      <c r="D1192" s="8"/>
      <c r="E1192" s="7"/>
    </row>
    <row r="1193" spans="1:5" x14ac:dyDescent="0.25">
      <c r="A1193" s="7"/>
      <c r="B1193" s="7"/>
      <c r="C1193" s="7"/>
      <c r="D1193" s="8"/>
      <c r="E1193" s="7"/>
    </row>
    <row r="1194" spans="1:5" x14ac:dyDescent="0.25">
      <c r="A1194" s="7"/>
      <c r="B1194" s="7"/>
      <c r="C1194" s="7"/>
      <c r="D1194" s="8"/>
      <c r="E1194" s="7"/>
    </row>
    <row r="1195" spans="1:5" x14ac:dyDescent="0.25">
      <c r="A1195" s="7"/>
      <c r="B1195" s="7"/>
      <c r="C1195" s="7"/>
      <c r="D1195" s="8"/>
      <c r="E1195" s="7"/>
    </row>
    <row r="1196" spans="1:5" x14ac:dyDescent="0.25">
      <c r="A1196" s="7"/>
      <c r="B1196" s="7"/>
      <c r="C1196" s="7"/>
      <c r="D1196" s="8"/>
      <c r="E1196" s="7"/>
    </row>
    <row r="1197" spans="1:5" x14ac:dyDescent="0.25">
      <c r="A1197" s="7"/>
      <c r="B1197" s="7"/>
      <c r="C1197" s="7"/>
      <c r="D1197" s="8"/>
      <c r="E1197" s="7"/>
    </row>
    <row r="1198" spans="1:5" x14ac:dyDescent="0.25">
      <c r="A1198" s="7"/>
      <c r="B1198" s="7"/>
      <c r="C1198" s="7"/>
      <c r="D1198" s="8"/>
      <c r="E1198" s="7"/>
    </row>
    <row r="1199" spans="1:5" x14ac:dyDescent="0.25">
      <c r="A1199" s="7"/>
      <c r="B1199" s="7"/>
      <c r="C1199" s="7"/>
      <c r="D1199" s="8"/>
      <c r="E1199" s="7"/>
    </row>
    <row r="1200" spans="1:5" x14ac:dyDescent="0.25">
      <c r="A1200" s="7"/>
      <c r="B1200" s="7"/>
      <c r="C1200" s="7"/>
      <c r="D1200" s="8"/>
      <c r="E1200" s="7"/>
    </row>
    <row r="1201" spans="1:5" x14ac:dyDescent="0.25">
      <c r="A1201" s="7"/>
      <c r="B1201" s="7"/>
      <c r="C1201" s="7"/>
      <c r="D1201" s="8"/>
      <c r="E1201" s="7"/>
    </row>
    <row r="1202" spans="1:5" x14ac:dyDescent="0.25">
      <c r="A1202" s="7"/>
      <c r="B1202" s="7"/>
      <c r="C1202" s="7"/>
      <c r="D1202" s="8"/>
      <c r="E1202" s="7"/>
    </row>
    <row r="1203" spans="1:5" x14ac:dyDescent="0.25">
      <c r="A1203" s="7"/>
      <c r="B1203" s="7"/>
      <c r="C1203" s="7"/>
      <c r="D1203" s="8"/>
      <c r="E1203" s="7"/>
    </row>
    <row r="1204" spans="1:5" x14ac:dyDescent="0.25">
      <c r="A1204" s="7"/>
      <c r="B1204" s="7"/>
      <c r="C1204" s="7"/>
      <c r="D1204" s="8"/>
      <c r="E1204" s="7"/>
    </row>
    <row r="1205" spans="1:5" x14ac:dyDescent="0.25">
      <c r="A1205" s="7"/>
      <c r="B1205" s="7"/>
      <c r="C1205" s="7"/>
      <c r="D1205" s="8"/>
      <c r="E1205" s="7"/>
    </row>
    <row r="1206" spans="1:5" x14ac:dyDescent="0.25">
      <c r="A1206" s="7"/>
      <c r="B1206" s="7"/>
      <c r="C1206" s="7"/>
      <c r="D1206" s="8"/>
      <c r="E1206" s="7"/>
    </row>
    <row r="1207" spans="1:5" x14ac:dyDescent="0.25">
      <c r="A1207" s="7"/>
      <c r="B1207" s="7"/>
      <c r="C1207" s="7"/>
      <c r="D1207" s="8"/>
      <c r="E1207" s="7"/>
    </row>
    <row r="1208" spans="1:5" x14ac:dyDescent="0.25">
      <c r="A1208" s="7"/>
      <c r="B1208" s="7"/>
      <c r="C1208" s="7"/>
      <c r="D1208" s="8"/>
      <c r="E1208" s="7"/>
    </row>
    <row r="1209" spans="1:5" x14ac:dyDescent="0.25">
      <c r="A1209" s="7"/>
      <c r="B1209" s="7"/>
      <c r="C1209" s="7"/>
      <c r="D1209" s="8"/>
      <c r="E1209" s="7"/>
    </row>
    <row r="1210" spans="1:5" x14ac:dyDescent="0.25">
      <c r="A1210" s="7"/>
      <c r="B1210" s="7"/>
      <c r="C1210" s="7"/>
      <c r="D1210" s="7"/>
      <c r="E1210" s="7"/>
    </row>
    <row r="1211" spans="1:5" x14ac:dyDescent="0.25">
      <c r="A1211" s="7"/>
      <c r="B1211" s="7"/>
      <c r="C1211" s="7"/>
      <c r="D1211" s="7"/>
      <c r="E1211" s="7"/>
    </row>
    <row r="1212" spans="1:5" x14ac:dyDescent="0.25">
      <c r="A1212" s="7"/>
      <c r="B1212" s="7"/>
      <c r="C1212" s="7"/>
      <c r="D1212" s="7"/>
      <c r="E1212" s="7"/>
    </row>
    <row r="1213" spans="1:5" x14ac:dyDescent="0.25">
      <c r="A1213" s="7"/>
      <c r="B1213" s="7"/>
      <c r="C1213" s="7"/>
      <c r="D1213" s="8"/>
      <c r="E1213" s="7"/>
    </row>
    <row r="1214" spans="1:5" x14ac:dyDescent="0.25">
      <c r="A1214" s="7"/>
      <c r="B1214" s="7"/>
      <c r="C1214" s="7"/>
      <c r="D1214" s="8"/>
      <c r="E1214" s="7"/>
    </row>
    <row r="1215" spans="1:5" x14ac:dyDescent="0.25">
      <c r="A1215" s="7"/>
      <c r="B1215" s="7"/>
      <c r="C1215" s="7"/>
      <c r="D1215" s="8"/>
      <c r="E1215" s="7"/>
    </row>
    <row r="1216" spans="1:5" x14ac:dyDescent="0.25">
      <c r="A1216" s="7"/>
      <c r="B1216" s="7"/>
      <c r="C1216" s="7"/>
      <c r="D1216" s="8"/>
      <c r="E1216" s="7"/>
    </row>
    <row r="1217" spans="1:5" x14ac:dyDescent="0.25">
      <c r="A1217" s="7"/>
      <c r="B1217" s="7"/>
      <c r="C1217" s="7"/>
      <c r="D1217" s="8"/>
      <c r="E1217" s="7"/>
    </row>
    <row r="1218" spans="1:5" x14ac:dyDescent="0.25">
      <c r="A1218" s="7"/>
      <c r="B1218" s="7"/>
      <c r="C1218" s="7"/>
      <c r="D1218" s="8"/>
      <c r="E1218" s="7"/>
    </row>
    <row r="1219" spans="1:5" x14ac:dyDescent="0.25">
      <c r="A1219" s="7"/>
      <c r="B1219" s="7"/>
      <c r="C1219" s="7"/>
      <c r="D1219" s="8"/>
      <c r="E1219" s="7"/>
    </row>
    <row r="1220" spans="1:5" x14ac:dyDescent="0.25">
      <c r="A1220" s="7"/>
      <c r="B1220" s="7"/>
      <c r="C1220" s="7"/>
      <c r="D1220" s="8"/>
      <c r="E1220" s="7"/>
    </row>
    <row r="1221" spans="1:5" x14ac:dyDescent="0.25">
      <c r="A1221" s="7"/>
      <c r="B1221" s="7"/>
      <c r="C1221" s="7"/>
      <c r="D1221" s="8"/>
      <c r="E1221" s="7"/>
    </row>
    <row r="1222" spans="1:5" x14ac:dyDescent="0.25">
      <c r="A1222" s="7"/>
      <c r="B1222" s="7"/>
      <c r="C1222" s="7"/>
      <c r="D1222" s="8"/>
      <c r="E1222" s="7"/>
    </row>
    <row r="1223" spans="1:5" x14ac:dyDescent="0.25">
      <c r="A1223" s="7"/>
      <c r="B1223" s="7"/>
      <c r="C1223" s="7"/>
      <c r="D1223" s="8"/>
      <c r="E1223" s="7"/>
    </row>
    <row r="1224" spans="1:5" x14ac:dyDescent="0.25">
      <c r="A1224" s="7"/>
      <c r="B1224" s="7"/>
      <c r="C1224" s="7"/>
      <c r="D1224" s="8"/>
      <c r="E1224" s="7"/>
    </row>
    <row r="1225" spans="1:5" x14ac:dyDescent="0.25">
      <c r="A1225" s="7"/>
      <c r="B1225" s="7"/>
      <c r="C1225" s="7"/>
      <c r="D1225" s="8"/>
      <c r="E1225" s="7"/>
    </row>
    <row r="1226" spans="1:5" x14ac:dyDescent="0.25">
      <c r="A1226" s="7"/>
      <c r="B1226" s="7"/>
      <c r="C1226" s="7"/>
      <c r="D1226" s="8"/>
      <c r="E1226" s="7"/>
    </row>
    <row r="1227" spans="1:5" x14ac:dyDescent="0.25">
      <c r="A1227" s="7"/>
      <c r="B1227" s="7"/>
      <c r="C1227" s="7"/>
      <c r="D1227" s="8"/>
      <c r="E1227" s="7"/>
    </row>
    <row r="1228" spans="1:5" x14ac:dyDescent="0.25">
      <c r="A1228" s="7"/>
      <c r="B1228" s="7"/>
      <c r="C1228" s="7"/>
      <c r="D1228" s="8"/>
      <c r="E1228" s="7"/>
    </row>
    <row r="1229" spans="1:5" x14ac:dyDescent="0.25">
      <c r="A1229" s="7"/>
      <c r="B1229" s="7"/>
      <c r="C1229" s="7"/>
      <c r="D1229" s="8"/>
      <c r="E1229" s="7"/>
    </row>
    <row r="1230" spans="1:5" x14ac:dyDescent="0.25">
      <c r="A1230" s="7"/>
      <c r="B1230" s="7"/>
      <c r="C1230" s="7"/>
      <c r="D1230" s="8"/>
      <c r="E1230" s="7"/>
    </row>
    <row r="1231" spans="1:5" x14ac:dyDescent="0.25">
      <c r="A1231" s="7"/>
      <c r="B1231" s="7"/>
      <c r="C1231" s="7"/>
      <c r="D1231" s="8"/>
      <c r="E1231" s="7"/>
    </row>
    <row r="1232" spans="1:5" x14ac:dyDescent="0.25">
      <c r="A1232" s="7"/>
      <c r="B1232" s="7"/>
      <c r="C1232" s="7"/>
      <c r="D1232" s="8"/>
      <c r="E1232" s="7"/>
    </row>
    <row r="1233" spans="1:5" x14ac:dyDescent="0.25">
      <c r="A1233" s="7"/>
      <c r="B1233" s="7"/>
      <c r="C1233" s="7"/>
      <c r="D1233" s="8"/>
      <c r="E1233" s="7"/>
    </row>
    <row r="1234" spans="1:5" x14ac:dyDescent="0.25">
      <c r="A1234" s="7"/>
      <c r="B1234" s="7"/>
      <c r="C1234" s="7"/>
      <c r="D1234" s="8"/>
      <c r="E1234" s="7"/>
    </row>
    <row r="1235" spans="1:5" x14ac:dyDescent="0.25">
      <c r="A1235" s="7"/>
      <c r="B1235" s="7"/>
      <c r="C1235" s="7"/>
      <c r="D1235" s="8"/>
      <c r="E1235" s="7"/>
    </row>
    <row r="1236" spans="1:5" x14ac:dyDescent="0.25">
      <c r="A1236" s="7"/>
      <c r="B1236" s="7"/>
      <c r="C1236" s="7"/>
      <c r="D1236" s="8"/>
      <c r="E1236" s="7"/>
    </row>
    <row r="1237" spans="1:5" x14ac:dyDescent="0.25">
      <c r="A1237" s="7"/>
      <c r="B1237" s="7"/>
      <c r="C1237" s="7"/>
      <c r="D1237" s="8"/>
      <c r="E1237" s="7"/>
    </row>
    <row r="1238" spans="1:5" x14ac:dyDescent="0.25">
      <c r="A1238" s="7"/>
      <c r="B1238" s="7"/>
      <c r="C1238" s="7"/>
      <c r="D1238" s="8"/>
      <c r="E1238" s="7"/>
    </row>
    <row r="1239" spans="1:5" x14ac:dyDescent="0.25">
      <c r="A1239" s="7"/>
      <c r="B1239" s="7"/>
      <c r="C1239" s="7"/>
      <c r="D1239" s="8"/>
      <c r="E1239" s="7"/>
    </row>
    <row r="1240" spans="1:5" x14ac:dyDescent="0.25">
      <c r="A1240" s="7"/>
      <c r="B1240" s="7"/>
      <c r="C1240" s="7"/>
      <c r="D1240" s="8"/>
      <c r="E1240" s="7"/>
    </row>
    <row r="1241" spans="1:5" x14ac:dyDescent="0.25">
      <c r="A1241" s="7"/>
      <c r="B1241" s="7"/>
      <c r="C1241" s="7"/>
      <c r="D1241" s="8"/>
      <c r="E1241" s="7"/>
    </row>
    <row r="1242" spans="1:5" x14ac:dyDescent="0.25">
      <c r="A1242" s="7"/>
      <c r="B1242" s="7"/>
      <c r="C1242" s="7"/>
      <c r="D1242" s="8"/>
      <c r="E1242" s="7"/>
    </row>
    <row r="1243" spans="1:5" x14ac:dyDescent="0.25">
      <c r="A1243" s="7"/>
      <c r="B1243" s="7"/>
      <c r="C1243" s="7"/>
      <c r="D1243" s="8"/>
      <c r="E1243" s="7"/>
    </row>
    <row r="1244" spans="1:5" x14ac:dyDescent="0.25">
      <c r="A1244" s="7"/>
      <c r="B1244" s="7"/>
      <c r="C1244" s="7"/>
      <c r="D1244" s="8"/>
      <c r="E1244" s="7"/>
    </row>
    <row r="1245" spans="1:5" x14ac:dyDescent="0.25">
      <c r="A1245" s="7"/>
      <c r="B1245" s="7"/>
      <c r="C1245" s="7"/>
      <c r="D1245" s="8"/>
      <c r="E1245" s="7"/>
    </row>
    <row r="1246" spans="1:5" x14ac:dyDescent="0.25">
      <c r="A1246" s="7"/>
      <c r="B1246" s="7"/>
      <c r="C1246" s="7"/>
      <c r="D1246" s="8"/>
      <c r="E1246" s="7"/>
    </row>
    <row r="1247" spans="1:5" x14ac:dyDescent="0.25">
      <c r="A1247" s="7"/>
      <c r="B1247" s="7"/>
      <c r="C1247" s="7"/>
      <c r="D1247" s="8"/>
      <c r="E1247" s="7"/>
    </row>
    <row r="1248" spans="1:5" x14ac:dyDescent="0.25">
      <c r="A1248" s="7"/>
      <c r="B1248" s="7"/>
      <c r="C1248" s="7"/>
      <c r="D1248" s="8"/>
      <c r="E1248" s="7"/>
    </row>
    <row r="1249" spans="1:5" x14ac:dyDescent="0.25">
      <c r="A1249" s="7"/>
      <c r="B1249" s="7"/>
      <c r="C1249" s="7"/>
      <c r="D1249" s="8"/>
      <c r="E1249" s="7"/>
    </row>
    <row r="1250" spans="1:5" x14ac:dyDescent="0.25">
      <c r="A1250" s="7"/>
      <c r="B1250" s="7"/>
      <c r="C1250" s="7"/>
      <c r="D1250" s="8"/>
      <c r="E1250" s="7"/>
    </row>
    <row r="1251" spans="1:5" x14ac:dyDescent="0.25">
      <c r="A1251" s="7"/>
      <c r="B1251" s="7"/>
      <c r="C1251" s="7"/>
      <c r="D1251" s="8"/>
      <c r="E1251" s="7"/>
    </row>
    <row r="1252" spans="1:5" x14ac:dyDescent="0.25">
      <c r="A1252" s="7"/>
      <c r="B1252" s="7"/>
      <c r="C1252" s="7"/>
      <c r="D1252" s="8"/>
      <c r="E1252" s="7"/>
    </row>
    <row r="1253" spans="1:5" x14ac:dyDescent="0.25">
      <c r="A1253" s="7"/>
      <c r="B1253" s="7"/>
      <c r="C1253" s="7"/>
      <c r="D1253" s="8"/>
      <c r="E1253" s="7"/>
    </row>
    <row r="1254" spans="1:5" x14ac:dyDescent="0.25">
      <c r="A1254" s="7"/>
      <c r="B1254" s="7"/>
      <c r="C1254" s="7"/>
      <c r="D1254" s="8"/>
      <c r="E1254" s="7"/>
    </row>
    <row r="1255" spans="1:5" x14ac:dyDescent="0.25">
      <c r="A1255" s="7"/>
      <c r="B1255" s="7"/>
      <c r="C1255" s="7"/>
      <c r="D1255" s="8"/>
      <c r="E1255" s="7"/>
    </row>
    <row r="1256" spans="1:5" x14ac:dyDescent="0.25">
      <c r="A1256" s="7"/>
      <c r="B1256" s="7"/>
      <c r="C1256" s="7"/>
      <c r="D1256" s="8"/>
      <c r="E1256" s="7"/>
    </row>
    <row r="1257" spans="1:5" x14ac:dyDescent="0.25">
      <c r="A1257" s="7"/>
      <c r="B1257" s="7"/>
      <c r="C1257" s="7"/>
      <c r="D1257" s="8"/>
      <c r="E1257" s="7"/>
    </row>
    <row r="1258" spans="1:5" x14ac:dyDescent="0.25">
      <c r="A1258" s="7"/>
      <c r="B1258" s="7"/>
      <c r="C1258" s="7"/>
      <c r="D1258" s="8"/>
      <c r="E1258" s="7"/>
    </row>
    <row r="1259" spans="1:5" x14ac:dyDescent="0.25">
      <c r="A1259" s="7"/>
      <c r="B1259" s="7"/>
      <c r="C1259" s="7"/>
      <c r="D1259" s="8"/>
      <c r="E1259" s="7"/>
    </row>
    <row r="1260" spans="1:5" x14ac:dyDescent="0.25">
      <c r="A1260" s="7"/>
      <c r="B1260" s="7"/>
      <c r="C1260" s="7"/>
      <c r="D1260" s="8"/>
      <c r="E1260" s="7"/>
    </row>
    <row r="1261" spans="1:5" x14ac:dyDescent="0.25">
      <c r="A1261" s="7"/>
      <c r="B1261" s="7"/>
      <c r="C1261" s="7"/>
      <c r="D1261" s="8"/>
      <c r="E1261" s="7"/>
    </row>
    <row r="1262" spans="1:5" x14ac:dyDescent="0.25">
      <c r="A1262" s="7"/>
      <c r="B1262" s="7"/>
      <c r="C1262" s="7"/>
      <c r="D1262" s="8"/>
      <c r="E1262" s="7"/>
    </row>
    <row r="1263" spans="1:5" x14ac:dyDescent="0.25">
      <c r="A1263" s="7"/>
      <c r="B1263" s="7"/>
      <c r="C1263" s="7"/>
      <c r="D1263" s="8"/>
      <c r="E1263" s="7"/>
    </row>
    <row r="1264" spans="1:5" x14ac:dyDescent="0.25">
      <c r="A1264" s="7"/>
      <c r="B1264" s="7"/>
      <c r="C1264" s="7"/>
      <c r="D1264" s="8"/>
      <c r="E1264" s="7"/>
    </row>
    <row r="1265" spans="1:5" x14ac:dyDescent="0.25">
      <c r="A1265" s="7"/>
      <c r="B1265" s="7"/>
      <c r="C1265" s="7"/>
      <c r="D1265" s="8"/>
      <c r="E1265" s="7"/>
    </row>
    <row r="1266" spans="1:5" x14ac:dyDescent="0.25">
      <c r="A1266" s="7"/>
      <c r="B1266" s="7"/>
      <c r="C1266" s="7"/>
      <c r="D1266" s="8"/>
      <c r="E1266" s="7"/>
    </row>
    <row r="1267" spans="1:5" x14ac:dyDescent="0.25">
      <c r="A1267" s="7"/>
      <c r="B1267" s="7"/>
      <c r="C1267" s="7"/>
      <c r="D1267" s="8"/>
      <c r="E1267" s="7"/>
    </row>
    <row r="1268" spans="1:5" x14ac:dyDescent="0.25">
      <c r="A1268" s="7"/>
      <c r="B1268" s="7"/>
      <c r="C1268" s="7"/>
      <c r="D1268" s="8"/>
      <c r="E1268" s="7"/>
    </row>
    <row r="1269" spans="1:5" x14ac:dyDescent="0.25">
      <c r="A1269" s="7"/>
      <c r="B1269" s="7"/>
      <c r="C1269" s="7"/>
      <c r="D1269" s="8"/>
      <c r="E1269" s="7"/>
    </row>
    <row r="1270" spans="1:5" x14ac:dyDescent="0.25">
      <c r="A1270" s="7"/>
      <c r="B1270" s="7"/>
      <c r="C1270" s="7"/>
      <c r="D1270" s="8"/>
      <c r="E1270" s="7"/>
    </row>
    <row r="1271" spans="1:5" x14ac:dyDescent="0.25">
      <c r="A1271" s="7"/>
      <c r="B1271" s="7"/>
      <c r="C1271" s="7"/>
      <c r="D1271" s="8"/>
      <c r="E1271" s="7"/>
    </row>
    <row r="1272" spans="1:5" x14ac:dyDescent="0.25">
      <c r="A1272" s="7"/>
      <c r="B1272" s="7"/>
      <c r="C1272" s="7"/>
      <c r="D1272" s="8"/>
      <c r="E1272" s="7"/>
    </row>
    <row r="1273" spans="1:5" x14ac:dyDescent="0.25">
      <c r="A1273" s="7"/>
      <c r="B1273" s="7"/>
      <c r="C1273" s="7"/>
      <c r="D1273" s="8"/>
      <c r="E1273" s="7"/>
    </row>
    <row r="1274" spans="1:5" x14ac:dyDescent="0.25">
      <c r="A1274" s="7"/>
      <c r="B1274" s="7"/>
      <c r="C1274" s="7"/>
      <c r="D1274" s="8"/>
      <c r="E1274" s="7"/>
    </row>
    <row r="1275" spans="1:5" x14ac:dyDescent="0.25">
      <c r="A1275" s="7"/>
      <c r="B1275" s="7"/>
      <c r="C1275" s="7"/>
      <c r="D1275" s="8"/>
      <c r="E1275" s="7"/>
    </row>
    <row r="1276" spans="1:5" x14ac:dyDescent="0.25">
      <c r="A1276" s="7"/>
      <c r="B1276" s="7"/>
      <c r="C1276" s="7"/>
      <c r="D1276" s="8"/>
      <c r="E1276" s="7"/>
    </row>
    <row r="1277" spans="1:5" x14ac:dyDescent="0.25">
      <c r="A1277" s="7"/>
      <c r="B1277" s="7"/>
      <c r="C1277" s="7"/>
      <c r="D1277" s="8"/>
      <c r="E1277" s="7"/>
    </row>
    <row r="1278" spans="1:5" x14ac:dyDescent="0.25">
      <c r="A1278" s="7"/>
      <c r="B1278" s="7"/>
      <c r="C1278" s="7"/>
      <c r="D1278" s="8"/>
      <c r="E1278" s="7"/>
    </row>
    <row r="1279" spans="1:5" x14ac:dyDescent="0.25">
      <c r="A1279" s="7"/>
      <c r="B1279" s="7"/>
      <c r="C1279" s="7"/>
      <c r="D1279" s="8"/>
      <c r="E1279" s="7"/>
    </row>
    <row r="1280" spans="1:5" x14ac:dyDescent="0.25">
      <c r="A1280" s="7"/>
      <c r="B1280" s="7"/>
      <c r="C1280" s="7"/>
      <c r="D1280" s="8"/>
      <c r="E1280" s="7"/>
    </row>
    <row r="1281" spans="1:5" x14ac:dyDescent="0.25">
      <c r="A1281" s="7"/>
      <c r="B1281" s="7"/>
      <c r="C1281" s="7"/>
      <c r="D1281" s="8"/>
      <c r="E1281" s="7"/>
    </row>
    <row r="1282" spans="1:5" x14ac:dyDescent="0.25">
      <c r="A1282" s="7"/>
      <c r="B1282" s="7"/>
      <c r="C1282" s="7"/>
      <c r="D1282" s="8"/>
      <c r="E1282" s="7"/>
    </row>
    <row r="1283" spans="1:5" x14ac:dyDescent="0.25">
      <c r="A1283" s="7"/>
      <c r="B1283" s="7"/>
      <c r="C1283" s="7"/>
      <c r="D1283" s="8"/>
      <c r="E1283" s="7"/>
    </row>
    <row r="1284" spans="1:5" x14ac:dyDescent="0.25">
      <c r="A1284" s="7"/>
      <c r="B1284" s="7"/>
      <c r="C1284" s="7"/>
      <c r="D1284" s="8"/>
      <c r="E1284" s="7"/>
    </row>
    <row r="1285" spans="1:5" x14ac:dyDescent="0.25">
      <c r="A1285" s="7"/>
      <c r="B1285" s="7"/>
      <c r="C1285" s="7"/>
      <c r="D1285" s="8"/>
      <c r="E1285" s="7"/>
    </row>
    <row r="1286" spans="1:5" x14ac:dyDescent="0.25">
      <c r="A1286" s="7"/>
      <c r="B1286" s="7"/>
      <c r="C1286" s="7"/>
      <c r="D1286" s="8"/>
      <c r="E1286" s="7"/>
    </row>
    <row r="1287" spans="1:5" x14ac:dyDescent="0.25">
      <c r="A1287" s="7"/>
      <c r="B1287" s="7"/>
      <c r="C1287" s="7"/>
      <c r="D1287" s="8"/>
      <c r="E1287" s="7"/>
    </row>
    <row r="1288" spans="1:5" x14ac:dyDescent="0.25">
      <c r="A1288" s="7"/>
      <c r="B1288" s="7"/>
      <c r="C1288" s="7"/>
      <c r="D1288" s="8"/>
      <c r="E1288" s="7"/>
    </row>
    <row r="1289" spans="1:5" x14ac:dyDescent="0.25">
      <c r="A1289" s="7"/>
      <c r="B1289" s="7"/>
      <c r="C1289" s="7"/>
      <c r="D1289" s="8"/>
      <c r="E1289" s="7"/>
    </row>
    <row r="1290" spans="1:5" x14ac:dyDescent="0.25">
      <c r="A1290" s="7"/>
      <c r="B1290" s="7"/>
      <c r="C1290" s="7"/>
      <c r="D1290" s="8"/>
      <c r="E1290" s="7"/>
    </row>
    <row r="1291" spans="1:5" x14ac:dyDescent="0.25">
      <c r="A1291" s="7"/>
      <c r="B1291" s="7"/>
      <c r="C1291" s="7"/>
      <c r="D1291" s="8"/>
      <c r="E1291" s="7"/>
    </row>
    <row r="1292" spans="1:5" x14ac:dyDescent="0.25">
      <c r="A1292" s="7"/>
      <c r="B1292" s="7"/>
      <c r="C1292" s="7"/>
      <c r="D1292" s="8"/>
      <c r="E1292" s="7"/>
    </row>
    <row r="1293" spans="1:5" x14ac:dyDescent="0.25">
      <c r="A1293" s="7"/>
      <c r="B1293" s="7"/>
      <c r="C1293" s="7"/>
      <c r="D1293" s="8"/>
      <c r="E1293" s="7"/>
    </row>
    <row r="1294" spans="1:5" x14ac:dyDescent="0.25">
      <c r="A1294" s="7"/>
      <c r="B1294" s="7"/>
      <c r="C1294" s="7"/>
      <c r="D1294" s="8"/>
      <c r="E1294" s="7"/>
    </row>
    <row r="1295" spans="1:5" x14ac:dyDescent="0.25">
      <c r="A1295" s="7"/>
      <c r="B1295" s="7"/>
      <c r="C1295" s="7"/>
      <c r="D1295" s="8"/>
      <c r="E1295" s="7"/>
    </row>
    <row r="1296" spans="1:5" x14ac:dyDescent="0.25">
      <c r="A1296" s="7"/>
      <c r="B1296" s="7"/>
      <c r="C1296" s="7"/>
      <c r="D1296" s="8"/>
      <c r="E1296" s="7"/>
    </row>
    <row r="1297" spans="1:5" x14ac:dyDescent="0.25">
      <c r="A1297" s="7"/>
      <c r="B1297" s="7"/>
      <c r="C1297" s="7"/>
      <c r="D1297" s="8"/>
      <c r="E1297" s="7"/>
    </row>
    <row r="1298" spans="1:5" x14ac:dyDescent="0.25">
      <c r="A1298" s="7"/>
      <c r="B1298" s="7"/>
      <c r="C1298" s="7"/>
      <c r="D1298" s="8"/>
      <c r="E1298" s="7"/>
    </row>
    <row r="1299" spans="1:5" x14ac:dyDescent="0.25">
      <c r="A1299" s="7"/>
      <c r="B1299" s="7"/>
      <c r="C1299" s="7"/>
      <c r="D1299" s="8"/>
      <c r="E1299" s="7"/>
    </row>
    <row r="1300" spans="1:5" x14ac:dyDescent="0.25">
      <c r="A1300" s="7"/>
      <c r="B1300" s="7"/>
      <c r="C1300" s="7"/>
      <c r="D1300" s="8"/>
      <c r="E1300" s="7"/>
    </row>
    <row r="1301" spans="1:5" x14ac:dyDescent="0.25">
      <c r="A1301" s="7"/>
      <c r="B1301" s="7"/>
      <c r="C1301" s="7"/>
      <c r="D1301" s="8"/>
      <c r="E1301" s="7"/>
    </row>
    <row r="1302" spans="1:5" x14ac:dyDescent="0.25">
      <c r="A1302" s="7"/>
      <c r="B1302" s="7"/>
      <c r="C1302" s="7"/>
      <c r="D1302" s="8"/>
      <c r="E1302" s="7"/>
    </row>
    <row r="1303" spans="1:5" x14ac:dyDescent="0.25">
      <c r="A1303" s="7"/>
      <c r="B1303" s="7"/>
      <c r="C1303" s="7"/>
      <c r="D1303" s="8"/>
      <c r="E1303" s="7"/>
    </row>
    <row r="1304" spans="1:5" x14ac:dyDescent="0.25">
      <c r="A1304" s="7"/>
      <c r="B1304" s="7"/>
      <c r="C1304" s="7"/>
      <c r="D1304" s="8"/>
      <c r="E1304" s="7"/>
    </row>
    <row r="1305" spans="1:5" x14ac:dyDescent="0.25">
      <c r="A1305" s="7"/>
      <c r="B1305" s="7"/>
      <c r="C1305" s="7"/>
      <c r="D1305" s="8"/>
      <c r="E1305" s="7"/>
    </row>
    <row r="1306" spans="1:5" x14ac:dyDescent="0.25">
      <c r="A1306" s="7"/>
      <c r="B1306" s="7"/>
      <c r="C1306" s="7"/>
      <c r="D1306" s="8"/>
      <c r="E1306" s="7"/>
    </row>
    <row r="1307" spans="1:5" x14ac:dyDescent="0.25">
      <c r="A1307" s="7"/>
      <c r="B1307" s="7"/>
      <c r="C1307" s="7"/>
      <c r="D1307" s="8"/>
      <c r="E1307" s="7"/>
    </row>
    <row r="1308" spans="1:5" x14ac:dyDescent="0.25">
      <c r="A1308" s="7"/>
      <c r="B1308" s="7"/>
      <c r="C1308" s="7"/>
      <c r="D1308" s="8"/>
      <c r="E1308" s="7"/>
    </row>
    <row r="1309" spans="1:5" x14ac:dyDescent="0.25">
      <c r="A1309" s="7"/>
      <c r="B1309" s="7"/>
      <c r="C1309" s="7"/>
      <c r="D1309" s="8"/>
      <c r="E1309" s="7"/>
    </row>
    <row r="1310" spans="1:5" x14ac:dyDescent="0.25">
      <c r="A1310" s="7"/>
      <c r="B1310" s="7"/>
      <c r="C1310" s="7"/>
      <c r="D1310" s="8"/>
      <c r="E1310" s="7"/>
    </row>
    <row r="1311" spans="1:5" x14ac:dyDescent="0.25">
      <c r="A1311" s="7"/>
      <c r="B1311" s="7"/>
      <c r="C1311" s="7"/>
      <c r="D1311" s="8"/>
      <c r="E1311" s="7"/>
    </row>
    <row r="1312" spans="1:5" x14ac:dyDescent="0.25">
      <c r="A1312" s="7"/>
      <c r="B1312" s="7"/>
      <c r="C1312" s="7"/>
      <c r="D1312" s="8"/>
      <c r="E1312" s="7"/>
    </row>
    <row r="1313" spans="1:5" x14ac:dyDescent="0.25">
      <c r="A1313" s="7"/>
      <c r="B1313" s="7"/>
      <c r="C1313" s="7"/>
      <c r="D1313" s="8"/>
      <c r="E1313" s="7"/>
    </row>
    <row r="1314" spans="1:5" x14ac:dyDescent="0.25">
      <c r="A1314" s="7"/>
      <c r="B1314" s="7"/>
      <c r="C1314" s="7"/>
      <c r="D1314" s="8"/>
      <c r="E1314" s="7"/>
    </row>
    <row r="1315" spans="1:5" x14ac:dyDescent="0.25">
      <c r="A1315" s="7"/>
      <c r="B1315" s="7"/>
      <c r="C1315" s="7"/>
      <c r="D1315" s="8"/>
      <c r="E1315" s="7"/>
    </row>
    <row r="1316" spans="1:5" x14ac:dyDescent="0.25">
      <c r="A1316" s="7"/>
      <c r="B1316" s="7"/>
      <c r="C1316" s="7"/>
      <c r="D1316" s="8"/>
      <c r="E1316" s="7"/>
    </row>
    <row r="1317" spans="1:5" x14ac:dyDescent="0.25">
      <c r="A1317" s="7"/>
      <c r="B1317" s="7"/>
      <c r="C1317" s="7"/>
      <c r="D1317" s="8"/>
      <c r="E1317" s="7"/>
    </row>
    <row r="1318" spans="1:5" x14ac:dyDescent="0.25">
      <c r="A1318" s="7"/>
      <c r="B1318" s="7"/>
      <c r="C1318" s="7"/>
      <c r="D1318" s="8"/>
      <c r="E1318" s="7"/>
    </row>
    <row r="1319" spans="1:5" x14ac:dyDescent="0.25">
      <c r="A1319" s="7"/>
      <c r="B1319" s="7"/>
      <c r="C1319" s="7"/>
      <c r="D1319" s="8"/>
      <c r="E1319" s="7"/>
    </row>
    <row r="1320" spans="1:5" x14ac:dyDescent="0.25">
      <c r="A1320" s="7"/>
      <c r="B1320" s="7"/>
      <c r="C1320" s="7"/>
      <c r="D1320" s="8"/>
      <c r="E1320" s="7"/>
    </row>
    <row r="1321" spans="1:5" x14ac:dyDescent="0.25">
      <c r="A1321" s="7"/>
      <c r="B1321" s="7"/>
      <c r="C1321" s="7"/>
      <c r="D1321" s="8"/>
      <c r="E1321" s="7"/>
    </row>
    <row r="1322" spans="1:5" x14ac:dyDescent="0.25">
      <c r="A1322" s="7"/>
      <c r="B1322" s="7"/>
      <c r="C1322" s="7"/>
      <c r="D1322" s="8"/>
      <c r="E1322" s="7"/>
    </row>
    <row r="1323" spans="1:5" x14ac:dyDescent="0.25">
      <c r="A1323" s="7"/>
      <c r="B1323" s="7"/>
      <c r="C1323" s="7"/>
      <c r="D1323" s="8"/>
      <c r="E1323" s="7"/>
    </row>
    <row r="1324" spans="1:5" x14ac:dyDescent="0.25">
      <c r="A1324" s="7"/>
      <c r="B1324" s="7"/>
      <c r="C1324" s="7"/>
      <c r="D1324" s="8"/>
      <c r="E1324" s="7"/>
    </row>
    <row r="1325" spans="1:5" x14ac:dyDescent="0.25">
      <c r="A1325" s="7"/>
      <c r="B1325" s="7"/>
      <c r="C1325" s="7"/>
      <c r="D1325" s="8"/>
      <c r="E1325" s="7"/>
    </row>
    <row r="1326" spans="1:5" x14ac:dyDescent="0.25">
      <c r="A1326" s="7"/>
      <c r="B1326" s="7"/>
      <c r="C1326" s="7"/>
      <c r="D1326" s="8"/>
      <c r="E1326" s="7"/>
    </row>
    <row r="1327" spans="1:5" x14ac:dyDescent="0.25">
      <c r="A1327" s="7"/>
      <c r="B1327" s="7"/>
      <c r="C1327" s="7"/>
      <c r="D1327" s="8"/>
      <c r="E1327" s="7"/>
    </row>
    <row r="1328" spans="1:5" x14ac:dyDescent="0.25">
      <c r="A1328" s="7"/>
      <c r="B1328" s="7"/>
      <c r="C1328" s="7"/>
      <c r="D1328" s="8"/>
      <c r="E1328" s="7"/>
    </row>
    <row r="1329" spans="1:5" x14ac:dyDescent="0.25">
      <c r="A1329" s="7"/>
      <c r="B1329" s="7"/>
      <c r="C1329" s="7"/>
      <c r="D1329" s="8"/>
      <c r="E1329" s="7"/>
    </row>
    <row r="1330" spans="1:5" x14ac:dyDescent="0.25">
      <c r="A1330" s="7"/>
      <c r="B1330" s="7"/>
      <c r="C1330" s="7"/>
      <c r="D1330" s="8"/>
      <c r="E1330" s="7"/>
    </row>
    <row r="1331" spans="1:5" x14ac:dyDescent="0.25">
      <c r="A1331" s="7"/>
      <c r="B1331" s="7"/>
      <c r="C1331" s="7"/>
      <c r="D1331" s="8"/>
      <c r="E1331" s="7"/>
    </row>
    <row r="1332" spans="1:5" x14ac:dyDescent="0.25">
      <c r="A1332" s="7"/>
      <c r="B1332" s="7"/>
      <c r="C1332" s="7"/>
      <c r="D1332" s="8"/>
      <c r="E1332" s="7"/>
    </row>
    <row r="1333" spans="1:5" x14ac:dyDescent="0.25">
      <c r="A1333" s="7"/>
      <c r="B1333" s="7"/>
      <c r="C1333" s="7"/>
      <c r="D1333" s="8"/>
      <c r="E1333" s="7"/>
    </row>
    <row r="1334" spans="1:5" x14ac:dyDescent="0.25">
      <c r="A1334" s="7"/>
      <c r="B1334" s="7"/>
      <c r="C1334" s="7"/>
      <c r="D1334" s="8"/>
      <c r="E1334" s="7"/>
    </row>
    <row r="1335" spans="1:5" x14ac:dyDescent="0.25">
      <c r="A1335" s="7"/>
      <c r="B1335" s="7"/>
      <c r="C1335" s="7"/>
      <c r="D1335" s="8"/>
      <c r="E1335" s="7"/>
    </row>
    <row r="1336" spans="1:5" x14ac:dyDescent="0.25">
      <c r="A1336" s="7"/>
      <c r="B1336" s="7"/>
      <c r="C1336" s="7"/>
      <c r="D1336" s="8"/>
      <c r="E1336" s="7"/>
    </row>
    <row r="1337" spans="1:5" x14ac:dyDescent="0.25">
      <c r="A1337" s="7"/>
      <c r="B1337" s="7"/>
      <c r="C1337" s="7"/>
      <c r="D1337" s="8"/>
      <c r="E1337" s="7"/>
    </row>
    <row r="1338" spans="1:5" x14ac:dyDescent="0.25">
      <c r="A1338" s="7"/>
      <c r="B1338" s="7"/>
      <c r="C1338" s="7"/>
      <c r="D1338" s="8"/>
      <c r="E1338" s="7"/>
    </row>
    <row r="1339" spans="1:5" x14ac:dyDescent="0.25">
      <c r="A1339" s="7"/>
      <c r="B1339" s="7"/>
      <c r="C1339" s="7"/>
      <c r="D1339" s="8"/>
      <c r="E1339" s="7"/>
    </row>
    <row r="1340" spans="1:5" x14ac:dyDescent="0.25">
      <c r="A1340" s="7"/>
      <c r="B1340" s="7"/>
      <c r="C1340" s="7"/>
      <c r="D1340" s="8"/>
      <c r="E1340" s="7"/>
    </row>
    <row r="1341" spans="1:5" x14ac:dyDescent="0.25">
      <c r="A1341" s="7"/>
      <c r="B1341" s="7"/>
      <c r="C1341" s="7"/>
      <c r="D1341" s="8"/>
      <c r="E1341" s="7"/>
    </row>
    <row r="1342" spans="1:5" x14ac:dyDescent="0.25">
      <c r="A1342" s="7"/>
      <c r="B1342" s="7"/>
      <c r="C1342" s="7"/>
      <c r="D1342" s="8"/>
      <c r="E1342" s="7"/>
    </row>
    <row r="1343" spans="1:5" x14ac:dyDescent="0.25">
      <c r="A1343" s="7"/>
      <c r="B1343" s="7"/>
      <c r="C1343" s="7"/>
      <c r="D1343" s="8"/>
      <c r="E1343" s="7"/>
    </row>
    <row r="1344" spans="1:5" x14ac:dyDescent="0.25">
      <c r="A1344" s="7"/>
      <c r="B1344" s="7"/>
      <c r="C1344" s="7"/>
      <c r="D1344" s="8"/>
      <c r="E1344" s="7"/>
    </row>
    <row r="1345" spans="1:5" x14ac:dyDescent="0.25">
      <c r="A1345" s="7"/>
      <c r="B1345" s="7"/>
      <c r="C1345" s="7"/>
      <c r="D1345" s="8"/>
      <c r="E1345" s="7"/>
    </row>
    <row r="1346" spans="1:5" x14ac:dyDescent="0.25">
      <c r="A1346" s="7"/>
      <c r="B1346" s="7"/>
      <c r="C1346" s="7"/>
      <c r="D1346" s="8"/>
      <c r="E1346" s="7"/>
    </row>
    <row r="1347" spans="1:5" x14ac:dyDescent="0.25">
      <c r="A1347" s="7"/>
      <c r="B1347" s="7"/>
      <c r="C1347" s="7"/>
      <c r="D1347" s="8"/>
      <c r="E1347" s="7"/>
    </row>
    <row r="1348" spans="1:5" x14ac:dyDescent="0.25">
      <c r="A1348" s="7"/>
      <c r="B1348" s="7"/>
      <c r="C1348" s="7"/>
      <c r="D1348" s="8"/>
      <c r="E1348" s="7"/>
    </row>
    <row r="1349" spans="1:5" x14ac:dyDescent="0.25">
      <c r="A1349" s="7"/>
      <c r="B1349" s="7"/>
      <c r="C1349" s="7"/>
      <c r="D1349" s="8"/>
      <c r="E1349" s="7"/>
    </row>
    <row r="1350" spans="1:5" x14ac:dyDescent="0.25">
      <c r="A1350" s="7"/>
      <c r="B1350" s="7"/>
      <c r="C1350" s="7"/>
      <c r="D1350" s="8"/>
      <c r="E1350" s="7"/>
    </row>
    <row r="1351" spans="1:5" x14ac:dyDescent="0.25">
      <c r="A1351" s="7"/>
      <c r="B1351" s="7"/>
      <c r="C1351" s="7"/>
      <c r="D1351" s="8"/>
      <c r="E1351" s="7"/>
    </row>
    <row r="1352" spans="1:5" x14ac:dyDescent="0.25">
      <c r="A1352" s="7"/>
      <c r="B1352" s="7"/>
      <c r="C1352" s="7"/>
      <c r="D1352" s="8"/>
      <c r="E1352" s="7"/>
    </row>
    <row r="1353" spans="1:5" x14ac:dyDescent="0.25">
      <c r="A1353" s="7"/>
      <c r="B1353" s="7"/>
      <c r="C1353" s="7"/>
      <c r="D1353" s="8"/>
      <c r="E1353" s="7"/>
    </row>
    <row r="1354" spans="1:5" x14ac:dyDescent="0.25">
      <c r="A1354" s="7"/>
      <c r="B1354" s="7"/>
      <c r="C1354" s="7"/>
      <c r="D1354" s="8"/>
      <c r="E1354" s="7"/>
    </row>
    <row r="1355" spans="1:5" x14ac:dyDescent="0.25">
      <c r="A1355" s="7"/>
      <c r="B1355" s="7"/>
      <c r="C1355" s="7"/>
      <c r="D1355" s="8"/>
      <c r="E1355" s="7"/>
    </row>
    <row r="1356" spans="1:5" x14ac:dyDescent="0.25">
      <c r="A1356" s="7"/>
      <c r="B1356" s="7"/>
      <c r="C1356" s="7"/>
      <c r="D1356" s="8"/>
      <c r="E1356" s="7"/>
    </row>
    <row r="1357" spans="1:5" x14ac:dyDescent="0.25">
      <c r="A1357" s="7"/>
      <c r="B1357" s="7"/>
      <c r="C1357" s="7"/>
      <c r="D1357" s="8"/>
      <c r="E1357" s="7"/>
    </row>
    <row r="1358" spans="1:5" x14ac:dyDescent="0.25">
      <c r="A1358" s="7"/>
      <c r="B1358" s="7"/>
      <c r="C1358" s="7"/>
      <c r="D1358" s="8"/>
      <c r="E1358" s="7"/>
    </row>
    <row r="1359" spans="1:5" x14ac:dyDescent="0.25">
      <c r="A1359" s="7"/>
      <c r="B1359" s="7"/>
      <c r="C1359" s="7"/>
      <c r="D1359" s="8"/>
      <c r="E1359" s="7"/>
    </row>
    <row r="1360" spans="1:5" x14ac:dyDescent="0.25">
      <c r="A1360" s="7"/>
      <c r="B1360" s="7"/>
      <c r="C1360" s="7"/>
      <c r="D1360" s="8"/>
      <c r="E1360" s="7"/>
    </row>
    <row r="1361" spans="1:5" x14ac:dyDescent="0.25">
      <c r="A1361" s="7"/>
      <c r="B1361" s="7"/>
      <c r="C1361" s="7"/>
      <c r="D1361" s="8"/>
      <c r="E1361" s="7"/>
    </row>
    <row r="1362" spans="1:5" x14ac:dyDescent="0.25">
      <c r="A1362" s="7"/>
      <c r="B1362" s="7"/>
      <c r="C1362" s="7"/>
      <c r="D1362" s="8"/>
      <c r="E1362" s="7"/>
    </row>
    <row r="1363" spans="1:5" x14ac:dyDescent="0.25">
      <c r="A1363" s="7"/>
      <c r="B1363" s="7"/>
      <c r="C1363" s="7"/>
      <c r="D1363" s="8"/>
      <c r="E1363" s="7"/>
    </row>
    <row r="1364" spans="1:5" x14ac:dyDescent="0.25">
      <c r="A1364" s="7"/>
      <c r="B1364" s="7"/>
      <c r="C1364" s="7"/>
      <c r="D1364" s="8"/>
      <c r="E1364" s="7"/>
    </row>
    <row r="1365" spans="1:5" x14ac:dyDescent="0.25">
      <c r="A1365" s="7"/>
      <c r="B1365" s="7"/>
      <c r="C1365" s="7"/>
      <c r="D1365" s="8"/>
      <c r="E1365" s="7"/>
    </row>
    <row r="1366" spans="1:5" x14ac:dyDescent="0.25">
      <c r="A1366" s="7"/>
      <c r="B1366" s="7"/>
      <c r="C1366" s="7"/>
      <c r="D1366" s="8"/>
      <c r="E1366" s="7"/>
    </row>
    <row r="1367" spans="1:5" x14ac:dyDescent="0.25">
      <c r="A1367" s="7"/>
      <c r="B1367" s="7"/>
      <c r="C1367" s="7"/>
      <c r="D1367" s="8"/>
      <c r="E1367" s="7"/>
    </row>
    <row r="1368" spans="1:5" x14ac:dyDescent="0.25">
      <c r="A1368" s="7"/>
      <c r="B1368" s="7"/>
      <c r="C1368" s="7"/>
      <c r="D1368" s="8"/>
      <c r="E1368" s="7"/>
    </row>
    <row r="1369" spans="1:5" x14ac:dyDescent="0.25">
      <c r="A1369" s="7"/>
      <c r="B1369" s="7"/>
      <c r="C1369" s="7"/>
      <c r="D1369" s="8"/>
      <c r="E1369" s="7"/>
    </row>
    <row r="1370" spans="1:5" x14ac:dyDescent="0.25">
      <c r="A1370" s="7"/>
      <c r="B1370" s="7"/>
      <c r="C1370" s="7"/>
      <c r="D1370" s="8"/>
      <c r="E1370" s="7"/>
    </row>
    <row r="1371" spans="1:5" x14ac:dyDescent="0.25">
      <c r="A1371" s="7"/>
      <c r="B1371" s="7"/>
      <c r="C1371" s="7"/>
      <c r="D1371" s="8"/>
      <c r="E1371" s="7"/>
    </row>
    <row r="1372" spans="1:5" x14ac:dyDescent="0.25">
      <c r="A1372" s="7"/>
      <c r="B1372" s="7"/>
      <c r="C1372" s="7"/>
      <c r="D1372" s="8"/>
      <c r="E1372" s="7"/>
    </row>
    <row r="1373" spans="1:5" x14ac:dyDescent="0.25">
      <c r="A1373" s="7"/>
      <c r="B1373" s="7"/>
      <c r="C1373" s="7"/>
      <c r="D1373" s="8"/>
      <c r="E1373" s="7"/>
    </row>
    <row r="1374" spans="1:5" x14ac:dyDescent="0.25">
      <c r="A1374" s="7"/>
      <c r="B1374" s="7"/>
      <c r="C1374" s="7"/>
      <c r="D1374" s="8"/>
      <c r="E1374" s="7"/>
    </row>
    <row r="1375" spans="1:5" x14ac:dyDescent="0.25">
      <c r="A1375" s="7"/>
      <c r="B1375" s="7"/>
      <c r="C1375" s="7"/>
      <c r="D1375" s="8"/>
      <c r="E1375" s="7"/>
    </row>
    <row r="1376" spans="1:5" x14ac:dyDescent="0.25">
      <c r="A1376" s="7"/>
      <c r="B1376" s="7"/>
      <c r="C1376" s="7"/>
      <c r="D1376" s="8"/>
      <c r="E1376" s="7"/>
    </row>
    <row r="1377" spans="1:5" x14ac:dyDescent="0.25">
      <c r="A1377" s="7"/>
      <c r="B1377" s="7"/>
      <c r="C1377" s="7"/>
      <c r="D1377" s="8"/>
      <c r="E1377" s="7"/>
    </row>
    <row r="1378" spans="1:5" x14ac:dyDescent="0.25">
      <c r="A1378" s="7"/>
      <c r="B1378" s="7"/>
      <c r="C1378" s="7"/>
      <c r="D1378" s="8"/>
      <c r="E1378" s="7"/>
    </row>
    <row r="1379" spans="1:5" x14ac:dyDescent="0.25">
      <c r="A1379" s="7"/>
      <c r="B1379" s="7"/>
      <c r="C1379" s="7"/>
      <c r="D1379" s="8"/>
      <c r="E1379" s="7"/>
    </row>
    <row r="1380" spans="1:5" x14ac:dyDescent="0.25">
      <c r="A1380" s="7"/>
      <c r="B1380" s="7"/>
      <c r="C1380" s="7"/>
      <c r="D1380" s="8"/>
      <c r="E1380" s="7"/>
    </row>
    <row r="1381" spans="1:5" x14ac:dyDescent="0.25">
      <c r="A1381" s="7"/>
      <c r="B1381" s="7"/>
      <c r="C1381" s="7"/>
      <c r="D1381" s="8"/>
      <c r="E1381" s="7"/>
    </row>
    <row r="1382" spans="1:5" x14ac:dyDescent="0.25">
      <c r="A1382" s="7"/>
      <c r="B1382" s="7"/>
      <c r="C1382" s="7"/>
      <c r="D1382" s="8"/>
      <c r="E1382" s="7"/>
    </row>
    <row r="1383" spans="1:5" x14ac:dyDescent="0.25">
      <c r="A1383" s="7"/>
      <c r="B1383" s="7"/>
      <c r="C1383" s="7"/>
      <c r="D1383" s="8"/>
      <c r="E1383" s="7"/>
    </row>
    <row r="1384" spans="1:5" x14ac:dyDescent="0.25">
      <c r="A1384" s="7"/>
      <c r="B1384" s="7"/>
      <c r="C1384" s="7"/>
      <c r="D1384" s="8"/>
      <c r="E1384" s="7"/>
    </row>
    <row r="1385" spans="1:5" x14ac:dyDescent="0.25">
      <c r="A1385" s="7"/>
      <c r="B1385" s="7"/>
      <c r="C1385" s="7"/>
      <c r="D1385" s="8"/>
      <c r="E1385" s="7"/>
    </row>
    <row r="1386" spans="1:5" x14ac:dyDescent="0.25">
      <c r="A1386" s="7"/>
      <c r="B1386" s="7"/>
      <c r="C1386" s="7"/>
      <c r="D1386" s="8"/>
      <c r="E1386" s="7"/>
    </row>
    <row r="1387" spans="1:5" x14ac:dyDescent="0.25">
      <c r="A1387" s="7"/>
      <c r="B1387" s="7"/>
      <c r="C1387" s="7"/>
      <c r="D1387" s="8"/>
      <c r="E1387" s="7"/>
    </row>
    <row r="1388" spans="1:5" x14ac:dyDescent="0.25">
      <c r="A1388" s="7"/>
      <c r="B1388" s="7"/>
      <c r="C1388" s="7"/>
      <c r="D1388" s="8"/>
      <c r="E1388" s="7"/>
    </row>
    <row r="1389" spans="1:5" x14ac:dyDescent="0.25">
      <c r="A1389" s="7"/>
      <c r="B1389" s="7"/>
      <c r="C1389" s="7"/>
      <c r="D1389" s="8"/>
      <c r="E1389" s="7"/>
    </row>
    <row r="1390" spans="1:5" x14ac:dyDescent="0.25">
      <c r="A1390" s="7"/>
      <c r="B1390" s="7"/>
      <c r="C1390" s="7"/>
      <c r="D1390" s="8"/>
      <c r="E1390" s="7"/>
    </row>
    <row r="1391" spans="1:5" x14ac:dyDescent="0.25">
      <c r="A1391" s="7"/>
      <c r="B1391" s="7"/>
      <c r="C1391" s="7"/>
      <c r="D1391" s="8"/>
      <c r="E1391" s="7"/>
    </row>
    <row r="1392" spans="1:5" x14ac:dyDescent="0.25">
      <c r="A1392" s="7"/>
      <c r="B1392" s="7"/>
      <c r="C1392" s="7"/>
      <c r="D1392" s="8"/>
      <c r="E1392" s="7"/>
    </row>
    <row r="1393" spans="1:5" x14ac:dyDescent="0.25">
      <c r="A1393" s="7"/>
      <c r="B1393" s="7"/>
      <c r="C1393" s="7"/>
      <c r="D1393" s="8"/>
      <c r="E1393" s="7"/>
    </row>
    <row r="1394" spans="1:5" x14ac:dyDescent="0.25">
      <c r="A1394" s="7"/>
      <c r="B1394" s="7"/>
      <c r="C1394" s="7"/>
      <c r="D1394" s="8"/>
      <c r="E1394" s="7"/>
    </row>
    <row r="1395" spans="1:5" x14ac:dyDescent="0.25">
      <c r="A1395" s="7"/>
      <c r="B1395" s="7"/>
      <c r="C1395" s="7"/>
      <c r="D1395" s="8"/>
      <c r="E1395" s="7"/>
    </row>
    <row r="1396" spans="1:5" x14ac:dyDescent="0.25">
      <c r="A1396" s="7"/>
      <c r="B1396" s="7"/>
      <c r="C1396" s="7"/>
      <c r="D1396" s="8"/>
      <c r="E1396" s="7"/>
    </row>
    <row r="1397" spans="1:5" x14ac:dyDescent="0.25">
      <c r="A1397" s="7"/>
      <c r="B1397" s="7"/>
      <c r="C1397" s="7"/>
      <c r="D1397" s="8"/>
      <c r="E1397" s="7"/>
    </row>
    <row r="1398" spans="1:5" x14ac:dyDescent="0.25">
      <c r="A1398" s="7"/>
      <c r="B1398" s="7"/>
      <c r="C1398" s="7"/>
      <c r="D1398" s="8"/>
      <c r="E1398" s="7"/>
    </row>
    <row r="1399" spans="1:5" x14ac:dyDescent="0.25">
      <c r="A1399" s="7"/>
      <c r="B1399" s="7"/>
      <c r="C1399" s="7"/>
      <c r="D1399" s="8"/>
      <c r="E1399" s="7"/>
    </row>
    <row r="1400" spans="1:5" x14ac:dyDescent="0.25">
      <c r="A1400" s="7"/>
      <c r="B1400" s="7"/>
      <c r="C1400" s="7"/>
      <c r="D1400" s="8"/>
      <c r="E1400" s="7"/>
    </row>
    <row r="1401" spans="1:5" x14ac:dyDescent="0.25">
      <c r="A1401" s="7"/>
      <c r="B1401" s="7"/>
      <c r="C1401" s="7"/>
      <c r="D1401" s="8"/>
      <c r="E1401" s="7"/>
    </row>
    <row r="1402" spans="1:5" x14ac:dyDescent="0.25">
      <c r="A1402" s="7"/>
      <c r="B1402" s="7"/>
      <c r="C1402" s="7"/>
      <c r="D1402" s="8"/>
      <c r="E1402" s="7"/>
    </row>
    <row r="1403" spans="1:5" x14ac:dyDescent="0.25">
      <c r="A1403" s="7"/>
      <c r="B1403" s="7"/>
      <c r="C1403" s="7"/>
      <c r="D1403" s="8"/>
      <c r="E1403" s="7"/>
    </row>
    <row r="1404" spans="1:5" x14ac:dyDescent="0.25">
      <c r="A1404" s="7"/>
      <c r="B1404" s="7"/>
      <c r="C1404" s="7"/>
      <c r="D1404" s="8"/>
      <c r="E1404" s="7"/>
    </row>
    <row r="1405" spans="1:5" x14ac:dyDescent="0.25">
      <c r="A1405" s="7"/>
      <c r="B1405" s="7"/>
      <c r="C1405" s="7"/>
      <c r="D1405" s="8"/>
      <c r="E1405" s="7"/>
    </row>
    <row r="1406" spans="1:5" x14ac:dyDescent="0.25">
      <c r="A1406" s="7"/>
      <c r="B1406" s="7"/>
      <c r="C1406" s="7"/>
      <c r="D1406" s="8"/>
      <c r="E1406" s="7"/>
    </row>
    <row r="1407" spans="1:5" x14ac:dyDescent="0.25">
      <c r="A1407" s="7"/>
      <c r="B1407" s="7"/>
      <c r="C1407" s="7"/>
      <c r="D1407" s="8"/>
      <c r="E1407" s="7"/>
    </row>
    <row r="1408" spans="1:5" x14ac:dyDescent="0.25">
      <c r="A1408" s="7"/>
      <c r="B1408" s="7"/>
      <c r="C1408" s="7"/>
      <c r="D1408" s="8"/>
      <c r="E1408" s="7"/>
    </row>
    <row r="1409" spans="1:5" x14ac:dyDescent="0.25">
      <c r="A1409" s="7"/>
      <c r="B1409" s="7"/>
      <c r="C1409" s="7"/>
      <c r="D1409" s="8"/>
      <c r="E1409" s="7"/>
    </row>
    <row r="1410" spans="1:5" x14ac:dyDescent="0.25">
      <c r="A1410" s="7"/>
      <c r="B1410" s="7"/>
      <c r="C1410" s="7"/>
      <c r="D1410" s="8"/>
      <c r="E1410" s="7"/>
    </row>
    <row r="1411" spans="1:5" x14ac:dyDescent="0.25">
      <c r="A1411" s="7"/>
      <c r="B1411" s="7"/>
      <c r="C1411" s="7"/>
      <c r="D1411" s="8"/>
      <c r="E1411" s="7"/>
    </row>
    <row r="1412" spans="1:5" x14ac:dyDescent="0.25">
      <c r="A1412" s="7"/>
      <c r="B1412" s="7"/>
      <c r="C1412" s="7"/>
      <c r="D1412" s="8"/>
      <c r="E1412" s="7"/>
    </row>
    <row r="1413" spans="1:5" x14ac:dyDescent="0.25">
      <c r="A1413" s="7"/>
      <c r="B1413" s="7"/>
      <c r="C1413" s="7"/>
      <c r="D1413" s="8"/>
      <c r="E1413" s="7"/>
    </row>
    <row r="1414" spans="1:5" x14ac:dyDescent="0.25">
      <c r="A1414" s="7"/>
      <c r="B1414" s="7"/>
      <c r="C1414" s="7"/>
      <c r="D1414" s="8"/>
      <c r="E1414" s="7"/>
    </row>
    <row r="1415" spans="1:5" x14ac:dyDescent="0.25">
      <c r="A1415" s="7"/>
      <c r="B1415" s="7"/>
      <c r="C1415" s="7"/>
      <c r="D1415" s="8"/>
      <c r="E1415" s="7"/>
    </row>
    <row r="1416" spans="1:5" x14ac:dyDescent="0.25">
      <c r="A1416" s="7"/>
      <c r="B1416" s="7"/>
      <c r="C1416" s="7"/>
      <c r="D1416" s="8"/>
      <c r="E1416" s="7"/>
    </row>
    <row r="1417" spans="1:5" x14ac:dyDescent="0.25">
      <c r="A1417" s="7"/>
      <c r="B1417" s="7"/>
      <c r="C1417" s="7"/>
      <c r="D1417" s="8"/>
      <c r="E1417" s="7"/>
    </row>
    <row r="1418" spans="1:5" x14ac:dyDescent="0.25">
      <c r="A1418" s="7"/>
      <c r="B1418" s="7"/>
      <c r="C1418" s="7"/>
      <c r="D1418" s="8"/>
      <c r="E1418" s="7"/>
    </row>
    <row r="1419" spans="1:5" x14ac:dyDescent="0.25">
      <c r="A1419" s="7"/>
      <c r="B1419" s="7"/>
      <c r="C1419" s="7"/>
      <c r="D1419" s="8"/>
      <c r="E1419" s="7"/>
    </row>
    <row r="1420" spans="1:5" x14ac:dyDescent="0.25">
      <c r="A1420" s="7"/>
      <c r="B1420" s="7"/>
      <c r="C1420" s="7"/>
      <c r="D1420" s="8"/>
      <c r="E1420" s="7"/>
    </row>
    <row r="1421" spans="1:5" x14ac:dyDescent="0.25">
      <c r="A1421" s="7"/>
      <c r="B1421" s="7"/>
      <c r="C1421" s="7"/>
      <c r="D1421" s="8"/>
      <c r="E1421" s="7"/>
    </row>
    <row r="1422" spans="1:5" x14ac:dyDescent="0.25">
      <c r="A1422" s="7"/>
      <c r="B1422" s="7"/>
      <c r="C1422" s="7"/>
      <c r="D1422" s="8"/>
      <c r="E1422" s="7"/>
    </row>
    <row r="1423" spans="1:5" x14ac:dyDescent="0.25">
      <c r="A1423" s="7"/>
      <c r="B1423" s="7"/>
      <c r="C1423" s="7"/>
      <c r="D1423" s="8"/>
      <c r="E1423" s="7"/>
    </row>
    <row r="1424" spans="1:5" x14ac:dyDescent="0.25">
      <c r="A1424" s="7"/>
      <c r="B1424" s="7"/>
      <c r="C1424" s="7"/>
      <c r="D1424" s="8"/>
      <c r="E1424" s="7"/>
    </row>
    <row r="1425" spans="1:5" x14ac:dyDescent="0.25">
      <c r="A1425" s="7"/>
      <c r="B1425" s="7"/>
      <c r="C1425" s="7"/>
      <c r="D1425" s="8"/>
      <c r="E1425" s="7"/>
    </row>
    <row r="1426" spans="1:5" x14ac:dyDescent="0.25">
      <c r="A1426" s="7"/>
      <c r="B1426" s="7"/>
      <c r="C1426" s="7"/>
      <c r="D1426" s="8"/>
      <c r="E1426" s="7"/>
    </row>
    <row r="1427" spans="1:5" x14ac:dyDescent="0.25">
      <c r="A1427" s="7"/>
      <c r="B1427" s="7"/>
      <c r="C1427" s="7"/>
      <c r="D1427" s="8"/>
      <c r="E1427" s="7"/>
    </row>
    <row r="1428" spans="1:5" x14ac:dyDescent="0.25">
      <c r="A1428" s="7"/>
      <c r="B1428" s="7"/>
      <c r="C1428" s="7"/>
      <c r="D1428" s="8"/>
      <c r="E1428" s="7"/>
    </row>
    <row r="1429" spans="1:5" x14ac:dyDescent="0.25">
      <c r="A1429" s="7"/>
      <c r="B1429" s="7"/>
      <c r="C1429" s="7"/>
      <c r="D1429" s="8"/>
      <c r="E1429" s="7"/>
    </row>
    <row r="1430" spans="1:5" x14ac:dyDescent="0.25">
      <c r="A1430" s="7"/>
      <c r="B1430" s="7"/>
      <c r="C1430" s="7"/>
      <c r="D1430" s="8"/>
      <c r="E1430" s="7"/>
    </row>
    <row r="1431" spans="1:5" x14ac:dyDescent="0.25">
      <c r="A1431" s="7"/>
      <c r="B1431" s="7"/>
      <c r="C1431" s="7"/>
      <c r="D1431" s="8"/>
      <c r="E1431" s="7"/>
    </row>
    <row r="1432" spans="1:5" x14ac:dyDescent="0.25">
      <c r="A1432" s="7"/>
      <c r="B1432" s="7"/>
      <c r="C1432" s="7"/>
      <c r="D1432" s="8"/>
      <c r="E1432" s="7"/>
    </row>
    <row r="1433" spans="1:5" x14ac:dyDescent="0.25">
      <c r="A1433" s="7"/>
      <c r="B1433" s="7"/>
      <c r="C1433" s="7"/>
      <c r="D1433" s="8"/>
      <c r="E1433" s="7"/>
    </row>
    <row r="1434" spans="1:5" x14ac:dyDescent="0.25">
      <c r="A1434" s="7"/>
      <c r="B1434" s="7"/>
      <c r="C1434" s="7"/>
      <c r="D1434" s="8"/>
      <c r="E1434" s="7"/>
    </row>
    <row r="1435" spans="1:5" x14ac:dyDescent="0.25">
      <c r="A1435" s="7"/>
      <c r="B1435" s="7"/>
      <c r="C1435" s="7"/>
      <c r="D1435" s="8"/>
      <c r="E1435" s="7"/>
    </row>
    <row r="1436" spans="1:5" x14ac:dyDescent="0.25">
      <c r="A1436" s="7"/>
      <c r="B1436" s="7"/>
      <c r="C1436" s="7"/>
      <c r="D1436" s="8"/>
      <c r="E1436" s="7"/>
    </row>
    <row r="1437" spans="1:5" x14ac:dyDescent="0.25">
      <c r="A1437" s="7"/>
      <c r="B1437" s="7"/>
      <c r="C1437" s="7"/>
      <c r="D1437" s="8"/>
      <c r="E1437" s="7"/>
    </row>
    <row r="1438" spans="1:5" x14ac:dyDescent="0.25">
      <c r="A1438" s="7"/>
      <c r="B1438" s="7"/>
      <c r="C1438" s="7"/>
      <c r="D1438" s="8"/>
      <c r="E1438" s="7"/>
    </row>
    <row r="1439" spans="1:5" x14ac:dyDescent="0.25">
      <c r="A1439" s="7"/>
      <c r="B1439" s="7"/>
      <c r="C1439" s="7"/>
      <c r="D1439" s="8"/>
      <c r="E1439" s="7"/>
    </row>
    <row r="1440" spans="1:5" x14ac:dyDescent="0.25">
      <c r="A1440" s="7"/>
      <c r="B1440" s="7"/>
      <c r="C1440" s="7"/>
      <c r="D1440" s="8"/>
      <c r="E1440" s="7"/>
    </row>
    <row r="1441" spans="1:5" x14ac:dyDescent="0.25">
      <c r="A1441" s="7"/>
      <c r="B1441" s="7"/>
      <c r="C1441" s="7"/>
      <c r="D1441" s="8"/>
      <c r="E1441" s="7"/>
    </row>
    <row r="1442" spans="1:5" x14ac:dyDescent="0.25">
      <c r="A1442" s="7"/>
      <c r="B1442" s="7"/>
      <c r="C1442" s="7"/>
      <c r="D1442" s="8"/>
      <c r="E1442" s="7"/>
    </row>
    <row r="1443" spans="1:5" x14ac:dyDescent="0.25">
      <c r="A1443" s="7"/>
      <c r="B1443" s="7"/>
      <c r="C1443" s="7"/>
      <c r="D1443" s="8"/>
      <c r="E1443" s="7"/>
    </row>
    <row r="1444" spans="1:5" x14ac:dyDescent="0.25">
      <c r="A1444" s="7"/>
      <c r="B1444" s="7"/>
      <c r="C1444" s="7"/>
      <c r="D1444" s="8"/>
      <c r="E1444" s="7"/>
    </row>
    <row r="1445" spans="1:5" x14ac:dyDescent="0.25">
      <c r="A1445" s="7"/>
      <c r="B1445" s="7"/>
      <c r="C1445" s="7"/>
      <c r="D1445" s="8"/>
      <c r="E1445" s="7"/>
    </row>
    <row r="1446" spans="1:5" x14ac:dyDescent="0.25">
      <c r="A1446" s="7"/>
      <c r="B1446" s="7"/>
      <c r="C1446" s="7"/>
      <c r="D1446" s="8"/>
      <c r="E1446" s="7"/>
    </row>
    <row r="1447" spans="1:5" x14ac:dyDescent="0.25">
      <c r="A1447" s="7"/>
      <c r="B1447" s="7"/>
      <c r="C1447" s="7"/>
      <c r="D1447" s="8"/>
      <c r="E1447" s="7"/>
    </row>
    <row r="1448" spans="1:5" x14ac:dyDescent="0.25">
      <c r="A1448" s="7"/>
      <c r="B1448" s="7"/>
      <c r="C1448" s="7"/>
      <c r="D1448" s="8"/>
      <c r="E1448" s="7"/>
    </row>
    <row r="1449" spans="1:5" x14ac:dyDescent="0.25">
      <c r="A1449" s="7"/>
      <c r="B1449" s="7"/>
      <c r="C1449" s="7"/>
      <c r="D1449" s="8"/>
      <c r="E1449" s="7"/>
    </row>
    <row r="1450" spans="1:5" x14ac:dyDescent="0.25">
      <c r="A1450" s="7"/>
      <c r="B1450" s="7"/>
      <c r="C1450" s="7"/>
      <c r="D1450" s="8"/>
      <c r="E1450" s="7"/>
    </row>
    <row r="1451" spans="1:5" x14ac:dyDescent="0.25">
      <c r="A1451" s="7"/>
      <c r="B1451" s="7"/>
      <c r="C1451" s="7"/>
      <c r="D1451" s="8"/>
      <c r="E1451" s="7"/>
    </row>
    <row r="1452" spans="1:5" x14ac:dyDescent="0.25">
      <c r="A1452" s="7"/>
      <c r="B1452" s="7"/>
      <c r="C1452" s="7"/>
      <c r="D1452" s="8"/>
      <c r="E1452" s="7"/>
    </row>
    <row r="1453" spans="1:5" x14ac:dyDescent="0.25">
      <c r="A1453" s="7"/>
      <c r="B1453" s="7"/>
      <c r="C1453" s="7"/>
      <c r="D1453" s="8"/>
      <c r="E1453" s="7"/>
    </row>
    <row r="1454" spans="1:5" x14ac:dyDescent="0.25">
      <c r="A1454" s="7"/>
      <c r="B1454" s="7"/>
      <c r="C1454" s="7"/>
      <c r="D1454" s="7"/>
      <c r="E1454" s="7"/>
    </row>
    <row r="1455" spans="1:5" x14ac:dyDescent="0.25">
      <c r="A1455" s="7"/>
      <c r="B1455" s="7"/>
      <c r="C1455" s="7"/>
      <c r="D1455" s="7"/>
      <c r="E1455" s="7"/>
    </row>
    <row r="1456" spans="1:5" x14ac:dyDescent="0.25">
      <c r="A1456" s="7"/>
      <c r="B1456" s="7"/>
      <c r="C1456" s="7"/>
      <c r="D1456" s="7"/>
      <c r="E1456" s="7"/>
    </row>
    <row r="1457" spans="1:5" x14ac:dyDescent="0.25">
      <c r="A1457" s="7"/>
      <c r="B1457" s="7"/>
      <c r="C1457" s="7"/>
      <c r="D1457" s="7"/>
      <c r="E1457" s="7"/>
    </row>
    <row r="1458" spans="1:5" x14ac:dyDescent="0.25">
      <c r="A1458" s="7"/>
      <c r="B1458" s="7"/>
      <c r="C1458" s="7"/>
      <c r="D1458" s="7"/>
      <c r="E1458" s="7"/>
    </row>
    <row r="1459" spans="1:5" x14ac:dyDescent="0.25">
      <c r="A1459" s="7"/>
      <c r="B1459" s="7"/>
      <c r="C1459" s="7"/>
      <c r="D1459" s="7"/>
      <c r="E1459" s="7"/>
    </row>
    <row r="1460" spans="1:5" x14ac:dyDescent="0.25">
      <c r="A1460" s="7"/>
      <c r="B1460" s="7"/>
      <c r="C1460" s="7"/>
      <c r="D1460" s="7"/>
      <c r="E1460" s="7"/>
    </row>
    <row r="1461" spans="1:5" x14ac:dyDescent="0.25">
      <c r="A1461" s="7"/>
      <c r="B1461" s="7"/>
      <c r="C1461" s="7"/>
      <c r="D1461" s="7"/>
      <c r="E1461" s="7"/>
    </row>
    <row r="1462" spans="1:5" x14ac:dyDescent="0.25">
      <c r="A1462" s="7"/>
      <c r="B1462" s="7"/>
      <c r="C1462" s="7"/>
      <c r="D1462" s="7"/>
      <c r="E1462" s="7"/>
    </row>
    <row r="1463" spans="1:5" x14ac:dyDescent="0.25">
      <c r="A1463" s="7"/>
      <c r="B1463" s="7"/>
    </row>
    <row r="1464" spans="1:5" x14ac:dyDescent="0.25">
      <c r="A1464" s="7"/>
      <c r="B1464" s="7"/>
    </row>
    <row r="1465" spans="1:5" x14ac:dyDescent="0.25">
      <c r="A1465" s="7"/>
      <c r="B1465" s="7"/>
    </row>
    <row r="1466" spans="1:5" x14ac:dyDescent="0.25">
      <c r="A1466" s="7"/>
      <c r="B1466" s="7"/>
    </row>
    <row r="1467" spans="1:5" x14ac:dyDescent="0.25">
      <c r="A1467" s="7"/>
      <c r="B1467" s="7"/>
    </row>
    <row r="1468" spans="1:5" x14ac:dyDescent="0.25">
      <c r="A1468" s="7"/>
      <c r="B1468" s="7"/>
    </row>
    <row r="1469" spans="1:5" x14ac:dyDescent="0.25">
      <c r="A1469" s="7"/>
      <c r="B1469" s="7"/>
    </row>
    <row r="1470" spans="1:5" x14ac:dyDescent="0.25">
      <c r="A1470" s="7"/>
      <c r="B1470" s="7"/>
    </row>
    <row r="1471" spans="1:5" x14ac:dyDescent="0.25">
      <c r="A1471" s="7"/>
      <c r="B1471" s="7"/>
    </row>
    <row r="1472" spans="1:5" x14ac:dyDescent="0.25">
      <c r="A1472" s="7"/>
      <c r="B1472" s="7"/>
    </row>
    <row r="1473" spans="1:2" x14ac:dyDescent="0.25">
      <c r="A1473" s="7"/>
      <c r="B1473" s="7"/>
    </row>
    <row r="1474" spans="1:2" x14ac:dyDescent="0.25">
      <c r="A1474" s="7"/>
      <c r="B1474" s="7"/>
    </row>
    <row r="1475" spans="1:2" x14ac:dyDescent="0.25">
      <c r="A1475" s="7"/>
      <c r="B1475" s="7"/>
    </row>
    <row r="1476" spans="1:2" x14ac:dyDescent="0.25">
      <c r="A1476" s="7"/>
      <c r="B1476" s="7"/>
    </row>
    <row r="1477" spans="1:2" x14ac:dyDescent="0.25">
      <c r="A1477" s="7"/>
      <c r="B1477" s="7"/>
    </row>
    <row r="1478" spans="1:2" x14ac:dyDescent="0.25">
      <c r="A1478" s="7"/>
      <c r="B1478" s="7"/>
    </row>
    <row r="1479" spans="1:2" x14ac:dyDescent="0.25">
      <c r="A1479" s="7"/>
      <c r="B1479" s="7"/>
    </row>
    <row r="1480" spans="1:2" x14ac:dyDescent="0.25">
      <c r="A1480" s="7"/>
      <c r="B1480" s="7"/>
    </row>
    <row r="1481" spans="1:2" x14ac:dyDescent="0.25">
      <c r="A1481" s="7"/>
      <c r="B1481" s="7"/>
    </row>
    <row r="1482" spans="1:2" x14ac:dyDescent="0.25">
      <c r="A1482" s="7"/>
      <c r="B1482" s="7"/>
    </row>
    <row r="1483" spans="1:2" x14ac:dyDescent="0.25">
      <c r="A1483" s="7"/>
      <c r="B1483" s="7"/>
    </row>
    <row r="1484" spans="1:2" x14ac:dyDescent="0.25">
      <c r="A1484" s="7"/>
      <c r="B1484" s="7"/>
    </row>
    <row r="1485" spans="1:2" x14ac:dyDescent="0.25">
      <c r="A1485" s="7"/>
      <c r="B1485" s="7"/>
    </row>
    <row r="1486" spans="1:2" x14ac:dyDescent="0.25">
      <c r="A1486" s="7"/>
    </row>
    <row r="1487" spans="1:2" x14ac:dyDescent="0.25">
      <c r="A1487" s="7"/>
    </row>
    <row r="1488" spans="1:2" x14ac:dyDescent="0.25">
      <c r="A1488" s="7"/>
    </row>
    <row r="1489" spans="1:1" x14ac:dyDescent="0.25">
      <c r="A1489" s="7"/>
    </row>
    <row r="1490" spans="1:1" x14ac:dyDescent="0.25">
      <c r="A1490" s="7"/>
    </row>
    <row r="1491" spans="1:1" x14ac:dyDescent="0.25">
      <c r="A1491" s="7"/>
    </row>
    <row r="1492" spans="1:1" x14ac:dyDescent="0.25">
      <c r="A1492" s="7"/>
    </row>
    <row r="1493" spans="1:1" x14ac:dyDescent="0.25">
      <c r="A1493" s="7"/>
    </row>
    <row r="1494" spans="1:1" x14ac:dyDescent="0.25">
      <c r="A1494" s="7"/>
    </row>
    <row r="1495" spans="1:1" x14ac:dyDescent="0.25">
      <c r="A1495" s="7"/>
    </row>
    <row r="1496" spans="1:1" x14ac:dyDescent="0.25">
      <c r="A1496" s="7"/>
    </row>
    <row r="1497" spans="1:1" x14ac:dyDescent="0.25">
      <c r="A1497" s="7"/>
    </row>
    <row r="1498" spans="1:1" x14ac:dyDescent="0.25">
      <c r="A1498" s="7"/>
    </row>
    <row r="1499" spans="1:1" x14ac:dyDescent="0.25">
      <c r="A1499" s="7"/>
    </row>
    <row r="1500" spans="1:1" x14ac:dyDescent="0.25">
      <c r="A1500" s="7"/>
    </row>
    <row r="1501" spans="1:1" x14ac:dyDescent="0.25">
      <c r="A1501" s="7"/>
    </row>
    <row r="1502" spans="1:1" x14ac:dyDescent="0.25">
      <c r="A1502" s="7"/>
    </row>
    <row r="1503" spans="1:1" x14ac:dyDescent="0.25">
      <c r="A1503" s="7"/>
    </row>
    <row r="1504" spans="1:1" x14ac:dyDescent="0.25">
      <c r="A1504" s="7"/>
    </row>
    <row r="1505" spans="1:1" x14ac:dyDescent="0.25">
      <c r="A1505" s="7"/>
    </row>
    <row r="1506" spans="1:1" x14ac:dyDescent="0.25">
      <c r="A1506" s="7"/>
    </row>
    <row r="1507" spans="1:1" x14ac:dyDescent="0.25">
      <c r="A1507" s="7"/>
    </row>
    <row r="1508" spans="1:1" x14ac:dyDescent="0.25">
      <c r="A1508" s="7"/>
    </row>
    <row r="1509" spans="1:1" x14ac:dyDescent="0.25">
      <c r="A1509" s="7"/>
    </row>
    <row r="1510" spans="1:1" x14ac:dyDescent="0.25">
      <c r="A1510" s="7"/>
    </row>
    <row r="1511" spans="1:1" x14ac:dyDescent="0.25">
      <c r="A1511" s="7"/>
    </row>
    <row r="1512" spans="1:1" x14ac:dyDescent="0.25">
      <c r="A1512" s="7"/>
    </row>
    <row r="1513" spans="1:1" x14ac:dyDescent="0.25">
      <c r="A1513" s="7"/>
    </row>
    <row r="1514" spans="1:1" x14ac:dyDescent="0.25">
      <c r="A1514" s="7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E027-07AB-5B4E-B150-E88615AE26EE}">
  <dimension ref="B2:G56"/>
  <sheetViews>
    <sheetView zoomScale="103" workbookViewId="0">
      <selection activeCell="E36" sqref="E36"/>
    </sheetView>
  </sheetViews>
  <sheetFormatPr defaultColWidth="11.25" defaultRowHeight="15.75" x14ac:dyDescent="0.25"/>
  <cols>
    <col min="2" max="2" width="33.5" customWidth="1"/>
    <col min="3" max="3" width="21.5" customWidth="1"/>
    <col min="4" max="4" width="40.875" customWidth="1"/>
    <col min="5" max="5" width="22.75" customWidth="1"/>
    <col min="6" max="6" width="16.75" bestFit="1" customWidth="1"/>
  </cols>
  <sheetData>
    <row r="2" spans="2:5" x14ac:dyDescent="0.25">
      <c r="B2" s="1" t="s">
        <v>0</v>
      </c>
      <c r="C2" s="1" t="s">
        <v>1</v>
      </c>
      <c r="D2" s="1" t="s">
        <v>11</v>
      </c>
      <c r="E2" s="1" t="s">
        <v>13</v>
      </c>
    </row>
    <row r="4" spans="2:5" x14ac:dyDescent="0.25">
      <c r="B4" t="s">
        <v>670</v>
      </c>
      <c r="C4" t="s">
        <v>239</v>
      </c>
      <c r="D4" t="s">
        <v>760</v>
      </c>
      <c r="E4" s="10">
        <f>SUM(computations!D51:D74)</f>
        <v>52432.396986101347</v>
      </c>
    </row>
    <row r="5" spans="2:5" x14ac:dyDescent="0.25">
      <c r="B5" t="s">
        <v>752</v>
      </c>
      <c r="C5" t="s">
        <v>239</v>
      </c>
      <c r="D5" t="s">
        <v>761</v>
      </c>
      <c r="E5" s="10">
        <f>SUM(computations!D88:D111)</f>
        <v>188022575.59215948</v>
      </c>
    </row>
    <row r="6" spans="2:5" x14ac:dyDescent="0.25">
      <c r="B6" t="s">
        <v>671</v>
      </c>
      <c r="C6" t="s">
        <v>239</v>
      </c>
      <c r="D6" t="s">
        <v>762</v>
      </c>
      <c r="E6" s="10">
        <f>SUM(computations!D75:D87)</f>
        <v>10642.434745116298</v>
      </c>
    </row>
    <row r="7" spans="2:5" x14ac:dyDescent="0.25">
      <c r="B7" t="s">
        <v>753</v>
      </c>
      <c r="C7" t="s">
        <v>239</v>
      </c>
      <c r="D7" t="s">
        <v>763</v>
      </c>
      <c r="E7" s="10">
        <f>SUM(computations!D112:D123)</f>
        <v>22864101.428552121</v>
      </c>
    </row>
    <row r="8" spans="2:5" x14ac:dyDescent="0.25">
      <c r="B8" t="s">
        <v>751</v>
      </c>
      <c r="C8" t="s">
        <v>239</v>
      </c>
      <c r="D8" t="s">
        <v>764</v>
      </c>
      <c r="E8" s="10">
        <f>computations!D87</f>
        <v>4266.5001582361747</v>
      </c>
    </row>
    <row r="9" spans="2:5" x14ac:dyDescent="0.25">
      <c r="B9" t="s">
        <v>754</v>
      </c>
      <c r="C9" t="s">
        <v>239</v>
      </c>
      <c r="D9" t="s">
        <v>765</v>
      </c>
      <c r="E9" s="10">
        <f>computations!D124</f>
        <v>15299669.567434922</v>
      </c>
    </row>
    <row r="10" spans="2:5" x14ac:dyDescent="0.25">
      <c r="B10" t="s">
        <v>756</v>
      </c>
      <c r="C10" t="s">
        <v>239</v>
      </c>
      <c r="D10" t="s">
        <v>766</v>
      </c>
      <c r="E10" s="10">
        <f>SUM(computations!D125:D136)</f>
        <v>682937347.72831833</v>
      </c>
    </row>
    <row r="11" spans="2:5" x14ac:dyDescent="0.25">
      <c r="B11" t="s">
        <v>757</v>
      </c>
      <c r="C11" t="s">
        <v>239</v>
      </c>
      <c r="D11" t="s">
        <v>767</v>
      </c>
      <c r="E11" s="10">
        <f>SUM(computations!D137:D148)</f>
        <v>248117538.77230087</v>
      </c>
    </row>
    <row r="12" spans="2:5" x14ac:dyDescent="0.25">
      <c r="B12" t="s">
        <v>770</v>
      </c>
      <c r="C12" t="s">
        <v>759</v>
      </c>
      <c r="D12" t="s">
        <v>775</v>
      </c>
      <c r="E12" s="10">
        <f>SUM(computations!D355:D499)</f>
        <v>185152.87963093314</v>
      </c>
    </row>
    <row r="13" spans="2:5" hidden="1" x14ac:dyDescent="0.25">
      <c r="B13" t="s">
        <v>770</v>
      </c>
      <c r="C13" t="s">
        <v>759</v>
      </c>
      <c r="D13" t="s">
        <v>776</v>
      </c>
      <c r="E13" s="10"/>
    </row>
    <row r="14" spans="2:5" hidden="1" x14ac:dyDescent="0.25">
      <c r="B14" t="s">
        <v>770</v>
      </c>
      <c r="C14" t="s">
        <v>759</v>
      </c>
      <c r="D14" t="s">
        <v>777</v>
      </c>
      <c r="E14" s="10"/>
    </row>
    <row r="15" spans="2:5" hidden="1" x14ac:dyDescent="0.25">
      <c r="B15" t="s">
        <v>770</v>
      </c>
      <c r="C15" t="s">
        <v>759</v>
      </c>
      <c r="D15" t="s">
        <v>778</v>
      </c>
      <c r="E15" s="10"/>
    </row>
    <row r="16" spans="2:5" hidden="1" x14ac:dyDescent="0.25">
      <c r="B16" t="s">
        <v>770</v>
      </c>
      <c r="C16" t="s">
        <v>759</v>
      </c>
      <c r="D16" t="s">
        <v>779</v>
      </c>
      <c r="E16" s="10"/>
    </row>
    <row r="17" spans="2:7" hidden="1" x14ac:dyDescent="0.25">
      <c r="B17" t="s">
        <v>770</v>
      </c>
      <c r="C17" t="s">
        <v>759</v>
      </c>
      <c r="D17" t="s">
        <v>780</v>
      </c>
      <c r="E17" s="10"/>
    </row>
    <row r="18" spans="2:7" hidden="1" x14ac:dyDescent="0.25">
      <c r="B18" t="s">
        <v>770</v>
      </c>
      <c r="C18" t="s">
        <v>759</v>
      </c>
      <c r="D18" t="s">
        <v>781</v>
      </c>
      <c r="E18" s="10"/>
    </row>
    <row r="19" spans="2:7" hidden="1" x14ac:dyDescent="0.25">
      <c r="B19" t="s">
        <v>770</v>
      </c>
      <c r="C19" t="s">
        <v>759</v>
      </c>
      <c r="D19" t="s">
        <v>782</v>
      </c>
      <c r="E19" s="10"/>
    </row>
    <row r="20" spans="2:7" hidden="1" x14ac:dyDescent="0.25">
      <c r="B20" t="s">
        <v>770</v>
      </c>
      <c r="C20" t="s">
        <v>759</v>
      </c>
      <c r="D20" t="s">
        <v>783</v>
      </c>
      <c r="E20" s="10"/>
    </row>
    <row r="21" spans="2:7" hidden="1" x14ac:dyDescent="0.25">
      <c r="B21" t="s">
        <v>770</v>
      </c>
      <c r="C21" t="s">
        <v>759</v>
      </c>
      <c r="D21" t="s">
        <v>784</v>
      </c>
      <c r="E21" s="10"/>
    </row>
    <row r="22" spans="2:7" hidden="1" x14ac:dyDescent="0.25">
      <c r="B22" t="s">
        <v>770</v>
      </c>
      <c r="C22" t="s">
        <v>759</v>
      </c>
      <c r="D22" t="s">
        <v>785</v>
      </c>
      <c r="E22" s="10"/>
    </row>
    <row r="23" spans="2:7" hidden="1" x14ac:dyDescent="0.25">
      <c r="B23" t="s">
        <v>770</v>
      </c>
      <c r="C23" t="s">
        <v>759</v>
      </c>
      <c r="D23" t="s">
        <v>786</v>
      </c>
      <c r="E23" s="10"/>
    </row>
    <row r="24" spans="2:7" x14ac:dyDescent="0.25">
      <c r="B24" t="s">
        <v>771</v>
      </c>
      <c r="C24" t="s">
        <v>759</v>
      </c>
      <c r="D24" t="s">
        <v>787</v>
      </c>
      <c r="E24" s="10">
        <f>SUM(computations!D500:D644)</f>
        <v>663958226.35652614</v>
      </c>
      <c r="G24" t="s">
        <v>1054</v>
      </c>
    </row>
    <row r="25" spans="2:7" hidden="1" x14ac:dyDescent="0.25">
      <c r="B25" t="s">
        <v>771</v>
      </c>
      <c r="C25" t="s">
        <v>759</v>
      </c>
      <c r="D25" t="s">
        <v>788</v>
      </c>
      <c r="E25" s="10"/>
    </row>
    <row r="26" spans="2:7" hidden="1" x14ac:dyDescent="0.25">
      <c r="B26" t="s">
        <v>771</v>
      </c>
      <c r="C26" t="s">
        <v>759</v>
      </c>
      <c r="D26" t="s">
        <v>789</v>
      </c>
      <c r="E26" s="10"/>
    </row>
    <row r="27" spans="2:7" hidden="1" x14ac:dyDescent="0.25">
      <c r="B27" t="s">
        <v>771</v>
      </c>
      <c r="C27" t="s">
        <v>759</v>
      </c>
      <c r="D27" t="s">
        <v>790</v>
      </c>
      <c r="E27" s="10"/>
    </row>
    <row r="28" spans="2:7" hidden="1" x14ac:dyDescent="0.25">
      <c r="B28" t="s">
        <v>771</v>
      </c>
      <c r="C28" t="s">
        <v>759</v>
      </c>
      <c r="D28" t="s">
        <v>791</v>
      </c>
      <c r="E28" s="10"/>
    </row>
    <row r="29" spans="2:7" hidden="1" x14ac:dyDescent="0.25">
      <c r="B29" t="s">
        <v>771</v>
      </c>
      <c r="C29" t="s">
        <v>759</v>
      </c>
      <c r="D29" t="s">
        <v>792</v>
      </c>
      <c r="E29" s="10"/>
    </row>
    <row r="30" spans="2:7" hidden="1" x14ac:dyDescent="0.25">
      <c r="B30" t="s">
        <v>771</v>
      </c>
      <c r="C30" t="s">
        <v>759</v>
      </c>
      <c r="D30" t="s">
        <v>793</v>
      </c>
      <c r="E30" s="10"/>
    </row>
    <row r="31" spans="2:7" hidden="1" x14ac:dyDescent="0.25">
      <c r="B31" t="s">
        <v>771</v>
      </c>
      <c r="C31" t="s">
        <v>759</v>
      </c>
      <c r="D31" t="s">
        <v>794</v>
      </c>
      <c r="E31" s="10"/>
    </row>
    <row r="32" spans="2:7" hidden="1" x14ac:dyDescent="0.25">
      <c r="B32" t="s">
        <v>771</v>
      </c>
      <c r="C32" t="s">
        <v>759</v>
      </c>
      <c r="D32" t="s">
        <v>795</v>
      </c>
      <c r="E32" s="10"/>
    </row>
    <row r="33" spans="2:7" hidden="1" x14ac:dyDescent="0.25">
      <c r="B33" t="s">
        <v>771</v>
      </c>
      <c r="C33" t="s">
        <v>759</v>
      </c>
      <c r="D33" t="s">
        <v>796</v>
      </c>
      <c r="E33" s="10"/>
    </row>
    <row r="34" spans="2:7" hidden="1" x14ac:dyDescent="0.25">
      <c r="B34" t="s">
        <v>771</v>
      </c>
      <c r="C34" t="s">
        <v>759</v>
      </c>
      <c r="D34" t="s">
        <v>797</v>
      </c>
      <c r="E34" s="10"/>
    </row>
    <row r="35" spans="2:7" hidden="1" x14ac:dyDescent="0.25">
      <c r="B35" t="s">
        <v>771</v>
      </c>
      <c r="C35" t="s">
        <v>759</v>
      </c>
      <c r="D35" t="s">
        <v>798</v>
      </c>
      <c r="E35" s="10"/>
    </row>
    <row r="36" spans="2:7" x14ac:dyDescent="0.25">
      <c r="B36" t="s">
        <v>772</v>
      </c>
      <c r="C36" t="s">
        <v>759</v>
      </c>
      <c r="D36" t="s">
        <v>799</v>
      </c>
      <c r="E36" s="10">
        <f>SUM(computations!D645:D744)</f>
        <v>216371711.69781089</v>
      </c>
      <c r="G36" s="10">
        <f>E7+E5+E9</f>
        <v>226186346.58814651</v>
      </c>
    </row>
    <row r="37" spans="2:7" hidden="1" x14ac:dyDescent="0.25">
      <c r="B37" t="s">
        <v>772</v>
      </c>
      <c r="C37" t="s">
        <v>759</v>
      </c>
      <c r="D37" t="s">
        <v>801</v>
      </c>
      <c r="E37" s="10"/>
    </row>
    <row r="38" spans="2:7" hidden="1" x14ac:dyDescent="0.25">
      <c r="B38" t="s">
        <v>772</v>
      </c>
      <c r="C38" t="s">
        <v>759</v>
      </c>
      <c r="D38" t="s">
        <v>800</v>
      </c>
      <c r="E38" s="10"/>
    </row>
    <row r="39" spans="2:7" hidden="1" x14ac:dyDescent="0.25">
      <c r="B39" t="s">
        <v>772</v>
      </c>
      <c r="C39" t="s">
        <v>759</v>
      </c>
      <c r="D39" t="s">
        <v>802</v>
      </c>
      <c r="E39" s="10"/>
    </row>
    <row r="40" spans="2:7" hidden="1" x14ac:dyDescent="0.25">
      <c r="B40" t="s">
        <v>772</v>
      </c>
      <c r="C40" t="s">
        <v>759</v>
      </c>
      <c r="D40" t="s">
        <v>803</v>
      </c>
      <c r="E40" s="10"/>
    </row>
    <row r="41" spans="2:7" x14ac:dyDescent="0.25">
      <c r="B41" t="s">
        <v>758</v>
      </c>
      <c r="C41" t="s">
        <v>759</v>
      </c>
      <c r="D41" t="s">
        <v>768</v>
      </c>
      <c r="E41" s="10">
        <f>SUM(computations!D745:D751)</f>
        <v>58438963.115779579</v>
      </c>
      <c r="G41" t="s">
        <v>1055</v>
      </c>
    </row>
    <row r="42" spans="2:7" x14ac:dyDescent="0.25">
      <c r="B42" t="s">
        <v>774</v>
      </c>
      <c r="C42" t="s">
        <v>774</v>
      </c>
      <c r="D42" t="s">
        <v>774</v>
      </c>
      <c r="E42" s="10">
        <f>E5+E7+E9+E10+E11</f>
        <v>1157241233.0887659</v>
      </c>
      <c r="G42" s="10">
        <f>E10+E11</f>
        <v>931054886.50061917</v>
      </c>
    </row>
    <row r="43" spans="2:7" x14ac:dyDescent="0.25">
      <c r="B43" t="s">
        <v>773</v>
      </c>
      <c r="C43" t="s">
        <v>773</v>
      </c>
      <c r="D43" t="s">
        <v>773</v>
      </c>
      <c r="E43" s="10">
        <f>E24+E36+E41</f>
        <v>938768901.17011666</v>
      </c>
    </row>
    <row r="44" spans="2:7" x14ac:dyDescent="0.25">
      <c r="B44" t="s">
        <v>774</v>
      </c>
      <c r="C44" t="s">
        <v>774</v>
      </c>
      <c r="D44" t="s">
        <v>804</v>
      </c>
      <c r="E44">
        <f>E42/1000000000</f>
        <v>1.1572412330887658</v>
      </c>
    </row>
    <row r="45" spans="2:7" x14ac:dyDescent="0.25">
      <c r="B45" t="s">
        <v>773</v>
      </c>
      <c r="C45" t="s">
        <v>773</v>
      </c>
      <c r="D45" t="s">
        <v>805</v>
      </c>
      <c r="E45">
        <f>E43/1000000000</f>
        <v>0.93876890117011669</v>
      </c>
    </row>
    <row r="56" spans="2:6" x14ac:dyDescent="0.25">
      <c r="B56" t="s">
        <v>822</v>
      </c>
      <c r="E56" s="10">
        <f>SUM(E5+E7+E9)/1000000</f>
        <v>226.18634658814651</v>
      </c>
      <c r="F56" t="s">
        <v>823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computations</vt:lpstr>
      <vt:lpstr>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Émile DUGNAT</dc:creator>
  <cp:lastModifiedBy>Samuel Stevens</cp:lastModifiedBy>
  <dcterms:created xsi:type="dcterms:W3CDTF">2024-07-15T16:17:17Z</dcterms:created>
  <dcterms:modified xsi:type="dcterms:W3CDTF">2026-04-18T12:12:42Z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ccept_treatment" linkTarget="prop_accept_treatment">
    <vt:lpwstr>#REF!</vt:lpwstr>
  </property>
  <property fmtid="{D5CDD505-2E9C-101B-9397-08002B2CF9AE}" pid="3" name="access_clinics_AN" linkTarget="prop_access_clinics_AN">
    <vt:lpwstr>#REF!</vt:lpwstr>
  </property>
  <property fmtid="{D5CDD505-2E9C-101B-9397-08002B2CF9AE}" pid="4" name="screened_pos_year_1_AN" linkTarget="prop_screened_pos_year_1_AN">
    <vt:lpwstr>#REF!</vt:lpwstr>
  </property>
  <property fmtid="{D5CDD505-2E9C-101B-9397-08002B2CF9AE}" pid="5" name="screened_year_1" linkTarget="prop_screened_year_1">
    <vt:lpwstr>#REF!</vt:lpwstr>
  </property>
</Properties>
</file>