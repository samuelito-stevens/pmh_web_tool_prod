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222BDF90-335A-4B25-A97E-7BB2753143F9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128" i="2"/>
  <c r="D149" i="2" l="1"/>
  <c r="D745" i="2" s="1"/>
  <c r="D150" i="2"/>
  <c r="D355" i="2" s="1"/>
  <c r="D500" i="2" s="1"/>
  <c r="D746" i="2" l="1"/>
  <c r="E22" i="1" l="1"/>
  <c r="E23" i="1" s="1"/>
  <c r="E21" i="1"/>
  <c r="E30" i="1"/>
  <c r="E80" i="1"/>
  <c r="E81" i="1"/>
  <c r="E84" i="1"/>
  <c r="E85" i="1"/>
  <c r="E83" i="1"/>
  <c r="E82" i="1"/>
  <c r="E706" i="2"/>
  <c r="E728" i="2"/>
  <c r="E724" i="2"/>
  <c r="E683" i="2"/>
  <c r="E722" i="2"/>
  <c r="E696" i="2"/>
  <c r="E715" i="2"/>
  <c r="E682" i="2"/>
  <c r="E737" i="2"/>
  <c r="E713" i="2"/>
  <c r="E701" i="2"/>
  <c r="E727" i="2"/>
  <c r="E717" i="2"/>
  <c r="E723" i="2"/>
  <c r="E700" i="2"/>
  <c r="E702" i="2"/>
  <c r="E687" i="2"/>
  <c r="E721" i="2"/>
  <c r="E714" i="2"/>
  <c r="E677" i="2"/>
  <c r="E743" i="2"/>
  <c r="E686" i="2"/>
  <c r="E709" i="2"/>
  <c r="E151" i="2"/>
  <c r="E710" i="2"/>
  <c r="E741" i="2"/>
  <c r="E694" i="2"/>
  <c r="E689" i="2"/>
  <c r="E744" i="2"/>
  <c r="E703" i="2"/>
  <c r="E733" i="2"/>
  <c r="E693" i="2"/>
  <c r="E716" i="2"/>
  <c r="E685" i="2"/>
  <c r="E739" i="2"/>
  <c r="E671" i="2"/>
  <c r="E678" i="2"/>
  <c r="E704" i="2"/>
  <c r="E680" i="2"/>
  <c r="E725" i="2"/>
  <c r="E712" i="2"/>
  <c r="E672" i="2"/>
  <c r="E738" i="2"/>
  <c r="E732" i="2"/>
  <c r="E729" i="2"/>
  <c r="E719" i="2"/>
  <c r="E707" i="2"/>
  <c r="E160" i="2"/>
  <c r="E720" i="2"/>
  <c r="E679" i="2"/>
  <c r="E740" i="2"/>
  <c r="E355" i="2"/>
  <c r="E708" i="2"/>
  <c r="E711" i="2"/>
  <c r="E684" i="2"/>
  <c r="E699" i="2"/>
  <c r="E691" i="2"/>
  <c r="E674" i="2"/>
  <c r="E2" i="2"/>
  <c r="E670" i="2"/>
  <c r="E742" i="2"/>
  <c r="E718" i="2"/>
  <c r="E730" i="2"/>
  <c r="E675" i="2"/>
  <c r="E734" i="2"/>
  <c r="E692" i="2"/>
  <c r="E705" i="2"/>
  <c r="E735" i="2"/>
  <c r="E726" i="2"/>
  <c r="E688" i="2"/>
  <c r="E690" i="2"/>
  <c r="E731" i="2"/>
  <c r="E676" i="2"/>
  <c r="E736" i="2"/>
  <c r="E673" i="2"/>
  <c r="E697" i="2"/>
  <c r="E681" i="2"/>
  <c r="E428" i="2"/>
  <c r="E698" i="2"/>
  <c r="E695" i="2"/>
  <c r="D3" i="2" l="1"/>
  <c r="D50" i="2" l="1"/>
  <c r="D158" i="2"/>
  <c r="D277" i="2" s="1"/>
  <c r="D278" i="2" s="1"/>
  <c r="D279" i="2" s="1"/>
  <c r="D280" i="2" s="1"/>
  <c r="D151" i="2"/>
  <c r="D159" i="2"/>
  <c r="D316" i="2" s="1"/>
  <c r="D317" i="2" s="1"/>
  <c r="D318" i="2" s="1"/>
  <c r="D319" i="2" s="1"/>
  <c r="D152" i="2"/>
  <c r="D747" i="2" s="1"/>
  <c r="D153" i="2"/>
  <c r="D748" i="2" s="1"/>
  <c r="D154" i="2"/>
  <c r="D749" i="2" s="1"/>
  <c r="D155" i="2"/>
  <c r="D156" i="2"/>
  <c r="D157" i="2"/>
  <c r="D238" i="2" s="1"/>
  <c r="D239" i="2" s="1"/>
  <c r="D240" i="2" s="1"/>
  <c r="D241" i="2" s="1"/>
  <c r="D4" i="2"/>
  <c r="D16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38" i="2" s="1"/>
  <c r="D126" i="2" l="1"/>
  <c r="D160" i="2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750" i="2"/>
  <c r="D320" i="2"/>
  <c r="D464" i="2"/>
  <c r="D609" i="2" s="1"/>
  <c r="D53" i="2"/>
  <c r="D90" i="2" s="1"/>
  <c r="D392" i="2"/>
  <c r="D537" i="2" s="1"/>
  <c r="D242" i="2"/>
  <c r="D281" i="2"/>
  <c r="D428" i="2"/>
  <c r="D573" i="2" s="1"/>
  <c r="D199" i="2"/>
  <c r="D200" i="2" s="1"/>
  <c r="D201" i="2" s="1"/>
  <c r="D202" i="2" s="1"/>
  <c r="D751" i="2"/>
  <c r="D125" i="2"/>
  <c r="D51" i="2"/>
  <c r="D88" i="2" s="1"/>
  <c r="E9" i="3"/>
  <c r="E8" i="3"/>
  <c r="D5" i="2"/>
  <c r="D41" i="2" s="1"/>
  <c r="D28" i="2"/>
  <c r="D65" i="2" s="1"/>
  <c r="D102" i="2" s="1"/>
  <c r="D40" i="2"/>
  <c r="D139" i="2" s="1"/>
  <c r="D76" i="2"/>
  <c r="D113" i="2" s="1"/>
  <c r="D75" i="2"/>
  <c r="D112" i="2" s="1"/>
  <c r="D52" i="2"/>
  <c r="D89" i="2" s="1"/>
  <c r="D64" i="2"/>
  <c r="D101" i="2" s="1"/>
  <c r="D203" i="2" l="1"/>
  <c r="D356" i="2"/>
  <c r="D501" i="2" s="1"/>
  <c r="D321" i="2"/>
  <c r="D465" i="2"/>
  <c r="D610" i="2" s="1"/>
  <c r="D645" i="2"/>
  <c r="D175" i="2"/>
  <c r="D393" i="2"/>
  <c r="D538" i="2" s="1"/>
  <c r="D243" i="2"/>
  <c r="D78" i="2"/>
  <c r="D115" i="2" s="1"/>
  <c r="D140" i="2"/>
  <c r="D282" i="2"/>
  <c r="D429" i="2"/>
  <c r="D574" i="2" s="1"/>
  <c r="D127" i="2"/>
  <c r="E41" i="3"/>
  <c r="D17" i="2"/>
  <c r="D29" i="2"/>
  <c r="D66" i="2" s="1"/>
  <c r="D103" i="2" s="1"/>
  <c r="D77" i="2"/>
  <c r="D114" i="2" s="1"/>
  <c r="D6" i="2"/>
  <c r="D30" i="2" s="1"/>
  <c r="D67" i="2" s="1"/>
  <c r="D104" i="2" s="1"/>
  <c r="D394" i="2" l="1"/>
  <c r="D539" i="2" s="1"/>
  <c r="D244" i="2"/>
  <c r="D646" i="2"/>
  <c r="D176" i="2"/>
  <c r="D54" i="2"/>
  <c r="D91" i="2" s="1"/>
  <c r="D128" i="2"/>
  <c r="D283" i="2"/>
  <c r="D430" i="2"/>
  <c r="D575" i="2" s="1"/>
  <c r="D322" i="2"/>
  <c r="D466" i="2"/>
  <c r="D611" i="2" s="1"/>
  <c r="D204" i="2"/>
  <c r="D357" i="2"/>
  <c r="D502" i="2" s="1"/>
  <c r="D18" i="2"/>
  <c r="D7" i="2"/>
  <c r="D31" i="2" s="1"/>
  <c r="D68" i="2" s="1"/>
  <c r="D105" i="2" s="1"/>
  <c r="D42" i="2"/>
  <c r="D79" i="2" l="1"/>
  <c r="D116" i="2" s="1"/>
  <c r="D141" i="2"/>
  <c r="D177" i="2"/>
  <c r="D647" i="2"/>
  <c r="D284" i="2"/>
  <c r="D431" i="2"/>
  <c r="D576" i="2" s="1"/>
  <c r="D55" i="2"/>
  <c r="D92" i="2" s="1"/>
  <c r="D129" i="2"/>
  <c r="D205" i="2"/>
  <c r="D358" i="2"/>
  <c r="D503" i="2" s="1"/>
  <c r="D395" i="2"/>
  <c r="D540" i="2" s="1"/>
  <c r="D245" i="2"/>
  <c r="D323" i="2"/>
  <c r="D467" i="2"/>
  <c r="D612" i="2" s="1"/>
  <c r="D8" i="2"/>
  <c r="D32" i="2" s="1"/>
  <c r="D69" i="2" s="1"/>
  <c r="D106" i="2" s="1"/>
  <c r="D19" i="2"/>
  <c r="D43" i="2"/>
  <c r="D324" i="2" l="1"/>
  <c r="D468" i="2"/>
  <c r="D613" i="2" s="1"/>
  <c r="D246" i="2"/>
  <c r="D396" i="2"/>
  <c r="D541" i="2" s="1"/>
  <c r="D648" i="2"/>
  <c r="D178" i="2"/>
  <c r="D56" i="2"/>
  <c r="D93" i="2" s="1"/>
  <c r="D130" i="2"/>
  <c r="D432" i="2"/>
  <c r="D577" i="2" s="1"/>
  <c r="D285" i="2"/>
  <c r="D80" i="2"/>
  <c r="D117" i="2" s="1"/>
  <c r="D142" i="2"/>
  <c r="D359" i="2"/>
  <c r="D504" i="2" s="1"/>
  <c r="D206" i="2"/>
  <c r="D9" i="2"/>
  <c r="D10" i="2" s="1"/>
  <c r="D34" i="2" s="1"/>
  <c r="D71" i="2" s="1"/>
  <c r="D108" i="2" s="1"/>
  <c r="D20" i="2"/>
  <c r="D44" i="2"/>
  <c r="D433" i="2" l="1"/>
  <c r="D578" i="2" s="1"/>
  <c r="D286" i="2"/>
  <c r="D81" i="2"/>
  <c r="D118" i="2" s="1"/>
  <c r="D143" i="2"/>
  <c r="D325" i="2"/>
  <c r="D469" i="2"/>
  <c r="D614" i="2" s="1"/>
  <c r="D57" i="2"/>
  <c r="D94" i="2" s="1"/>
  <c r="D131" i="2"/>
  <c r="D360" i="2"/>
  <c r="D505" i="2" s="1"/>
  <c r="D207" i="2"/>
  <c r="D649" i="2"/>
  <c r="D179" i="2"/>
  <c r="D397" i="2"/>
  <c r="D542" i="2" s="1"/>
  <c r="D247" i="2"/>
  <c r="D45" i="2"/>
  <c r="D22" i="2"/>
  <c r="D11" i="2"/>
  <c r="D35" i="2" s="1"/>
  <c r="D72" i="2" s="1"/>
  <c r="D109" i="2" s="1"/>
  <c r="D21" i="2"/>
  <c r="D33" i="2"/>
  <c r="D70" i="2" s="1"/>
  <c r="D107" i="2" s="1"/>
  <c r="D46" i="2"/>
  <c r="D208" i="2" l="1"/>
  <c r="D361" i="2"/>
  <c r="D506" i="2" s="1"/>
  <c r="D434" i="2"/>
  <c r="D579" i="2" s="1"/>
  <c r="D287" i="2"/>
  <c r="D59" i="2"/>
  <c r="D96" i="2" s="1"/>
  <c r="D133" i="2"/>
  <c r="D82" i="2"/>
  <c r="D119" i="2" s="1"/>
  <c r="D144" i="2"/>
  <c r="D248" i="2"/>
  <c r="D398" i="2"/>
  <c r="D543" i="2" s="1"/>
  <c r="D470" i="2"/>
  <c r="D615" i="2" s="1"/>
  <c r="D326" i="2"/>
  <c r="D83" i="2"/>
  <c r="D120" i="2" s="1"/>
  <c r="D145" i="2"/>
  <c r="D650" i="2"/>
  <c r="D180" i="2"/>
  <c r="D58" i="2"/>
  <c r="D95" i="2" s="1"/>
  <c r="D132" i="2"/>
  <c r="D47" i="2"/>
  <c r="D12" i="2"/>
  <c r="D36" i="2" s="1"/>
  <c r="D73" i="2" s="1"/>
  <c r="D110" i="2" s="1"/>
  <c r="D23" i="2"/>
  <c r="D249" i="2" l="1"/>
  <c r="D399" i="2"/>
  <c r="D544" i="2" s="1"/>
  <c r="D209" i="2"/>
  <c r="D362" i="2"/>
  <c r="D507" i="2" s="1"/>
  <c r="D651" i="2"/>
  <c r="D181" i="2"/>
  <c r="D60" i="2"/>
  <c r="D97" i="2" s="1"/>
  <c r="D134" i="2"/>
  <c r="D327" i="2"/>
  <c r="D471" i="2"/>
  <c r="D616" i="2" s="1"/>
  <c r="D288" i="2"/>
  <c r="D435" i="2"/>
  <c r="D580" i="2" s="1"/>
  <c r="D84" i="2"/>
  <c r="D121" i="2" s="1"/>
  <c r="D146" i="2"/>
  <c r="D13" i="2"/>
  <c r="D49" i="2" s="1"/>
  <c r="D24" i="2"/>
  <c r="D48" i="2"/>
  <c r="E139" i="2"/>
  <c r="E264" i="2"/>
  <c r="E273" i="2"/>
  <c r="E286" i="2"/>
  <c r="E49" i="2"/>
  <c r="E616" i="2"/>
  <c r="E61" i="2"/>
  <c r="E33" i="2"/>
  <c r="E74" i="2"/>
  <c r="E481" i="2"/>
  <c r="E7" i="2"/>
  <c r="E330" i="2"/>
  <c r="E445" i="2"/>
  <c r="E194" i="2"/>
  <c r="E186" i="2"/>
  <c r="E69" i="2"/>
  <c r="E585" i="2"/>
  <c r="E607" i="2"/>
  <c r="E510" i="2"/>
  <c r="E297" i="2"/>
  <c r="E594" i="2"/>
  <c r="E334" i="2"/>
  <c r="E185" i="2"/>
  <c r="E650" i="2"/>
  <c r="E567" i="2"/>
  <c r="E277" i="2"/>
  <c r="E208" i="2"/>
  <c r="E576" i="2"/>
  <c r="E598" i="2"/>
  <c r="E228" i="2"/>
  <c r="E559" i="2"/>
  <c r="E109" i="2"/>
  <c r="E578" i="2"/>
  <c r="E124" i="2"/>
  <c r="E407" i="2"/>
  <c r="E531" i="2"/>
  <c r="E568" i="2"/>
  <c r="E293" i="2"/>
  <c r="E640" i="2"/>
  <c r="E337" i="2"/>
  <c r="E572" i="2"/>
  <c r="E611" i="2"/>
  <c r="E136" i="2"/>
  <c r="E521" i="2"/>
  <c r="E439" i="2"/>
  <c r="E617" i="2"/>
  <c r="E303" i="2"/>
  <c r="E189" i="2"/>
  <c r="E638" i="2"/>
  <c r="E177" i="2"/>
  <c r="E152" i="2"/>
  <c r="E249" i="2"/>
  <c r="E659" i="2"/>
  <c r="E116" i="2"/>
  <c r="E372" i="2"/>
  <c r="E259" i="2"/>
  <c r="E457" i="2"/>
  <c r="E218" i="2"/>
  <c r="E472" i="2"/>
  <c r="E349" i="2"/>
  <c r="E247" i="2"/>
  <c r="E267" i="2"/>
  <c r="E96" i="2"/>
  <c r="E389" i="2"/>
  <c r="E60" i="2"/>
  <c r="E553" i="2"/>
  <c r="E10" i="2"/>
  <c r="E272" i="2"/>
  <c r="E216" i="2"/>
  <c r="E571" i="2"/>
  <c r="E575" i="2"/>
  <c r="E495" i="2"/>
  <c r="E102" i="2"/>
  <c r="E327" i="2"/>
  <c r="E291" i="2"/>
  <c r="E535" i="2"/>
  <c r="E467" i="2"/>
  <c r="E514" i="2"/>
  <c r="E395" i="2"/>
  <c r="E447" i="2"/>
  <c r="E595" i="2"/>
  <c r="E504" i="2"/>
  <c r="E205" i="2"/>
  <c r="E426" i="2"/>
  <c r="E321" i="2"/>
  <c r="E241" i="2"/>
  <c r="E319" i="2"/>
  <c r="E511" i="2"/>
  <c r="E454" i="2"/>
  <c r="E322" i="2"/>
  <c r="E335" i="2"/>
  <c r="E206" i="2"/>
  <c r="E434" i="2"/>
  <c r="E213" i="2"/>
  <c r="E223" i="2"/>
  <c r="E176" i="2"/>
  <c r="E463" i="2"/>
  <c r="E339" i="2"/>
  <c r="E106" i="2"/>
  <c r="E36" i="2"/>
  <c r="E554" i="2"/>
  <c r="E665" i="2"/>
  <c r="E153" i="2"/>
  <c r="E166" i="2"/>
  <c r="E517" i="2"/>
  <c r="E59" i="2"/>
  <c r="E648" i="2"/>
  <c r="E460" i="2"/>
  <c r="E606" i="2"/>
  <c r="E184" i="2"/>
  <c r="E425" i="2"/>
  <c r="E613" i="2"/>
  <c r="E99" i="2"/>
  <c r="E174" i="2"/>
  <c r="E573" i="2"/>
  <c r="E551" i="2"/>
  <c r="E356" i="2"/>
  <c r="E545" i="2"/>
  <c r="E42" i="2"/>
  <c r="E169" i="2"/>
  <c r="E54" i="2"/>
  <c r="E427" i="2"/>
  <c r="E548" i="2"/>
  <c r="E469" i="2"/>
  <c r="E398" i="2"/>
  <c r="E292" i="2"/>
  <c r="E25" i="2"/>
  <c r="E386" i="2"/>
  <c r="E402" i="2"/>
  <c r="E287" i="2"/>
  <c r="E114" i="2"/>
  <c r="E143" i="2"/>
  <c r="E142" i="2"/>
  <c r="E242" i="2"/>
  <c r="E494" i="2"/>
  <c r="E280" i="2"/>
  <c r="E253" i="2"/>
  <c r="E527" i="2"/>
  <c r="E431" i="2"/>
  <c r="E417" i="2"/>
  <c r="E433" i="2"/>
  <c r="E276" i="2"/>
  <c r="E601" i="2"/>
  <c r="E350" i="2"/>
  <c r="E21" i="2"/>
  <c r="E196" i="2"/>
  <c r="E8" i="2"/>
  <c r="E636" i="2"/>
  <c r="E634" i="2"/>
  <c r="E30" i="2"/>
  <c r="E626" i="2"/>
  <c r="E199" i="2"/>
  <c r="E323" i="2"/>
  <c r="E394" i="2"/>
  <c r="E470" i="2"/>
  <c r="E9" i="2"/>
  <c r="E609" i="2"/>
  <c r="E6" i="2"/>
  <c r="E414" i="2"/>
  <c r="E380" i="2"/>
  <c r="E420" i="2"/>
  <c r="E364" i="2"/>
  <c r="E561" i="2"/>
  <c r="E532" i="2"/>
  <c r="E615" i="2"/>
  <c r="E158" i="2"/>
  <c r="E497" i="2"/>
  <c r="E20" i="2"/>
  <c r="E262" i="2"/>
  <c r="E195" i="2"/>
  <c r="E103" i="2"/>
  <c r="E295" i="2"/>
  <c r="E126" i="2"/>
  <c r="E602" i="2"/>
  <c r="E144" i="2"/>
  <c r="E133" i="2"/>
  <c r="E52" i="2"/>
  <c r="E361" i="2"/>
  <c r="E5" i="2"/>
  <c r="E167" i="2"/>
  <c r="E358" i="2"/>
  <c r="E320" i="2"/>
  <c r="E180" i="2"/>
  <c r="E749" i="2"/>
  <c r="E637" i="2"/>
  <c r="E393" i="2"/>
  <c r="E83" i="2"/>
  <c r="E487" i="2"/>
  <c r="E13" i="2"/>
  <c r="E284" i="2"/>
  <c r="E502" i="2"/>
  <c r="E118" i="2"/>
  <c r="E367" i="2"/>
  <c r="E76" i="2"/>
  <c r="E643" i="2"/>
  <c r="E53" i="2"/>
  <c r="E489" i="2"/>
  <c r="E343" i="2"/>
  <c r="E115" i="2"/>
  <c r="E375" i="2"/>
  <c r="E290" i="2"/>
  <c r="E644" i="2"/>
  <c r="E257" i="2"/>
  <c r="E260" i="2"/>
  <c r="E236" i="2"/>
  <c r="E235" i="2"/>
  <c r="E55" i="2"/>
  <c r="E540" i="2"/>
  <c r="E232" i="2"/>
  <c r="E387" i="2"/>
  <c r="E285" i="2"/>
  <c r="E592" i="2"/>
  <c r="E530" i="2"/>
  <c r="E505" i="2"/>
  <c r="E98" i="2"/>
  <c r="E22" i="2"/>
  <c r="E619" i="2"/>
  <c r="E92" i="2"/>
  <c r="E231" i="2"/>
  <c r="E633" i="2"/>
  <c r="E203" i="2"/>
  <c r="E198" i="2"/>
  <c r="E538" i="2"/>
  <c r="E147" i="2"/>
  <c r="E313" i="2"/>
  <c r="E405" i="2"/>
  <c r="E89" i="2"/>
  <c r="E332" i="2"/>
  <c r="E750" i="2"/>
  <c r="E261" i="2"/>
  <c r="E311" i="2"/>
  <c r="E214" i="2"/>
  <c r="E370" i="2"/>
  <c r="E178" i="2"/>
  <c r="E751" i="2"/>
  <c r="E745" i="2"/>
  <c r="E512" i="2"/>
  <c r="E77" i="2"/>
  <c r="E338" i="2"/>
  <c r="E558" i="2"/>
  <c r="E202" i="2"/>
  <c r="E14" i="2"/>
  <c r="E294" i="2"/>
  <c r="E70" i="2"/>
  <c r="E583" i="2"/>
  <c r="E620" i="2"/>
  <c r="E440" i="2"/>
  <c r="E224" i="2"/>
  <c r="E354" i="2"/>
  <c r="E340" i="2"/>
  <c r="E459" i="2"/>
  <c r="E462" i="2"/>
  <c r="E491" i="2"/>
  <c r="E539" i="2"/>
  <c r="E591" i="2"/>
  <c r="E58" i="2"/>
  <c r="E161" i="2"/>
  <c r="E397" i="2"/>
  <c r="E331" i="2"/>
  <c r="E365" i="2"/>
  <c r="E546" i="2"/>
  <c r="E630" i="2"/>
  <c r="E506" i="2"/>
  <c r="E173" i="2"/>
  <c r="E175" i="2"/>
  <c r="E73" i="2"/>
  <c r="E148" i="2"/>
  <c r="E492" i="2"/>
  <c r="E579" i="2"/>
  <c r="E140" i="2"/>
  <c r="E645" i="2"/>
  <c r="E528" i="2"/>
  <c r="E281" i="2"/>
  <c r="E373" i="2"/>
  <c r="E101" i="2"/>
  <c r="E48" i="2"/>
  <c r="E17" i="2"/>
  <c r="E418" i="2"/>
  <c r="E399" i="2"/>
  <c r="E138" i="2"/>
  <c r="E369" i="2"/>
  <c r="E97" i="2"/>
  <c r="E269" i="2"/>
  <c r="E3" i="2"/>
  <c r="E71" i="2"/>
  <c r="E94" i="2"/>
  <c r="E526" i="2"/>
  <c r="E529" i="2"/>
  <c r="E159" i="2"/>
  <c r="E68" i="2"/>
  <c r="E484" i="2"/>
  <c r="E155" i="2"/>
  <c r="E215" i="2"/>
  <c r="E346" i="2"/>
  <c r="E612" i="2"/>
  <c r="E351" i="2"/>
  <c r="E376" i="2"/>
  <c r="E127" i="2"/>
  <c r="E599" i="2"/>
  <c r="E246" i="2"/>
  <c r="E605" i="2"/>
  <c r="E596" i="2"/>
  <c r="E537" i="2"/>
  <c r="E79" i="2"/>
  <c r="E534" i="2"/>
  <c r="E451" i="2"/>
  <c r="E406" i="2"/>
  <c r="E652" i="2"/>
  <c r="E310" i="2"/>
  <c r="E181" i="2"/>
  <c r="E51" i="2"/>
  <c r="E353" i="2"/>
  <c r="E88" i="2"/>
  <c r="E309" i="2"/>
  <c r="E542" i="2"/>
  <c r="E211" i="2"/>
  <c r="E574" i="2"/>
  <c r="E746" i="2"/>
  <c r="E62" i="2"/>
  <c r="E318" i="2"/>
  <c r="E47" i="2"/>
  <c r="E221" i="2"/>
  <c r="E525" i="2"/>
  <c r="E651" i="2"/>
  <c r="E446" i="2"/>
  <c r="E168" i="2"/>
  <c r="E627" i="2"/>
  <c r="E379" i="2"/>
  <c r="E442" i="2"/>
  <c r="E119" i="2"/>
  <c r="E212" i="2"/>
  <c r="E415" i="2"/>
  <c r="E315" i="2"/>
  <c r="E363" i="2"/>
  <c r="E501" i="2"/>
  <c r="E15" i="2"/>
  <c r="E333" i="2"/>
  <c r="E564" i="2"/>
  <c r="E430" i="2"/>
  <c r="E336" i="2"/>
  <c r="E507" i="2"/>
  <c r="E461" i="2"/>
  <c r="E452" i="2"/>
  <c r="E248" i="2"/>
  <c r="E28" i="2"/>
  <c r="E329" i="2"/>
  <c r="E669" i="2"/>
  <c r="E34" i="2"/>
  <c r="E150" i="2"/>
  <c r="E483" i="2"/>
  <c r="E325" i="2"/>
  <c r="E656" i="2"/>
  <c r="E165" i="2"/>
  <c r="E371" i="2"/>
  <c r="E657" i="2"/>
  <c r="E421" i="2"/>
  <c r="E251" i="2"/>
  <c r="E29" i="2"/>
  <c r="E226" i="2"/>
  <c r="E478" i="2"/>
  <c r="E360" i="2"/>
  <c r="E193" i="2"/>
  <c r="E348" i="2"/>
  <c r="E27" i="2"/>
  <c r="E409" i="2"/>
  <c r="E43" i="2"/>
  <c r="E464" i="2"/>
  <c r="E560" i="2"/>
  <c r="E422" i="2"/>
  <c r="E557" i="2"/>
  <c r="E450" i="2"/>
  <c r="E154" i="2"/>
  <c r="E314" i="2"/>
  <c r="E233" i="2"/>
  <c r="E377" i="2"/>
  <c r="E344" i="2"/>
  <c r="E256" i="2"/>
  <c r="E219" i="2"/>
  <c r="E134" i="2"/>
  <c r="E197" i="2"/>
  <c r="E225" i="2"/>
  <c r="E518" i="2"/>
  <c r="E359" i="2"/>
  <c r="E424" i="2"/>
  <c r="E582" i="2"/>
  <c r="E187" i="2"/>
  <c r="E655" i="2"/>
  <c r="E317" i="2"/>
  <c r="E191" i="2"/>
  <c r="E23" i="2"/>
  <c r="E209" i="2"/>
  <c r="E629" i="2"/>
  <c r="E183" i="2"/>
  <c r="E658" i="2"/>
  <c r="E299" i="2"/>
  <c r="E4" i="2"/>
  <c r="E157" i="2"/>
  <c r="E368" i="2"/>
  <c r="E362" i="2"/>
  <c r="E392" i="2"/>
  <c r="E234" i="2"/>
  <c r="E307" i="2"/>
  <c r="E524" i="2"/>
  <c r="E549" i="2"/>
  <c r="E44" i="2"/>
  <c r="E482" i="2"/>
  <c r="E40" i="2"/>
  <c r="E111" i="2"/>
  <c r="E419" i="2"/>
  <c r="E490" i="2"/>
  <c r="E137" i="2"/>
  <c r="E570" i="2"/>
  <c r="E748" i="2"/>
  <c r="E357" i="2"/>
  <c r="E581" i="2"/>
  <c r="E87" i="2"/>
  <c r="E263" i="2"/>
  <c r="E239" i="2"/>
  <c r="E410" i="2"/>
  <c r="E632" i="2"/>
  <c r="E544" i="2"/>
  <c r="E646" i="2"/>
  <c r="E75" i="2"/>
  <c r="E485" i="2"/>
  <c r="E647" i="2"/>
  <c r="E556" i="2"/>
  <c r="E84" i="2"/>
  <c r="E631" i="2"/>
  <c r="E271" i="2"/>
  <c r="E326" i="2"/>
  <c r="E384" i="2"/>
  <c r="E304" i="2"/>
  <c r="E255" i="2"/>
  <c r="E468" i="2"/>
  <c r="E57" i="2"/>
  <c r="E105" i="2"/>
  <c r="E625" i="2"/>
  <c r="E56" i="2"/>
  <c r="E306" i="2"/>
  <c r="E498" i="2"/>
  <c r="E449" i="2"/>
  <c r="E660" i="2"/>
  <c r="E45" i="2"/>
  <c r="E476" i="2"/>
  <c r="E642" i="2"/>
  <c r="E200" i="2"/>
  <c r="E586" i="2"/>
  <c r="E584" i="2"/>
  <c r="E614" i="2"/>
  <c r="E268" i="2"/>
  <c r="E522" i="2"/>
  <c r="E229" i="2"/>
  <c r="E435" i="2"/>
  <c r="E480" i="2"/>
  <c r="E444" i="2"/>
  <c r="E565" i="2"/>
  <c r="E288" i="2"/>
  <c r="E543" i="2"/>
  <c r="E477" i="2"/>
  <c r="E345" i="2"/>
  <c r="E639" i="2"/>
  <c r="E132" i="2"/>
  <c r="E72" i="2"/>
  <c r="E661" i="2"/>
  <c r="E437" i="2"/>
  <c r="E243" i="2"/>
  <c r="E488" i="2"/>
  <c r="E404" i="2"/>
  <c r="E179" i="2"/>
  <c r="E244" i="2"/>
  <c r="E39" i="2"/>
  <c r="E16" i="2"/>
  <c r="E305" i="2"/>
  <c r="E403" i="2"/>
  <c r="E400" i="2"/>
  <c r="E81" i="2"/>
  <c r="E391" i="2"/>
  <c r="E19" i="2"/>
  <c r="E12" i="2"/>
  <c r="E366" i="2"/>
  <c r="E227" i="2"/>
  <c r="E85" i="2"/>
  <c r="E163" i="2"/>
  <c r="E455" i="2"/>
  <c r="E278" i="2"/>
  <c r="E129" i="2"/>
  <c r="E121" i="2"/>
  <c r="E82" i="2"/>
  <c r="E666" i="2"/>
  <c r="E667" i="2"/>
  <c r="E156" i="2"/>
  <c r="E509" i="2"/>
  <c r="E668" i="2"/>
  <c r="E536" i="2"/>
  <c r="E600" i="2"/>
  <c r="E46" i="2"/>
  <c r="E11" i="2"/>
  <c r="E465" i="2"/>
  <c r="E588" i="2"/>
  <c r="E308" i="2"/>
  <c r="E382" i="2"/>
  <c r="E141" i="2"/>
  <c r="E352" i="2"/>
  <c r="E562" i="2"/>
  <c r="E316" i="2"/>
  <c r="E597" i="2"/>
  <c r="E108" i="2"/>
  <c r="E324" i="2"/>
  <c r="E347" i="2"/>
  <c r="E146" i="2"/>
  <c r="E90" i="2"/>
  <c r="E240" i="2"/>
  <c r="E541" i="2"/>
  <c r="E608" i="2"/>
  <c r="E475" i="2"/>
  <c r="E32" i="2"/>
  <c r="E18" i="2"/>
  <c r="E500" i="2"/>
  <c r="E204" i="2"/>
  <c r="E408" i="2"/>
  <c r="E342" i="2"/>
  <c r="E499" i="2"/>
  <c r="E300" i="2"/>
  <c r="E416" i="2"/>
  <c r="E222" i="2"/>
  <c r="E390" i="2"/>
  <c r="E641" i="2"/>
  <c r="E188" i="2"/>
  <c r="E26" i="2"/>
  <c r="E162" i="2"/>
  <c r="E170" i="2"/>
  <c r="E130" i="2"/>
  <c r="E131" i="2"/>
  <c r="E125" i="2"/>
  <c r="E388" i="2"/>
  <c r="E250" i="2"/>
  <c r="E275" i="2"/>
  <c r="E78" i="2"/>
  <c r="E516" i="2"/>
  <c r="E24" i="2"/>
  <c r="E411" i="2"/>
  <c r="E64" i="2"/>
  <c r="E63" i="2"/>
  <c r="E289" i="2"/>
  <c r="E252" i="2"/>
  <c r="E35" i="2"/>
  <c r="E254" i="2"/>
  <c r="E610" i="2"/>
  <c r="E513" i="2"/>
  <c r="E164" i="2"/>
  <c r="E653" i="2"/>
  <c r="E123" i="2"/>
  <c r="E171" i="2"/>
  <c r="E438" i="2"/>
  <c r="E624" i="2"/>
  <c r="E590" i="2"/>
  <c r="E547" i="2"/>
  <c r="E145" i="2"/>
  <c r="E245" i="2"/>
  <c r="E662" i="2"/>
  <c r="E266" i="2"/>
  <c r="E628" i="2"/>
  <c r="E508" i="2"/>
  <c r="E381" i="2"/>
  <c r="E41" i="2"/>
  <c r="E113" i="2"/>
  <c r="E192" i="2"/>
  <c r="E217" i="2"/>
  <c r="E50" i="2"/>
  <c r="E67" i="2"/>
  <c r="E258" i="2"/>
  <c r="E282" i="2"/>
  <c r="E654" i="2"/>
  <c r="E274" i="2"/>
  <c r="E473" i="2"/>
  <c r="E120" i="2"/>
  <c r="E550" i="2"/>
  <c r="E555" i="2"/>
  <c r="E237" i="2"/>
  <c r="E104" i="2"/>
  <c r="E453" i="2"/>
  <c r="E621" i="2"/>
  <c r="E566" i="2"/>
  <c r="E341" i="2"/>
  <c r="E378" i="2"/>
  <c r="E519" i="2"/>
  <c r="E396" i="2"/>
  <c r="E496" i="2"/>
  <c r="E589" i="2"/>
  <c r="E471" i="2"/>
  <c r="E38" i="2"/>
  <c r="E117" i="2"/>
  <c r="E479" i="2"/>
  <c r="E298" i="2"/>
  <c r="E66" i="2"/>
  <c r="E65" i="2"/>
  <c r="E374" i="2"/>
  <c r="E618" i="2"/>
  <c r="E107" i="2"/>
  <c r="E458" i="2"/>
  <c r="E238" i="2"/>
  <c r="E149" i="2"/>
  <c r="E663" i="2"/>
  <c r="E412" i="2"/>
  <c r="E580" i="2"/>
  <c r="E649" i="2"/>
  <c r="E474" i="2"/>
  <c r="E493" i="2"/>
  <c r="E515" i="2"/>
  <c r="E486" i="2"/>
  <c r="E172" i="2"/>
  <c r="E86" i="2"/>
  <c r="E401" i="2"/>
  <c r="E210" i="2"/>
  <c r="E383" i="2"/>
  <c r="E190" i="2"/>
  <c r="E182" i="2"/>
  <c r="E448" i="2"/>
  <c r="E523" i="2"/>
  <c r="E623" i="2"/>
  <c r="E31" i="2"/>
  <c r="E503" i="2"/>
  <c r="E385" i="2"/>
  <c r="E230" i="2"/>
  <c r="E95" i="2"/>
  <c r="E664" i="2"/>
  <c r="E265" i="2"/>
  <c r="E301" i="2"/>
  <c r="E563" i="2"/>
  <c r="E432" i="2"/>
  <c r="E587" i="2"/>
  <c r="E456" i="2"/>
  <c r="E635" i="2"/>
  <c r="E429" i="2"/>
  <c r="E603" i="2"/>
  <c r="E220" i="2"/>
  <c r="E413" i="2"/>
  <c r="E112" i="2"/>
  <c r="E201" i="2"/>
  <c r="E110" i="2"/>
  <c r="E622" i="2"/>
  <c r="E100" i="2"/>
  <c r="E328" i="2"/>
  <c r="E577" i="2"/>
  <c r="E91" i="2"/>
  <c r="E312" i="2"/>
  <c r="E747" i="2"/>
  <c r="E520" i="2"/>
  <c r="E569" i="2"/>
  <c r="E423" i="2"/>
  <c r="E207" i="2"/>
  <c r="E604" i="2"/>
  <c r="E552" i="2"/>
  <c r="E80" i="2"/>
  <c r="E443" i="2"/>
  <c r="E296" i="2"/>
  <c r="E135" i="2"/>
  <c r="E533" i="2"/>
  <c r="E283" i="2"/>
  <c r="E436" i="2"/>
  <c r="E593" i="2"/>
  <c r="E279" i="2"/>
  <c r="E302" i="2"/>
  <c r="E93" i="2"/>
  <c r="E122" i="2"/>
  <c r="E466" i="2"/>
  <c r="E441" i="2"/>
  <c r="E37" i="2"/>
  <c r="E270" i="2"/>
  <c r="D61" i="2" l="1"/>
  <c r="D98" i="2" s="1"/>
  <c r="D135" i="2"/>
  <c r="D86" i="2"/>
  <c r="D123" i="2" s="1"/>
  <c r="D148" i="2"/>
  <c r="D652" i="2"/>
  <c r="D182" i="2"/>
  <c r="D289" i="2"/>
  <c r="D436" i="2"/>
  <c r="D581" i="2" s="1"/>
  <c r="D210" i="2"/>
  <c r="D363" i="2"/>
  <c r="D508" i="2" s="1"/>
  <c r="D85" i="2"/>
  <c r="D122" i="2" s="1"/>
  <c r="E7" i="3" s="1"/>
  <c r="D147" i="2"/>
  <c r="D472" i="2"/>
  <c r="D617" i="2" s="1"/>
  <c r="D328" i="2"/>
  <c r="D400" i="2"/>
  <c r="D545" i="2" s="1"/>
  <c r="D250" i="2"/>
  <c r="D37" i="2"/>
  <c r="D74" i="2" s="1"/>
  <c r="D111" i="2" s="1"/>
  <c r="D25" i="2"/>
  <c r="E6" i="3" l="1"/>
  <c r="D401" i="2"/>
  <c r="D546" i="2" s="1"/>
  <c r="D251" i="2"/>
  <c r="D290" i="2"/>
  <c r="D437" i="2"/>
  <c r="D582" i="2" s="1"/>
  <c r="D329" i="2"/>
  <c r="D473" i="2"/>
  <c r="D618" i="2" s="1"/>
  <c r="D183" i="2"/>
  <c r="D653" i="2"/>
  <c r="D62" i="2"/>
  <c r="D99" i="2" s="1"/>
  <c r="D136" i="2"/>
  <c r="E10" i="3" s="1"/>
  <c r="D211" i="2"/>
  <c r="D364" i="2"/>
  <c r="D509" i="2" s="1"/>
  <c r="E5" i="3"/>
  <c r="E4" i="3"/>
  <c r="E11" i="3"/>
  <c r="G42" i="3" s="1"/>
  <c r="D330" i="2" l="1"/>
  <c r="D474" i="2"/>
  <c r="D619" i="2" s="1"/>
  <c r="D212" i="2"/>
  <c r="D365" i="2"/>
  <c r="D510" i="2" s="1"/>
  <c r="D291" i="2"/>
  <c r="D438" i="2"/>
  <c r="D583" i="2" s="1"/>
  <c r="D184" i="2"/>
  <c r="D654" i="2"/>
  <c r="D402" i="2"/>
  <c r="D547" i="2" s="1"/>
  <c r="D252" i="2"/>
  <c r="E56" i="3"/>
  <c r="E42" i="3"/>
  <c r="E44" i="3" s="1"/>
  <c r="G36" i="3"/>
  <c r="D185" i="2" l="1"/>
  <c r="D655" i="2"/>
  <c r="D439" i="2"/>
  <c r="D584" i="2" s="1"/>
  <c r="D292" i="2"/>
  <c r="D695" i="2"/>
  <c r="D213" i="2"/>
  <c r="D366" i="2"/>
  <c r="D511" i="2" s="1"/>
  <c r="D403" i="2"/>
  <c r="D548" i="2" s="1"/>
  <c r="D253" i="2"/>
  <c r="D670" i="2"/>
  <c r="D720" i="2"/>
  <c r="D331" i="2"/>
  <c r="D475" i="2"/>
  <c r="D620" i="2" s="1"/>
  <c r="D214" i="2" l="1"/>
  <c r="D367" i="2"/>
  <c r="D440" i="2"/>
  <c r="D585" i="2" s="1"/>
  <c r="D696" i="2"/>
  <c r="D293" i="2"/>
  <c r="D721" i="2"/>
  <c r="D332" i="2"/>
  <c r="D476" i="2"/>
  <c r="D621" i="2" s="1"/>
  <c r="D671" i="2"/>
  <c r="D254" i="2"/>
  <c r="D404" i="2"/>
  <c r="D549" i="2" s="1"/>
  <c r="D656" i="2"/>
  <c r="D186" i="2"/>
  <c r="D333" i="2" l="1"/>
  <c r="D477" i="2"/>
  <c r="D622" i="2" s="1"/>
  <c r="D722" i="2"/>
  <c r="D657" i="2"/>
  <c r="D187" i="2"/>
  <c r="D697" i="2"/>
  <c r="D441" i="2"/>
  <c r="D586" i="2" s="1"/>
  <c r="D294" i="2"/>
  <c r="D405" i="2"/>
  <c r="D550" i="2" s="1"/>
  <c r="D255" i="2"/>
  <c r="D672" i="2"/>
  <c r="D512" i="2"/>
  <c r="D368" i="2"/>
  <c r="D513" i="2" s="1"/>
  <c r="D215" i="2"/>
  <c r="D442" i="2" l="1"/>
  <c r="D587" i="2" s="1"/>
  <c r="D295" i="2"/>
  <c r="D698" i="2"/>
  <c r="D188" i="2"/>
  <c r="D658" i="2"/>
  <c r="D216" i="2"/>
  <c r="D369" i="2"/>
  <c r="D514" i="2" s="1"/>
  <c r="D256" i="2"/>
  <c r="D673" i="2"/>
  <c r="D406" i="2"/>
  <c r="D551" i="2" s="1"/>
  <c r="D723" i="2"/>
  <c r="D334" i="2"/>
  <c r="D478" i="2"/>
  <c r="D623" i="2" s="1"/>
  <c r="D217" i="2" l="1"/>
  <c r="D370" i="2"/>
  <c r="D515" i="2" s="1"/>
  <c r="D724" i="2"/>
  <c r="D335" i="2"/>
  <c r="D479" i="2"/>
  <c r="D624" i="2" s="1"/>
  <c r="D659" i="2"/>
  <c r="D189" i="2"/>
  <c r="D257" i="2"/>
  <c r="D407" i="2"/>
  <c r="D552" i="2" s="1"/>
  <c r="D674" i="2"/>
  <c r="D296" i="2"/>
  <c r="D443" i="2"/>
  <c r="D588" i="2" s="1"/>
  <c r="D699" i="2"/>
  <c r="D297" i="2" l="1"/>
  <c r="D444" i="2"/>
  <c r="D589" i="2" s="1"/>
  <c r="D700" i="2"/>
  <c r="D408" i="2"/>
  <c r="D553" i="2" s="1"/>
  <c r="D258" i="2"/>
  <c r="D675" i="2"/>
  <c r="D371" i="2"/>
  <c r="D516" i="2" s="1"/>
  <c r="D218" i="2"/>
  <c r="D336" i="2"/>
  <c r="D480" i="2"/>
  <c r="D625" i="2" s="1"/>
  <c r="D725" i="2"/>
  <c r="D660" i="2"/>
  <c r="D190" i="2"/>
  <c r="D661" i="2" l="1"/>
  <c r="D191" i="2"/>
  <c r="D409" i="2"/>
  <c r="D554" i="2" s="1"/>
  <c r="D259" i="2"/>
  <c r="D676" i="2"/>
  <c r="D481" i="2"/>
  <c r="D626" i="2" s="1"/>
  <c r="D726" i="2"/>
  <c r="D337" i="2"/>
  <c r="D298" i="2"/>
  <c r="D445" i="2"/>
  <c r="D590" i="2" s="1"/>
  <c r="D701" i="2"/>
  <c r="D219" i="2"/>
  <c r="D372" i="2"/>
  <c r="D338" i="2" l="1"/>
  <c r="D482" i="2"/>
  <c r="D627" i="2" s="1"/>
  <c r="D727" i="2"/>
  <c r="D517" i="2"/>
  <c r="D220" i="2"/>
  <c r="D373" i="2"/>
  <c r="D518" i="2" s="1"/>
  <c r="D410" i="2"/>
  <c r="D555" i="2" s="1"/>
  <c r="D260" i="2"/>
  <c r="D677" i="2"/>
  <c r="D192" i="2"/>
  <c r="D662" i="2"/>
  <c r="D299" i="2"/>
  <c r="D446" i="2"/>
  <c r="D591" i="2" s="1"/>
  <c r="D702" i="2"/>
  <c r="D703" i="2" l="1"/>
  <c r="D300" i="2"/>
  <c r="D447" i="2"/>
  <c r="D592" i="2" s="1"/>
  <c r="D221" i="2"/>
  <c r="D374" i="2"/>
  <c r="D519" i="2" s="1"/>
  <c r="D193" i="2"/>
  <c r="D663" i="2"/>
  <c r="D411" i="2"/>
  <c r="D556" i="2" s="1"/>
  <c r="D261" i="2"/>
  <c r="D678" i="2"/>
  <c r="D728" i="2"/>
  <c r="D339" i="2"/>
  <c r="D483" i="2"/>
  <c r="D628" i="2" s="1"/>
  <c r="D375" i="2" l="1"/>
  <c r="D520" i="2" s="1"/>
  <c r="D222" i="2"/>
  <c r="D664" i="2"/>
  <c r="D194" i="2"/>
  <c r="D729" i="2"/>
  <c r="D340" i="2"/>
  <c r="D484" i="2"/>
  <c r="D629" i="2" s="1"/>
  <c r="D448" i="2"/>
  <c r="D593" i="2" s="1"/>
  <c r="D704" i="2"/>
  <c r="D301" i="2"/>
  <c r="D412" i="2"/>
  <c r="D557" i="2" s="1"/>
  <c r="D262" i="2"/>
  <c r="D679" i="2"/>
  <c r="D341" i="2" l="1"/>
  <c r="D485" i="2"/>
  <c r="D630" i="2" s="1"/>
  <c r="D730" i="2"/>
  <c r="D680" i="2"/>
  <c r="D413" i="2"/>
  <c r="D558" i="2" s="1"/>
  <c r="D263" i="2"/>
  <c r="D665" i="2"/>
  <c r="D195" i="2"/>
  <c r="D449" i="2"/>
  <c r="D594" i="2" s="1"/>
  <c r="D705" i="2"/>
  <c r="D302" i="2"/>
  <c r="D376" i="2"/>
  <c r="D521" i="2" s="1"/>
  <c r="D223" i="2"/>
  <c r="D196" i="2" l="1"/>
  <c r="D666" i="2"/>
  <c r="D264" i="2"/>
  <c r="D681" i="2"/>
  <c r="D414" i="2"/>
  <c r="D559" i="2" s="1"/>
  <c r="D224" i="2"/>
  <c r="D377" i="2"/>
  <c r="D522" i="2" s="1"/>
  <c r="D450" i="2"/>
  <c r="D595" i="2" s="1"/>
  <c r="D303" i="2"/>
  <c r="D706" i="2"/>
  <c r="D731" i="2"/>
  <c r="D342" i="2"/>
  <c r="D486" i="2"/>
  <c r="D631" i="2" s="1"/>
  <c r="D732" i="2" l="1"/>
  <c r="D343" i="2"/>
  <c r="D487" i="2"/>
  <c r="D632" i="2" s="1"/>
  <c r="D225" i="2"/>
  <c r="D378" i="2"/>
  <c r="D523" i="2" s="1"/>
  <c r="D265" i="2"/>
  <c r="D415" i="2"/>
  <c r="D560" i="2" s="1"/>
  <c r="D682" i="2"/>
  <c r="D304" i="2"/>
  <c r="D451" i="2"/>
  <c r="D596" i="2" s="1"/>
  <c r="D707" i="2"/>
  <c r="D667" i="2"/>
  <c r="D197" i="2"/>
  <c r="D668" i="2" l="1"/>
  <c r="D198" i="2"/>
  <c r="D669" i="2" s="1"/>
  <c r="D416" i="2"/>
  <c r="D561" i="2" s="1"/>
  <c r="D266" i="2"/>
  <c r="D683" i="2"/>
  <c r="D226" i="2"/>
  <c r="D379" i="2"/>
  <c r="D524" i="2" s="1"/>
  <c r="D344" i="2"/>
  <c r="D488" i="2"/>
  <c r="D633" i="2" s="1"/>
  <c r="D733" i="2"/>
  <c r="D452" i="2"/>
  <c r="D597" i="2" s="1"/>
  <c r="D708" i="2"/>
  <c r="D305" i="2"/>
  <c r="D417" i="2" l="1"/>
  <c r="D562" i="2" s="1"/>
  <c r="D267" i="2"/>
  <c r="D684" i="2"/>
  <c r="D345" i="2"/>
  <c r="D489" i="2"/>
  <c r="D634" i="2" s="1"/>
  <c r="D734" i="2"/>
  <c r="D306" i="2"/>
  <c r="D453" i="2"/>
  <c r="D598" i="2" s="1"/>
  <c r="D709" i="2"/>
  <c r="D227" i="2"/>
  <c r="D380" i="2"/>
  <c r="D525" i="2" s="1"/>
  <c r="D307" i="2" l="1"/>
  <c r="D710" i="2"/>
  <c r="D454" i="2"/>
  <c r="D599" i="2" s="1"/>
  <c r="D346" i="2"/>
  <c r="D490" i="2"/>
  <c r="D635" i="2" s="1"/>
  <c r="D735" i="2"/>
  <c r="D228" i="2"/>
  <c r="D381" i="2"/>
  <c r="D526" i="2" s="1"/>
  <c r="D418" i="2"/>
  <c r="D563" i="2" s="1"/>
  <c r="D268" i="2"/>
  <c r="D685" i="2"/>
  <c r="D229" i="2" l="1"/>
  <c r="D382" i="2"/>
  <c r="D527" i="2" s="1"/>
  <c r="D491" i="2"/>
  <c r="D636" i="2" s="1"/>
  <c r="D736" i="2"/>
  <c r="D347" i="2"/>
  <c r="D419" i="2"/>
  <c r="D564" i="2" s="1"/>
  <c r="D269" i="2"/>
  <c r="D686" i="2"/>
  <c r="D308" i="2"/>
  <c r="D455" i="2"/>
  <c r="D600" i="2" s="1"/>
  <c r="D711" i="2"/>
  <c r="D420" i="2" l="1"/>
  <c r="D565" i="2" s="1"/>
  <c r="D270" i="2"/>
  <c r="D687" i="2"/>
  <c r="D737" i="2"/>
  <c r="D348" i="2"/>
  <c r="D492" i="2"/>
  <c r="D637" i="2" s="1"/>
  <c r="D456" i="2"/>
  <c r="D601" i="2" s="1"/>
  <c r="D712" i="2"/>
  <c r="D309" i="2"/>
  <c r="D383" i="2"/>
  <c r="D528" i="2" s="1"/>
  <c r="D230" i="2"/>
  <c r="D457" i="2" l="1"/>
  <c r="D602" i="2" s="1"/>
  <c r="D713" i="2"/>
  <c r="D310" i="2"/>
  <c r="D349" i="2"/>
  <c r="D493" i="2"/>
  <c r="D638" i="2" s="1"/>
  <c r="D738" i="2"/>
  <c r="D384" i="2"/>
  <c r="D529" i="2" s="1"/>
  <c r="D231" i="2"/>
  <c r="D421" i="2"/>
  <c r="D566" i="2" s="1"/>
  <c r="D271" i="2"/>
  <c r="D688" i="2"/>
  <c r="D458" i="2" l="1"/>
  <c r="D603" i="2" s="1"/>
  <c r="D311" i="2"/>
  <c r="D714" i="2"/>
  <c r="D232" i="2"/>
  <c r="D385" i="2"/>
  <c r="D530" i="2" s="1"/>
  <c r="D494" i="2"/>
  <c r="D639" i="2" s="1"/>
  <c r="D739" i="2"/>
  <c r="D350" i="2"/>
  <c r="D272" i="2"/>
  <c r="D689" i="2"/>
  <c r="D422" i="2"/>
  <c r="D567" i="2" s="1"/>
  <c r="D233" i="2" l="1"/>
  <c r="D386" i="2"/>
  <c r="D531" i="2" s="1"/>
  <c r="D740" i="2"/>
  <c r="D351" i="2"/>
  <c r="D495" i="2"/>
  <c r="D640" i="2" s="1"/>
  <c r="D312" i="2"/>
  <c r="D459" i="2"/>
  <c r="D604" i="2" s="1"/>
  <c r="D715" i="2"/>
  <c r="D273" i="2"/>
  <c r="D423" i="2"/>
  <c r="D568" i="2" s="1"/>
  <c r="D690" i="2"/>
  <c r="D313" i="2" l="1"/>
  <c r="D460" i="2"/>
  <c r="D605" i="2" s="1"/>
  <c r="D716" i="2"/>
  <c r="D352" i="2"/>
  <c r="D496" i="2"/>
  <c r="D641" i="2" s="1"/>
  <c r="D741" i="2"/>
  <c r="D424" i="2"/>
  <c r="D569" i="2" s="1"/>
  <c r="D274" i="2"/>
  <c r="D691" i="2"/>
  <c r="D234" i="2"/>
  <c r="D387" i="2"/>
  <c r="D532" i="2" s="1"/>
  <c r="D692" i="2" l="1"/>
  <c r="D425" i="2"/>
  <c r="D570" i="2" s="1"/>
  <c r="D275" i="2"/>
  <c r="D353" i="2"/>
  <c r="D497" i="2"/>
  <c r="D642" i="2" s="1"/>
  <c r="D742" i="2"/>
  <c r="D235" i="2"/>
  <c r="D388" i="2"/>
  <c r="D533" i="2" s="1"/>
  <c r="D314" i="2"/>
  <c r="D461" i="2"/>
  <c r="D606" i="2" s="1"/>
  <c r="D717" i="2"/>
  <c r="D236" i="2" l="1"/>
  <c r="D389" i="2"/>
  <c r="D534" i="2" s="1"/>
  <c r="D354" i="2"/>
  <c r="D743" i="2"/>
  <c r="D498" i="2"/>
  <c r="D643" i="2" s="1"/>
  <c r="D426" i="2"/>
  <c r="D571" i="2" s="1"/>
  <c r="D693" i="2"/>
  <c r="D276" i="2"/>
  <c r="D462" i="2"/>
  <c r="D607" i="2" s="1"/>
  <c r="D315" i="2"/>
  <c r="D718" i="2"/>
  <c r="D463" i="2" l="1"/>
  <c r="D608" i="2" s="1"/>
  <c r="D719" i="2"/>
  <c r="D427" i="2"/>
  <c r="D572" i="2" s="1"/>
  <c r="D694" i="2"/>
  <c r="D744" i="2"/>
  <c r="E36" i="3" s="1"/>
  <c r="D499" i="2"/>
  <c r="D237" i="2"/>
  <c r="D391" i="2" s="1"/>
  <c r="D536" i="2" s="1"/>
  <c r="D390" i="2"/>
  <c r="D535" i="2" s="1"/>
  <c r="D644" i="2" l="1"/>
  <c r="E24" i="3" s="1"/>
  <c r="E43" i="3" s="1"/>
  <c r="E45" i="3" s="1"/>
  <c r="E12" i="3"/>
</calcChain>
</file>

<file path=xl/sharedStrings.xml><?xml version="1.0" encoding="utf-8"?>
<sst xmlns="http://schemas.openxmlformats.org/spreadsheetml/2006/main" count="3498" uniqueCount="1057">
  <si>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</si>
  <si>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</si>
  <si>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</si>
  <si>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</si>
  <si>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</si>
  <si>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</si>
  <si>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</si>
  <si>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</si>
  <si>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</si>
  <si>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</si>
  <si>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</si>
  <si>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</si>
  <si>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</si>
  <si>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</si>
  <si>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</si>
  <si>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</si>
  <si>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</si>
  <si>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</si>
  <si>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</si>
  <si>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</si>
  <si>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</si>
  <si>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</si>
  <si>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</si>
  <si>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</si>
  <si>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</si>
  <si>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</si>
  <si>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</si>
  <si>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</si>
  <si>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</si>
  <si>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</si>
  <si>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</si>
  <si>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</si>
  <si>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</si>
  <si>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</si>
  <si>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</si>
  <si>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</si>
  <si>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</si>
  <si>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</si>
  <si>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</si>
  <si>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</si>
  <si>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</si>
  <si>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</si>
  <si>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</si>
  <si>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</si>
  <si>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</si>
  <si>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</si>
  <si>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</si>
  <si>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</si>
  <si>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</si>
  <si>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</si>
  <si>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</si>
  <si>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</si>
  <si>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</si>
  <si>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</si>
  <si>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</si>
  <si>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</si>
  <si>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</si>
  <si>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</si>
  <si>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</si>
  <si>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</si>
  <si>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</si>
  <si>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</si>
  <si>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</si>
  <si>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</si>
  <si>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</si>
  <si>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</si>
  <si>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</si>
  <si>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</si>
  <si>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</si>
  <si>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</si>
  <si>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</si>
  <si>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</si>
  <si>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</si>
  <si>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</si>
  <si>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</si>
  <si>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</si>
  <si>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</si>
  <si>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</si>
  <si>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</si>
  <si>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</si>
  <si>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</si>
  <si>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</si>
  <si>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</si>
  <si>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</si>
  <si>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</si>
  <si>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</si>
  <si>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</si>
  <si>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</si>
  <si>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</si>
  <si>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</si>
  <si>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</si>
  <si>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</si>
  <si>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</si>
  <si>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</si>
  <si>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</si>
  <si>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</si>
  <si>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</si>
  <si>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</si>
  <si>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</si>
  <si>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</si>
  <si>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</si>
  <si>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</si>
  <si>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</si>
  <si>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</si>
  <si>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</si>
  <si>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</si>
  <si>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</si>
  <si>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</si>
  <si>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</si>
  <si>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</si>
  <si>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</si>
  <si>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</si>
  <si>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</si>
  <si>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</si>
  <si>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</si>
  <si>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</si>
  <si>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</si>
  <si>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</si>
  <si>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</si>
  <si>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</si>
  <si>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</si>
  <si>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</si>
  <si>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</si>
  <si>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</si>
  <si>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</si>
  <si>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</si>
  <si>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</si>
  <si>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</si>
  <si>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</si>
  <si>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</si>
  <si>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</si>
  <si>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</si>
  <si>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</si>
  <si>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</si>
  <si>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</si>
  <si>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</si>
  <si>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</si>
  <si>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</si>
  <si>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</si>
  <si>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</si>
  <si>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</si>
  <si>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</si>
  <si>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</si>
  <si>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</si>
  <si>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</si>
  <si>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</si>
  <si>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</si>
  <si>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</si>
  <si>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</si>
  <si>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</si>
  <si>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</si>
  <si>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</si>
  <si>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</si>
  <si>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</si>
  <si>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</si>
  <si>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</si>
  <si>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</si>
  <si>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</si>
  <si>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</si>
  <si>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</si>
  <si>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</si>
  <si>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</si>
  <si>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</si>
  <si>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</si>
  <si>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</si>
  <si>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</si>
  <si>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</si>
  <si>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</si>
  <si>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</si>
  <si>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</si>
  <si>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</si>
  <si>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</si>
  <si>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</si>
  <si>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</si>
  <si>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</si>
  <si>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</si>
  <si>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</si>
  <si>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</si>
  <si>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</si>
  <si>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</si>
  <si>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</si>
  <si>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</si>
  <si>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</si>
  <si>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</si>
  <si>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</si>
  <si>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</si>
  <si>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</si>
  <si>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</si>
  <si>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</si>
  <si>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</si>
  <si>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</si>
  <si>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</si>
  <si>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</si>
  <si>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</si>
  <si>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</si>
  <si>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</si>
  <si>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</si>
  <si>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</si>
  <si>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</si>
  <si>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</si>
  <si>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</si>
  <si>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</si>
  <si>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</si>
  <si>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</si>
  <si>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</si>
  <si>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</si>
  <si>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</si>
  <si>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</si>
  <si>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</si>
  <si>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</si>
  <si>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</si>
  <si>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</si>
  <si>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</si>
  <si>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</si>
  <si>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</si>
  <si>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</si>
  <si>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</si>
  <si>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</si>
  <si>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</si>
  <si>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</si>
  <si>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</si>
  <si>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</si>
  <si>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</si>
  <si>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</si>
  <si>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</si>
  <si>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</si>
  <si>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</si>
  <si>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</si>
  <si>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</si>
  <si>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</si>
  <si>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</si>
  <si>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</si>
  <si>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</si>
  <si>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</si>
  <si>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</si>
  <si>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</si>
  <si>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</si>
  <si>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</si>
  <si>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</si>
  <si>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</si>
  <si>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</si>
  <si>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</si>
  <si>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</si>
  <si>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</si>
  <si>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</si>
  <si>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</si>
  <si>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</si>
  <si>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</si>
  <si>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</si>
  <si>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</si>
  <si>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</si>
  <si>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</si>
  <si>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</si>
  <si>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</si>
  <si>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</si>
  <si>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</si>
  <si>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</si>
  <si>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</si>
  <si>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</si>
  <si>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</si>
  <si>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</si>
  <si>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</si>
  <si>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</si>
  <si>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</si>
  <si>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</si>
  <si>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</si>
  <si>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</si>
  <si>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</si>
  <si>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</si>
  <si>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</si>
  <si>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</si>
  <si>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</si>
  <si>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</si>
  <si>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</si>
  <si>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</si>
  <si>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</si>
  <si>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</si>
  <si>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</si>
  <si>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</si>
  <si>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</si>
  <si>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</si>
  <si>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</si>
  <si>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</si>
  <si>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</si>
  <si>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</si>
  <si>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</si>
  <si>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</si>
  <si>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</si>
  <si>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</si>
  <si>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</si>
  <si>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</si>
  <si>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</si>
  <si>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</si>
  <si>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</si>
  <si>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</si>
  <si>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</si>
  <si>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</si>
  <si>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</si>
  <si>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</si>
  <si>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</si>
  <si>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</si>
  <si>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</si>
  <si>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</si>
  <si>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</si>
  <si>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</si>
  <si>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</si>
  <si>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</si>
  <si>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</si>
  <si>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</si>
  <si>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</si>
  <si>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</si>
  <si>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</si>
  <si>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</si>
  <si>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</si>
  <si>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</si>
  <si>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</si>
  <si>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</si>
  <si>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</si>
  <si>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</si>
  <si>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</si>
  <si>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</si>
  <si>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</si>
  <si>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</si>
  <si>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</si>
  <si>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</si>
  <si>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</si>
  <si>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</si>
  <si>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</si>
  <si>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</si>
  <si>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</si>
  <si>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</si>
  <si>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</si>
  <si>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</si>
  <si>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</si>
  <si>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</si>
  <si>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</si>
  <si>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</si>
  <si>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</si>
  <si>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</si>
  <si>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</si>
  <si>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</si>
  <si>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</si>
  <si>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</si>
  <si>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</si>
  <si>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</si>
  <si>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</si>
  <si>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</si>
  <si>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</si>
  <si>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</si>
  <si>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</si>
  <si>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</si>
  <si>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</si>
  <si>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</si>
  <si>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</si>
  <si>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</si>
  <si>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</si>
  <si>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</si>
  <si>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</si>
  <si>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</si>
  <si>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</si>
  <si>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</si>
  <si>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</si>
  <si>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</si>
  <si>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</si>
  <si>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</si>
  <si>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</si>
  <si>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</si>
  <si>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</si>
  <si>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</si>
  <si>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</si>
  <si>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</si>
  <si>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</si>
  <si>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</si>
  <si>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</si>
  <si>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</si>
  <si>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</si>
  <si>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</si>
  <si>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</si>
  <si>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</si>
  <si>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</si>
  <si>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</si>
  <si>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</si>
  <si>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</si>
  <si>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</si>
  <si>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</si>
  <si>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</si>
  <si>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</si>
  <si>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</si>
  <si>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</si>
  <si>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</si>
  <si>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</si>
  <si>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</si>
  <si>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</si>
  <si>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</si>
  <si>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</si>
  <si>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</si>
  <si>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</si>
  <si>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</si>
  <si>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</si>
  <si>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</si>
  <si>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</si>
  <si>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</si>
  <si>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</si>
  <si>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</si>
  <si>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</si>
  <si>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</si>
  <si>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</si>
  <si>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</si>
  <si>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</si>
  <si>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</si>
  <si>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</si>
  <si>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</si>
  <si>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</si>
  <si>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</si>
  <si>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</si>
  <si>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</si>
  <si>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</si>
  <si>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</si>
  <si>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</si>
  <si>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</si>
  <si>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</si>
  <si>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</si>
  <si>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</si>
  <si>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</si>
  <si>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</si>
  <si>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</si>
  <si>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</si>
  <si>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</si>
  <si>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</si>
  <si>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</si>
  <si>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</si>
  <si>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</si>
  <si>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</si>
  <si>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</si>
  <si>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</si>
  <si>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</si>
  <si>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</si>
  <si>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</si>
  <si>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</si>
  <si>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</si>
  <si>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</si>
  <si>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</si>
  <si>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</si>
  <si>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</si>
  <si>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</si>
  <si>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</si>
  <si>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</si>
  <si>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</si>
  <si>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</si>
  <si>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</si>
  <si>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</si>
  <si>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</si>
  <si>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</si>
  <si>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</si>
  <si>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</si>
  <si>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</si>
  <si>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</si>
  <si>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</si>
  <si>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</si>
  <si>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</si>
  <si>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</si>
  <si>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</si>
  <si>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</si>
  <si>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</si>
  <si>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</si>
  <si>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</si>
  <si>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</si>
  <si>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</si>
  <si>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</si>
  <si>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</si>
  <si>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</si>
  <si>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</si>
  <si>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</si>
  <si>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</si>
  <si>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</si>
  <si>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</si>
  <si>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</si>
  <si>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</si>
  <si>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</si>
  <si>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</si>
  <si>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</si>
  <si>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</si>
  <si>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</si>
  <si>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</si>
  <si>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</si>
  <si>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</si>
  <si>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</si>
  <si>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</si>
  <si>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</si>
  <si>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</si>
  <si>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</si>
  <si>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</si>
  <si>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</si>
  <si>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</si>
  <si>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</si>
  <si>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</si>
  <si>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</si>
  <si>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</si>
  <si>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</si>
  <si>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</si>
  <si>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</si>
  <si>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</si>
  <si>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</si>
  <si>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</si>
  <si>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</si>
  <si>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</si>
  <si>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</si>
  <si>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</si>
  <si>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</si>
  <si>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</si>
  <si>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</si>
  <si>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</si>
  <si>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</si>
  <si>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</si>
  <si>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</si>
  <si>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</si>
  <si>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</si>
  <si>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</si>
  <si>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</si>
  <si>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</si>
  <si>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</si>
  <si>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</si>
  <si>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</si>
  <si>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</si>
  <si>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</si>
  <si>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</si>
  <si>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</si>
  <si>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</si>
  <si>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</si>
  <si>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</si>
  <si>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</si>
  <si>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</si>
  <si>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</si>
  <si>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</si>
  <si>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</si>
  <si>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</si>
  <si>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</si>
  <si>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</si>
  <si>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</si>
  <si>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</si>
  <si>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</si>
  <si>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</si>
  <si>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</si>
  <si>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</si>
  <si>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</si>
  <si>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</si>
  <si>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</si>
  <si>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</si>
  <si>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</si>
  <si>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</si>
  <si>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</si>
  <si>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</si>
  <si>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</si>
  <si>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</si>
  <si>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</si>
  <si>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</si>
  <si>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</si>
  <si>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</si>
  <si>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</si>
  <si>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</si>
  <si>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</si>
  <si>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</si>
  <si>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</si>
  <si>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</si>
  <si>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</si>
  <si>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</si>
  <si>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</si>
  <si>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</si>
  <si>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</si>
  <si>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</si>
  <si>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</si>
  <si>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</si>
  <si>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</si>
  <si>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</si>
  <si>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</si>
  <si>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</si>
  <si>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</si>
  <si>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</si>
  <si>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</si>
  <si>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</si>
  <si>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</si>
  <si>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</si>
  <si>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</si>
  <si>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</si>
  <si>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</si>
  <si>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</si>
  <si>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</si>
  <si>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</si>
  <si>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</si>
  <si>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</si>
  <si>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</si>
  <si>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</si>
  <si>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</si>
  <si>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</si>
  <si>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</si>
  <si>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</si>
  <si>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</si>
  <si>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</si>
  <si>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</si>
  <si>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</si>
  <si>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</si>
  <si>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</si>
  <si>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</si>
  <si>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</si>
  <si>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</si>
  <si>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</si>
  <si>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</si>
  <si>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</si>
  <si>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</si>
  <si>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</si>
  <si>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</si>
  <si>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</si>
  <si>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</si>
  <si>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</si>
  <si>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</si>
  <si>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</si>
  <si>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</si>
  <si>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</si>
  <si>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</si>
  <si>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</si>
  <si>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</si>
  <si>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</si>
  <si>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</si>
  <si>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</si>
  <si>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</si>
  <si>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</si>
  <si>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</si>
  <si>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</si>
  <si>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</si>
  <si>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</si>
  <si>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</si>
  <si>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</si>
  <si>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</si>
  <si>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</si>
  <si>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</si>
  <si>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</si>
  <si>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</si>
  <si>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</si>
  <si>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</si>
  <si>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</si>
  <si>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</si>
  <si>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</si>
  <si>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</si>
  <si>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</si>
  <si>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</si>
  <si>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</si>
  <si>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</si>
  <si>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</si>
  <si>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</si>
  <si>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</si>
  <si>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</si>
  <si>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</si>
  <si>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</si>
  <si>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</si>
  <si>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</si>
  <si>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</si>
  <si>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</si>
  <si>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</si>
  <si>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</si>
  <si>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</si>
  <si>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</si>
  <si>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</si>
  <si>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</si>
  <si>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</si>
  <si>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</si>
  <si>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</si>
  <si>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</si>
  <si>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</si>
  <si>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</si>
  <si>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</si>
  <si>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</si>
  <si>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</si>
  <si>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</si>
  <si>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</si>
  <si>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</si>
  <si>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</si>
  <si>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</si>
  <si>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</si>
  <si>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</si>
  <si>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</si>
  <si>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</si>
  <si>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</si>
  <si>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</si>
  <si>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</si>
  <si>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</si>
  <si>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</si>
  <si>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</si>
  <si>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</si>
  <si>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</si>
  <si>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</si>
  <si>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</si>
  <si>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</si>
  <si>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</si>
  <si>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</si>
  <si>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</si>
  <si>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</si>
  <si>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</si>
  <si>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</si>
  <si>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</si>
  <si>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</si>
  <si>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</si>
  <si>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</si>
  <si>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</si>
  <si>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</si>
  <si>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</si>
  <si>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</si>
  <si>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</si>
  <si>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</si>
  <si>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</si>
  <si>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</si>
  <si>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</si>
  <si>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</si>
  <si>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</si>
  <si>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</si>
  <si>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</si>
  <si>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</si>
  <si>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</si>
  <si>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</si>
  <si>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</si>
  <si>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</si>
  <si>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</si>
  <si>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</si>
  <si>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</si>
  <si>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</si>
  <si>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</si>
  <si>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</si>
  <si>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</si>
  <si>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</si>
  <si>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</si>
  <si>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</si>
  <si>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</si>
  <si>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</si>
  <si>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</si>
  <si>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</si>
  <si>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</si>
  <si>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</si>
  <si>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</si>
  <si>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</si>
  <si>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</si>
  <si>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</si>
  <si>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</si>
  <si>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</si>
  <si>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</si>
  <si>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</si>
  <si>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</si>
  <si>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</si>
  <si>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</si>
  <si>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</si>
  <si>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</si>
  <si>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</si>
  <si>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</si>
  <si>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</si>
  <si>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</si>
  <si>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</si>
  <si>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</si>
  <si>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</si>
  <si>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</si>
  <si>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</si>
  <si>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</si>
  <si>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</si>
  <si>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</si>
  <si>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</si>
  <si>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</si>
  <si>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</si>
  <si>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</si>
  <si>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</si>
  <si>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</si>
  <si>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</si>
  <si>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</si>
  <si>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</si>
  <si>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</si>
  <si>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</si>
  <si>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</si>
  <si>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</si>
  <si>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</si>
  <si>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</si>
  <si>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</si>
  <si>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</si>
  <si>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</si>
  <si>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</si>
  <si>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</si>
  <si>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</si>
  <si>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</si>
  <si>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</si>
  <si>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</si>
  <si>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</si>
  <si>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</si>
  <si>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</si>
  <si>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</si>
  <si>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</si>
  <si>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</si>
  <si>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</si>
  <si>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</si>
  <si>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</si>
  <si>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</si>
  <si>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</si>
  <si>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</si>
  <si>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</si>
  <si>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</si>
  <si>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</si>
  <si>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</si>
  <si>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</si>
  <si>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</si>
  <si>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</si>
  <si>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</si>
  <si>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</si>
  <si>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</si>
  <si>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</si>
  <si>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</si>
  <si>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</si>
  <si>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</si>
  <si>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</si>
  <si>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</si>
  <si>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</si>
  <si>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</si>
  <si>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</si>
  <si>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</si>
  <si>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</si>
  <si>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</si>
  <si>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</si>
  <si>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</si>
  <si>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</si>
  <si>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</si>
  <si>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</si>
  <si>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</si>
  <si>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</si>
  <si>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</si>
  <si>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</si>
  <si>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</si>
  <si>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</si>
  <si>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</si>
  <si>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</si>
  <si>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</si>
  <si>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</si>
  <si>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</si>
  <si>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</si>
  <si>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</si>
  <si>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</si>
  <si>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</si>
  <si>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</si>
  <si>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</si>
  <si>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</si>
  <si>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</si>
  <si>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</si>
  <si>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</si>
  <si>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</si>
  <si>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</si>
  <si>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</si>
  <si>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</si>
  <si>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</si>
  <si>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</si>
  <si>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</si>
  <si>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</si>
  <si>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</si>
  <si>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</si>
  <si>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</si>
  <si>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</si>
  <si>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</si>
  <si>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</si>
  <si>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</si>
  <si>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</si>
  <si>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</si>
  <si>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</si>
  <si>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</si>
  <si>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</si>
  <si>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</si>
  <si>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</si>
  <si>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</si>
  <si>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</si>
  <si>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</si>
  <si>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</si>
  <si>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</si>
  <si>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</si>
  <si>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</si>
  <si>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</si>
  <si>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</si>
  <si>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</si>
  <si>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</si>
  <si>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</si>
  <si>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</si>
  <si>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</si>
  <si>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</si>
  <si>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</si>
  <si>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</si>
  <si>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</si>
  <si>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</si>
  <si>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</si>
  <si>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</si>
  <si>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</si>
  <si>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</si>
  <si>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</si>
  <si>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</si>
  <si>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</si>
  <si>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</si>
  <si>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</si>
  <si>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</si>
  <si>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</si>
  <si>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</si>
  <si>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</si>
  <si>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</si>
  <si>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</si>
  <si>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</si>
  <si>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</si>
  <si>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</si>
  <si>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</si>
  <si>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</si>
  <si>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</si>
  <si>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</si>
  <si>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</si>
  <si>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</si>
  <si>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</si>
  <si>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</si>
  <si>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</si>
  <si>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</si>
  <si>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</si>
  <si>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</si>
  <si>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</si>
  <si>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</si>
  <si>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</si>
  <si>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</si>
  <si>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</si>
  <si>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</si>
  <si>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</si>
  <si>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</si>
  <si>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</si>
  <si>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</si>
  <si>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</si>
  <si>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</si>
  <si>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</si>
  <si>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</si>
  <si>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</si>
  <si>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</si>
  <si>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</si>
  <si>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</si>
  <si>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</si>
  <si>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</si>
  <si>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</si>
  <si>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</si>
  <si>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</si>
  <si>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</si>
  <si>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</si>
  <si>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</si>
  <si>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</si>
  <si>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</si>
  <si>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</si>
  <si>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</si>
  <si>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</si>
  <si>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</si>
  <si>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</si>
  <si>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</si>
  <si>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</si>
  <si>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</si>
  <si>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</si>
  <si>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</si>
  <si>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</si>
  <si>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</si>
  <si>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</si>
  <si>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</si>
  <si>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</si>
  <si>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</si>
  <si>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</si>
  <si>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</si>
  <si>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</si>
  <si>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</si>
  <si>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</si>
  <si>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</si>
  <si>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</si>
  <si>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</si>
  <si>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</si>
  <si>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</si>
  <si>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</si>
  <si>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</si>
  <si>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</si>
  <si>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</si>
  <si>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</si>
  <si>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</si>
  <si>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</si>
  <si>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</si>
  <si>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</si>
  <si>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</si>
  <si>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</si>
  <si>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</si>
  <si>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</si>
  <si>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</si>
  <si>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</si>
  <si>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</si>
  <si>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</si>
  <si>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</si>
  <si>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</si>
  <si>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</si>
  <si>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</si>
  <si>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</si>
  <si>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</si>
  <si>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</si>
  <si>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</si>
  <si>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</si>
  <si>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</si>
  <si>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</si>
  <si>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</si>
  <si>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</si>
  <si>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</si>
  <si>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</si>
  <si>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</si>
  <si>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</si>
  <si>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</si>
  <si>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</si>
  <si>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</si>
  <si>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</si>
  <si>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</si>
  <si>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</si>
  <si>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</si>
  <si>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</si>
  <si>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</si>
  <si>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</si>
  <si>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</si>
  <si>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</si>
  <si>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</si>
  <si>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</si>
  <si>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</si>
  <si>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</si>
  <si>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</si>
  <si>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</si>
  <si>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</si>
  <si>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</si>
  <si>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</si>
  <si>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</si>
  <si>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</si>
  <si>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</si>
  <si>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</si>
  <si>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</si>
  <si>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</si>
  <si>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</si>
  <si>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</si>
  <si>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</si>
  <si>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</si>
  <si>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</si>
  <si>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</si>
  <si>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</si>
  <si>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</si>
  <si>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</si>
  <si>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</si>
  <si>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</si>
  <si>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</si>
  <si>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</si>
  <si>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</si>
  <si>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</si>
  <si>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</si>
  <si>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</si>
  <si>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</si>
  <si>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</si>
  <si>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</si>
  <si>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</si>
  <si>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</si>
  <si>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</si>
  <si>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</si>
  <si>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</si>
  <si>
    <t>Step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</si>
</sst>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9" fontId="2" fillId="0" borderId="0" xfId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0" fontId="0" fillId="8" borderId="0" xfId="0" applyFill="1"/>
    <xf numFmtId="0" fontId="2" fillId="8" borderId="0" xfId="0" applyFont="1" applyFill="1"/>
    <xf numFmtId="1" fontId="2" fillId="8" borderId="0" xfId="1" applyNumberFormat="1" applyFont="1" applyFill="1" applyBorder="1"/>
    <xf numFmtId="164" fontId="2" fillId="8" borderId="0" xfId="1" applyNumberFormat="1" applyFont="1" applyFill="1" applyBorder="1"/>
    <xf numFmtId="10" fontId="2" fillId="8" borderId="0" xfId="1" applyNumberFormat="1" applyFont="1" applyFill="1" applyBorder="1"/>
    <xf numFmtId="9" fontId="2" fillId="8" borderId="0" xfId="1" applyFont="1" applyFill="1" applyBorder="1"/>
    <xf numFmtId="0" fontId="2" fillId="8" borderId="0" xfId="1" applyNumberFormat="1" applyFont="1" applyFill="1" applyBorder="1"/>
    <xf numFmtId="9" fontId="3" fillId="8" borderId="0" xfId="1" applyFont="1" applyFill="1" applyBorder="1"/>
    <xf numFmtId="164" fontId="0" fillId="8" borderId="0" xfId="1" applyNumberFormat="1" applyFont="1" applyFill="1"/>
    <xf numFmtId="1" fontId="0" fillId="8" borderId="0" xfId="1" applyNumberFormat="1" applyFont="1" applyFill="1"/>
    <xf numFmtId="10" fontId="0" fillId="8" borderId="0" xfId="1" applyNumberFormat="1" applyFont="1" applyFill="1"/>
    <xf numFmtId="166" fontId="0" fillId="8" borderId="0" xfId="1" applyNumberFormat="1" applyFont="1" applyFill="1"/>
    <xf numFmtId="0" fontId="0" fillId="8" borderId="0" xfId="1" applyNumberFormat="1" applyFont="1" applyFill="1"/>
    <xf numFmtId="0" fontId="2" fillId="8" borderId="0" xfId="0" applyFont="1" applyFill="1" applyAlignment="1">
      <alignment wrapText="1"/>
    </xf>
    <xf numFmtId="0" fontId="2" fillId="0" borderId="0" xfId="0" applyFon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Z140"/>
  <sheetViews>
    <sheetView tabSelected="1" topLeftCell="C1" zoomScale="85" zoomScaleNormal="85" workbookViewId="0">
      <selection activeCell="G96" sqref="G96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7" width="16.69921875" customWidth="1"/>
    <col min="8" max="9" width="12.296875" bestFit="1" customWidth="1"/>
    <col min="12" max="12" width="60.09765625" customWidth="1"/>
    <col min="13" max="13" width="16.59765625" customWidth="1"/>
    <col min="14" max="14" width="47.69921875" bestFit="1" customWidth="1"/>
  </cols>
  <sheetData>
    <row r="1" spans="1:156" x14ac:dyDescent="0.3">
      <c r="A1" s="2"/>
      <c r="B1" s="2"/>
      <c r="C1" s="2" t="s">
        <v>14</v>
      </c>
      <c r="D1" s="2" t="s">
        <v>12</v>
      </c>
      <c r="E1" s="3"/>
      <c r="F1" s="2"/>
      <c r="G1" s="2"/>
      <c r="H1" s="2" t="s">
        <v>15</v>
      </c>
      <c r="I1" s="2" t="s">
        <v>15</v>
      </c>
      <c r="J1" s="2" t="s">
        <v>14</v>
      </c>
      <c r="K1" s="2"/>
      <c r="L1" s="2"/>
      <c r="M1" s="2"/>
      <c r="N1" s="2"/>
    </row>
    <row r="2" spans="1:156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1056</v>
      </c>
      <c r="H2" s="1" t="s">
        <v>4</v>
      </c>
      <c r="I2" s="1" t="s">
        <v>5</v>
      </c>
      <c r="J2" s="1" t="s">
        <v>6</v>
      </c>
      <c r="K2" s="1" t="s">
        <v>1017</v>
      </c>
      <c r="L2" s="1" t="s">
        <v>1018</v>
      </c>
      <c r="M2" s="1" t="s">
        <v>986</v>
      </c>
      <c r="N2" s="1" t="s">
        <v>8</v>
      </c>
    </row>
    <row r="3" spans="1:156" s="31" customFormat="1" x14ac:dyDescent="0.3">
      <c r="B3" s="32" t="s">
        <v>988</v>
      </c>
      <c r="C3" s="31" t="s">
        <v>17</v>
      </c>
      <c r="D3" s="32" t="s">
        <v>989</v>
      </c>
      <c r="E3" s="33">
        <v>645273</v>
      </c>
      <c r="F3" s="32" t="s">
        <v>10</v>
      </c>
      <c r="G3" s="32">
        <v>1</v>
      </c>
      <c r="H3" s="32">
        <v>0</v>
      </c>
      <c r="I3" s="32">
        <v>60000000</v>
      </c>
      <c r="J3" s="32" t="s">
        <v>26</v>
      </c>
      <c r="K3" s="32" t="s">
        <v>10</v>
      </c>
      <c r="L3" s="32" t="s">
        <v>989</v>
      </c>
      <c r="M3" s="32" t="s">
        <v>987</v>
      </c>
      <c r="N3" s="32" t="s">
        <v>245</v>
      </c>
    </row>
    <row r="4" spans="1:156" s="31" customFormat="1" x14ac:dyDescent="0.3">
      <c r="B4" s="32" t="s">
        <v>988</v>
      </c>
      <c r="C4" s="31" t="s">
        <v>17</v>
      </c>
      <c r="D4" s="32" t="s">
        <v>246</v>
      </c>
      <c r="E4" s="34">
        <v>3.9</v>
      </c>
      <c r="F4" s="32" t="s">
        <v>10</v>
      </c>
      <c r="G4" s="32">
        <v>0.1</v>
      </c>
      <c r="H4" s="32">
        <v>0</v>
      </c>
      <c r="I4" s="32">
        <v>20</v>
      </c>
      <c r="J4" s="32" t="s">
        <v>29</v>
      </c>
      <c r="K4" s="32" t="s">
        <v>9</v>
      </c>
      <c r="L4" s="32" t="s">
        <v>246</v>
      </c>
      <c r="M4" s="32" t="s">
        <v>987</v>
      </c>
      <c r="N4" s="32"/>
    </row>
    <row r="5" spans="1:156" s="31" customFormat="1" x14ac:dyDescent="0.3">
      <c r="B5" s="32" t="s">
        <v>988</v>
      </c>
      <c r="C5" s="31" t="s">
        <v>17</v>
      </c>
      <c r="D5" s="32" t="s">
        <v>34</v>
      </c>
      <c r="E5" s="35">
        <v>2.9999999999999997E-4</v>
      </c>
      <c r="F5" s="32" t="s">
        <v>10</v>
      </c>
      <c r="G5" s="32">
        <v>1.0000000000000001E-5</v>
      </c>
      <c r="H5" s="32">
        <v>0</v>
      </c>
      <c r="I5" s="32">
        <v>8.9999999999999993E-3</v>
      </c>
      <c r="J5" s="32" t="s">
        <v>105</v>
      </c>
      <c r="K5" s="32" t="s">
        <v>10</v>
      </c>
      <c r="L5" s="32" t="s">
        <v>34</v>
      </c>
      <c r="M5" s="32" t="s">
        <v>987</v>
      </c>
      <c r="N5" s="32"/>
    </row>
    <row r="6" spans="1:156" s="31" customFormat="1" x14ac:dyDescent="0.3">
      <c r="B6" s="32" t="s">
        <v>988</v>
      </c>
      <c r="C6" s="31" t="s">
        <v>17</v>
      </c>
      <c r="D6" s="32" t="s">
        <v>33</v>
      </c>
      <c r="E6" s="35">
        <v>6.9999999999999999E-4</v>
      </c>
      <c r="F6" s="32" t="s">
        <v>10</v>
      </c>
      <c r="G6" s="32">
        <v>1.0000000000000001E-5</v>
      </c>
      <c r="H6" s="32">
        <v>0</v>
      </c>
      <c r="I6" s="32">
        <v>2E-3</v>
      </c>
      <c r="J6" s="32" t="s">
        <v>105</v>
      </c>
      <c r="K6" s="32" t="s">
        <v>10</v>
      </c>
      <c r="L6" s="32" t="s">
        <v>33</v>
      </c>
      <c r="M6" s="32" t="s">
        <v>987</v>
      </c>
      <c r="N6" s="32"/>
    </row>
    <row r="7" spans="1:156" s="31" customFormat="1" x14ac:dyDescent="0.3">
      <c r="B7" s="32" t="s">
        <v>988</v>
      </c>
      <c r="C7" s="32" t="s">
        <v>1051</v>
      </c>
      <c r="D7" s="32" t="s">
        <v>809</v>
      </c>
      <c r="E7" s="36">
        <v>0.2</v>
      </c>
      <c r="F7" s="32" t="s">
        <v>10</v>
      </c>
      <c r="G7" s="32">
        <v>0.1</v>
      </c>
      <c r="H7" s="37">
        <v>0</v>
      </c>
      <c r="I7" s="37">
        <v>100</v>
      </c>
      <c r="J7" s="32" t="s">
        <v>27</v>
      </c>
      <c r="K7" s="32" t="s">
        <v>9</v>
      </c>
      <c r="L7" s="32" t="s">
        <v>1038</v>
      </c>
      <c r="M7" s="32" t="s">
        <v>987</v>
      </c>
      <c r="N7" s="32"/>
    </row>
    <row r="8" spans="1:156" s="11" customFormat="1" x14ac:dyDescent="0.3">
      <c r="A8"/>
      <c r="B8" s="19" t="s">
        <v>988</v>
      </c>
      <c r="C8" s="19" t="s">
        <v>1051</v>
      </c>
      <c r="D8" s="19" t="s">
        <v>144</v>
      </c>
      <c r="E8" s="20">
        <v>0.8</v>
      </c>
      <c r="F8" s="19" t="s">
        <v>9</v>
      </c>
      <c r="G8" s="19"/>
      <c r="H8" s="19"/>
      <c r="I8" s="19"/>
      <c r="J8" s="19" t="s">
        <v>27</v>
      </c>
      <c r="K8" s="19" t="s">
        <v>9</v>
      </c>
      <c r="L8" s="19" t="s">
        <v>144</v>
      </c>
      <c r="M8" s="19" t="s">
        <v>987</v>
      </c>
      <c r="N8" s="19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</row>
    <row r="9" spans="1:156" s="11" customFormat="1" x14ac:dyDescent="0.3">
      <c r="A9"/>
      <c r="B9" s="19" t="s">
        <v>988</v>
      </c>
      <c r="C9" s="19" t="s">
        <v>1051</v>
      </c>
      <c r="D9" s="19" t="s">
        <v>145</v>
      </c>
      <c r="E9" s="20">
        <v>0.2</v>
      </c>
      <c r="F9" s="19" t="s">
        <v>9</v>
      </c>
      <c r="G9" s="19"/>
      <c r="H9" s="19"/>
      <c r="I9" s="19"/>
      <c r="J9" s="19" t="s">
        <v>27</v>
      </c>
      <c r="K9" s="19" t="s">
        <v>9</v>
      </c>
      <c r="L9" s="19" t="s">
        <v>145</v>
      </c>
      <c r="M9" s="19" t="s">
        <v>987</v>
      </c>
      <c r="N9" s="1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</row>
    <row r="10" spans="1:156" s="31" customFormat="1" x14ac:dyDescent="0.3">
      <c r="B10" s="32" t="s">
        <v>988</v>
      </c>
      <c r="C10" s="32" t="s">
        <v>1051</v>
      </c>
      <c r="D10" s="32" t="s">
        <v>811</v>
      </c>
      <c r="E10" s="35">
        <v>3.5000000000000003E-2</v>
      </c>
      <c r="F10" s="32" t="s">
        <v>10</v>
      </c>
      <c r="G10" s="32">
        <v>0.1</v>
      </c>
      <c r="H10" s="32">
        <v>0</v>
      </c>
      <c r="I10" s="32">
        <v>100</v>
      </c>
      <c r="J10" s="32" t="s">
        <v>27</v>
      </c>
      <c r="K10" s="32" t="s">
        <v>9</v>
      </c>
      <c r="L10" s="32" t="s">
        <v>1039</v>
      </c>
      <c r="M10" s="32" t="s">
        <v>987</v>
      </c>
      <c r="N10" s="32"/>
    </row>
    <row r="11" spans="1:156" s="31" customFormat="1" x14ac:dyDescent="0.3">
      <c r="B11" s="32" t="s">
        <v>988</v>
      </c>
      <c r="C11" s="32" t="s">
        <v>1052</v>
      </c>
      <c r="D11" s="32" t="s">
        <v>60</v>
      </c>
      <c r="E11" s="36">
        <v>0.2</v>
      </c>
      <c r="F11" s="32" t="s">
        <v>10</v>
      </c>
      <c r="G11" s="32">
        <v>0.1</v>
      </c>
      <c r="H11" s="37">
        <v>0</v>
      </c>
      <c r="I11" s="37">
        <v>100</v>
      </c>
      <c r="J11" s="32" t="s">
        <v>27</v>
      </c>
      <c r="K11" s="32" t="s">
        <v>9</v>
      </c>
      <c r="L11" s="32" t="s">
        <v>60</v>
      </c>
      <c r="M11" s="32" t="s">
        <v>987</v>
      </c>
      <c r="N11" s="32"/>
    </row>
    <row r="12" spans="1:156" s="11" customFormat="1" x14ac:dyDescent="0.3">
      <c r="A12"/>
      <c r="B12" s="19" t="s">
        <v>988</v>
      </c>
      <c r="C12" s="19" t="s">
        <v>1052</v>
      </c>
      <c r="D12" s="19" t="s">
        <v>146</v>
      </c>
      <c r="E12" s="20">
        <v>0.8</v>
      </c>
      <c r="F12" s="19" t="s">
        <v>9</v>
      </c>
      <c r="G12" s="19"/>
      <c r="H12" s="19"/>
      <c r="I12" s="19"/>
      <c r="J12" s="19" t="s">
        <v>27</v>
      </c>
      <c r="K12" s="19" t="s">
        <v>9</v>
      </c>
      <c r="L12" s="19" t="s">
        <v>146</v>
      </c>
      <c r="M12" s="19" t="s">
        <v>987</v>
      </c>
      <c r="N12" s="19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</row>
    <row r="13" spans="1:156" s="11" customFormat="1" x14ac:dyDescent="0.3">
      <c r="A13"/>
      <c r="B13" s="19" t="s">
        <v>988</v>
      </c>
      <c r="C13" s="19" t="s">
        <v>1052</v>
      </c>
      <c r="D13" s="19" t="s">
        <v>147</v>
      </c>
      <c r="E13" s="21">
        <v>0.2</v>
      </c>
      <c r="F13" s="19" t="s">
        <v>9</v>
      </c>
      <c r="G13" s="19"/>
      <c r="H13"/>
      <c r="I13" s="19"/>
      <c r="J13" s="19" t="s">
        <v>27</v>
      </c>
      <c r="K13" s="19" t="s">
        <v>9</v>
      </c>
      <c r="L13" s="19" t="s">
        <v>147</v>
      </c>
      <c r="M13" s="19" t="s">
        <v>987</v>
      </c>
      <c r="N13" s="19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</row>
    <row r="14" spans="1:156" s="31" customFormat="1" x14ac:dyDescent="0.3">
      <c r="B14" s="32" t="s">
        <v>988</v>
      </c>
      <c r="C14" s="32" t="s">
        <v>1052</v>
      </c>
      <c r="D14" s="32" t="s">
        <v>812</v>
      </c>
      <c r="E14" s="38">
        <v>0.1</v>
      </c>
      <c r="F14" s="32" t="s">
        <v>10</v>
      </c>
      <c r="G14" s="32">
        <v>0.1</v>
      </c>
      <c r="H14" s="32">
        <v>0</v>
      </c>
      <c r="I14" s="32">
        <v>100</v>
      </c>
      <c r="J14" s="32" t="s">
        <v>27</v>
      </c>
      <c r="K14" s="32" t="s">
        <v>9</v>
      </c>
      <c r="L14" s="32" t="s">
        <v>1040</v>
      </c>
      <c r="M14" s="32" t="s">
        <v>987</v>
      </c>
      <c r="N14" s="32"/>
    </row>
    <row r="15" spans="1:156" s="11" customFormat="1" x14ac:dyDescent="0.3">
      <c r="A15"/>
      <c r="B15" s="19" t="s">
        <v>988</v>
      </c>
      <c r="C15" s="19" t="s">
        <v>18</v>
      </c>
      <c r="D15" s="19" t="s">
        <v>148</v>
      </c>
      <c r="E15" s="20">
        <v>0.05</v>
      </c>
      <c r="F15" s="19" t="s">
        <v>9</v>
      </c>
      <c r="G15" s="19"/>
      <c r="H15" s="19"/>
      <c r="I15" s="19"/>
      <c r="J15" s="19" t="s">
        <v>27</v>
      </c>
      <c r="K15" s="19" t="s">
        <v>9</v>
      </c>
      <c r="L15" s="19" t="s">
        <v>1041</v>
      </c>
      <c r="M15" s="19" t="s">
        <v>987</v>
      </c>
      <c r="N15" s="19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</row>
    <row r="16" spans="1:156" s="11" customFormat="1" x14ac:dyDescent="0.3">
      <c r="A16"/>
      <c r="B16" s="19" t="s">
        <v>988</v>
      </c>
      <c r="C16" s="19" t="s">
        <v>18</v>
      </c>
      <c r="D16" s="19" t="s">
        <v>810</v>
      </c>
      <c r="E16" s="22">
        <v>0.05</v>
      </c>
      <c r="F16" s="19" t="s">
        <v>9</v>
      </c>
      <c r="G16" s="19"/>
      <c r="H16"/>
      <c r="I16"/>
      <c r="J16" s="19" t="s">
        <v>27</v>
      </c>
      <c r="K16" s="19" t="s">
        <v>9</v>
      </c>
      <c r="L16" s="19" t="s">
        <v>1042</v>
      </c>
      <c r="M16" s="19" t="s">
        <v>987</v>
      </c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</row>
    <row r="17" spans="1:156" s="11" customFormat="1" x14ac:dyDescent="0.3">
      <c r="A17"/>
      <c r="B17" s="19" t="s">
        <v>988</v>
      </c>
      <c r="C17" s="19" t="s">
        <v>18</v>
      </c>
      <c r="D17" s="19" t="s">
        <v>20</v>
      </c>
      <c r="E17" s="23">
        <v>0.25</v>
      </c>
      <c r="F17" t="s">
        <v>9</v>
      </c>
      <c r="G17"/>
      <c r="H17"/>
      <c r="I17"/>
      <c r="J17" t="s">
        <v>21</v>
      </c>
      <c r="K17" s="19" t="s">
        <v>9</v>
      </c>
      <c r="L17" s="19" t="s">
        <v>20</v>
      </c>
      <c r="M17" s="19" t="s">
        <v>987</v>
      </c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</row>
    <row r="18" spans="1:156" s="11" customFormat="1" x14ac:dyDescent="0.3">
      <c r="A18"/>
      <c r="B18" s="19" t="s">
        <v>988</v>
      </c>
      <c r="C18" s="19" t="s">
        <v>31</v>
      </c>
      <c r="D18" s="19" t="s">
        <v>22</v>
      </c>
      <c r="E18" s="23">
        <v>0.39600000000000002</v>
      </c>
      <c r="F18" t="s">
        <v>9</v>
      </c>
      <c r="G18"/>
      <c r="H18"/>
      <c r="I18"/>
      <c r="J18" t="s">
        <v>28</v>
      </c>
      <c r="K18" s="19" t="s">
        <v>9</v>
      </c>
      <c r="L18" s="19" t="s">
        <v>22</v>
      </c>
      <c r="M18" s="19" t="s">
        <v>987</v>
      </c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</row>
    <row r="19" spans="1:156" s="11" customFormat="1" x14ac:dyDescent="0.3">
      <c r="A19"/>
      <c r="B19" s="19" t="s">
        <v>988</v>
      </c>
      <c r="C19" s="19" t="s">
        <v>19</v>
      </c>
      <c r="D19" s="19" t="s">
        <v>23</v>
      </c>
      <c r="E19" s="23">
        <v>0.65800000000000003</v>
      </c>
      <c r="F19" t="s">
        <v>9</v>
      </c>
      <c r="G19"/>
      <c r="H19"/>
      <c r="I19"/>
      <c r="J19" t="s">
        <v>28</v>
      </c>
      <c r="K19" s="19" t="s">
        <v>9</v>
      </c>
      <c r="L19" s="19" t="s">
        <v>23</v>
      </c>
      <c r="M19" s="19" t="s">
        <v>987</v>
      </c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</row>
    <row r="20" spans="1:156" s="11" customFormat="1" x14ac:dyDescent="0.3">
      <c r="A20"/>
      <c r="B20" s="19" t="s">
        <v>988</v>
      </c>
      <c r="C20" s="19" t="s">
        <v>19</v>
      </c>
      <c r="D20" s="19" t="s">
        <v>24</v>
      </c>
      <c r="E20" s="23">
        <v>0.13300000000000001</v>
      </c>
      <c r="F20" t="s">
        <v>9</v>
      </c>
      <c r="G20"/>
      <c r="H20"/>
      <c r="I20"/>
      <c r="J20" t="s">
        <v>28</v>
      </c>
      <c r="K20" s="19" t="s">
        <v>9</v>
      </c>
      <c r="L20" s="19" t="s">
        <v>24</v>
      </c>
      <c r="M20" s="19" t="s">
        <v>987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</row>
    <row r="21" spans="1:156" s="11" customFormat="1" x14ac:dyDescent="0.3">
      <c r="A21"/>
      <c r="B21" s="19" t="s">
        <v>988</v>
      </c>
      <c r="C21" s="19" t="s">
        <v>235</v>
      </c>
      <c r="D21" s="45" t="s">
        <v>241</v>
      </c>
      <c r="E21" s="23">
        <f>1-E18</f>
        <v>0.60399999999999998</v>
      </c>
      <c r="F21" s="46" t="s">
        <v>9</v>
      </c>
      <c r="G21" s="46"/>
      <c r="H21" s="46"/>
      <c r="I21" s="46"/>
      <c r="J21" s="46" t="s">
        <v>28</v>
      </c>
      <c r="K21" s="45" t="s">
        <v>9</v>
      </c>
      <c r="L21" s="45" t="s">
        <v>241</v>
      </c>
      <c r="M21" s="19" t="s">
        <v>987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</row>
    <row r="22" spans="1:156" s="11" customFormat="1" x14ac:dyDescent="0.3">
      <c r="A22"/>
      <c r="B22" s="19" t="s">
        <v>988</v>
      </c>
      <c r="C22" s="19" t="s">
        <v>235</v>
      </c>
      <c r="D22" s="45" t="s">
        <v>242</v>
      </c>
      <c r="E22" s="23">
        <f>1-E19</f>
        <v>0.34199999999999997</v>
      </c>
      <c r="F22" s="46" t="s">
        <v>9</v>
      </c>
      <c r="G22" s="46"/>
      <c r="H22" s="46"/>
      <c r="I22" s="46"/>
      <c r="J22" s="46" t="s">
        <v>28</v>
      </c>
      <c r="K22" s="45" t="s">
        <v>9</v>
      </c>
      <c r="L22" s="45" t="s">
        <v>242</v>
      </c>
      <c r="M22" s="19" t="s">
        <v>987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</row>
    <row r="23" spans="1:156" s="11" customFormat="1" x14ac:dyDescent="0.3">
      <c r="A23"/>
      <c r="B23" s="19" t="s">
        <v>988</v>
      </c>
      <c r="C23" s="19" t="s">
        <v>235</v>
      </c>
      <c r="D23" s="45" t="s">
        <v>247</v>
      </c>
      <c r="E23" s="23">
        <f>1-E22</f>
        <v>0.65800000000000003</v>
      </c>
      <c r="F23" s="46" t="s">
        <v>9</v>
      </c>
      <c r="G23" s="46"/>
      <c r="H23" s="46"/>
      <c r="I23" s="46"/>
      <c r="J23" s="46" t="s">
        <v>28</v>
      </c>
      <c r="K23" s="45" t="s">
        <v>9</v>
      </c>
      <c r="L23" s="45" t="s">
        <v>247</v>
      </c>
      <c r="M23" s="19" t="s">
        <v>987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</row>
    <row r="24" spans="1:156" s="31" customFormat="1" x14ac:dyDescent="0.3">
      <c r="B24" s="32" t="s">
        <v>988</v>
      </c>
      <c r="C24" s="32" t="s">
        <v>25</v>
      </c>
      <c r="D24" s="31" t="s">
        <v>109</v>
      </c>
      <c r="E24" s="39">
        <v>5.5</v>
      </c>
      <c r="F24" s="31" t="s">
        <v>10</v>
      </c>
      <c r="G24" s="31">
        <v>0.1</v>
      </c>
      <c r="H24" s="31">
        <v>0</v>
      </c>
      <c r="I24" s="31">
        <v>20</v>
      </c>
      <c r="J24" s="31" t="s">
        <v>29</v>
      </c>
      <c r="K24" s="32" t="s">
        <v>9</v>
      </c>
      <c r="L24" s="31" t="s">
        <v>109</v>
      </c>
      <c r="M24" s="32" t="s">
        <v>987</v>
      </c>
    </row>
    <row r="25" spans="1:156" s="11" customFormat="1" x14ac:dyDescent="0.3">
      <c r="A25"/>
      <c r="B25" s="19" t="s">
        <v>988</v>
      </c>
      <c r="C25" s="19" t="s">
        <v>25</v>
      </c>
      <c r="D25" t="s">
        <v>108</v>
      </c>
      <c r="E25" s="24">
        <v>60</v>
      </c>
      <c r="F25" t="s">
        <v>9</v>
      </c>
      <c r="G25"/>
      <c r="H25"/>
      <c r="I25"/>
      <c r="J25" t="s">
        <v>21</v>
      </c>
      <c r="K25" s="19" t="s">
        <v>9</v>
      </c>
      <c r="L25" t="s">
        <v>108</v>
      </c>
      <c r="M25" s="19" t="s">
        <v>987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</row>
    <row r="26" spans="1:156" s="31" customFormat="1" x14ac:dyDescent="0.3">
      <c r="B26" s="32" t="s">
        <v>988</v>
      </c>
      <c r="C26" s="32" t="s">
        <v>249</v>
      </c>
      <c r="D26" s="32" t="s">
        <v>251</v>
      </c>
      <c r="E26" s="40">
        <v>7172</v>
      </c>
      <c r="F26" s="31" t="s">
        <v>10</v>
      </c>
      <c r="G26" s="31">
        <v>1</v>
      </c>
      <c r="H26" s="31">
        <v>0</v>
      </c>
      <c r="I26" s="31">
        <v>100000</v>
      </c>
      <c r="J26" s="31" t="s">
        <v>1043</v>
      </c>
      <c r="K26" s="31" t="s">
        <v>10</v>
      </c>
      <c r="L26" s="32" t="s">
        <v>251</v>
      </c>
      <c r="M26" s="32" t="s">
        <v>987</v>
      </c>
    </row>
    <row r="27" spans="1:156" s="11" customFormat="1" x14ac:dyDescent="0.3">
      <c r="A27"/>
      <c r="B27" s="19" t="s">
        <v>240</v>
      </c>
      <c r="C27" s="19" t="s">
        <v>249</v>
      </c>
      <c r="D27" s="19" t="s">
        <v>30</v>
      </c>
      <c r="E27" s="24">
        <v>0.5</v>
      </c>
      <c r="F27" s="19" t="s">
        <v>9</v>
      </c>
      <c r="G27" s="19"/>
      <c r="H27"/>
      <c r="I27"/>
      <c r="J27" t="s">
        <v>28</v>
      </c>
      <c r="K27" t="s">
        <v>9</v>
      </c>
      <c r="L27" s="19" t="s">
        <v>30</v>
      </c>
      <c r="M27" s="19" t="s">
        <v>987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</row>
    <row r="28" spans="1:156" s="31" customFormat="1" x14ac:dyDescent="0.3">
      <c r="B28" s="32" t="s">
        <v>988</v>
      </c>
      <c r="C28" s="32" t="s">
        <v>250</v>
      </c>
      <c r="D28" s="32" t="s">
        <v>237</v>
      </c>
      <c r="E28" s="40">
        <v>2217</v>
      </c>
      <c r="F28" s="32" t="s">
        <v>10</v>
      </c>
      <c r="G28" s="32">
        <v>1</v>
      </c>
      <c r="H28" s="31">
        <v>0</v>
      </c>
      <c r="I28" s="31">
        <v>6000</v>
      </c>
      <c r="J28" s="31" t="s">
        <v>1043</v>
      </c>
      <c r="K28" s="31" t="s">
        <v>10</v>
      </c>
      <c r="L28" s="32" t="s">
        <v>1047</v>
      </c>
      <c r="M28" s="32" t="s">
        <v>987</v>
      </c>
    </row>
    <row r="29" spans="1:156" s="31" customFormat="1" x14ac:dyDescent="0.3">
      <c r="B29" s="32" t="s">
        <v>988</v>
      </c>
      <c r="C29" s="32" t="s">
        <v>250</v>
      </c>
      <c r="D29" s="32" t="s">
        <v>238</v>
      </c>
      <c r="E29" s="40">
        <v>2217</v>
      </c>
      <c r="F29" s="32" t="s">
        <v>10</v>
      </c>
      <c r="G29" s="32">
        <v>1</v>
      </c>
      <c r="H29" s="31">
        <v>0</v>
      </c>
      <c r="I29" s="31">
        <v>6000</v>
      </c>
      <c r="J29" s="31" t="s">
        <v>1043</v>
      </c>
      <c r="K29" s="31" t="s">
        <v>10</v>
      </c>
      <c r="L29" s="32" t="s">
        <v>1046</v>
      </c>
      <c r="M29" s="32" t="s">
        <v>987</v>
      </c>
    </row>
    <row r="30" spans="1:156" s="11" customFormat="1" x14ac:dyDescent="0.3">
      <c r="A30"/>
      <c r="B30" s="19" t="s">
        <v>240</v>
      </c>
      <c r="C30" s="19" t="s">
        <v>244</v>
      </c>
      <c r="D30" s="19" t="s">
        <v>243</v>
      </c>
      <c r="E30" s="26">
        <f>0.03</f>
        <v>0.03</v>
      </c>
      <c r="F30" s="19" t="s">
        <v>985</v>
      </c>
      <c r="G30" s="19"/>
      <c r="H30"/>
      <c r="I30"/>
      <c r="J30" t="s">
        <v>29</v>
      </c>
      <c r="K30" t="s">
        <v>9</v>
      </c>
      <c r="L30" s="19" t="s">
        <v>243</v>
      </c>
      <c r="M30" s="19" t="s">
        <v>987</v>
      </c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</row>
    <row r="31" spans="1:156" s="11" customFormat="1" x14ac:dyDescent="0.3">
      <c r="A31"/>
      <c r="B31" s="19" t="s">
        <v>240</v>
      </c>
      <c r="C31" s="19" t="s">
        <v>102</v>
      </c>
      <c r="D31" s="19" t="s">
        <v>68</v>
      </c>
      <c r="E31" s="26">
        <v>1.03</v>
      </c>
      <c r="F31" s="19" t="s">
        <v>9</v>
      </c>
      <c r="G31" s="19"/>
      <c r="H31"/>
      <c r="I31"/>
      <c r="J31" t="s">
        <v>26</v>
      </c>
      <c r="K31" t="s">
        <v>9</v>
      </c>
      <c r="L31" s="19" t="s">
        <v>68</v>
      </c>
      <c r="M31" s="19" t="s">
        <v>987</v>
      </c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</row>
    <row r="32" spans="1:156" s="31" customFormat="1" x14ac:dyDescent="0.3">
      <c r="B32" s="32" t="s">
        <v>990</v>
      </c>
      <c r="C32" s="32" t="s">
        <v>104</v>
      </c>
      <c r="D32" s="32" t="s">
        <v>991</v>
      </c>
      <c r="E32" s="41">
        <v>7.0000000000000001E-3</v>
      </c>
      <c r="F32" s="32" t="s">
        <v>10</v>
      </c>
      <c r="G32" s="32">
        <v>1.0000000000000001E-5</v>
      </c>
      <c r="H32" s="31">
        <v>0</v>
      </c>
      <c r="I32" s="31">
        <v>0.03</v>
      </c>
      <c r="J32" s="31" t="s">
        <v>105</v>
      </c>
      <c r="K32" s="31" t="s">
        <v>10</v>
      </c>
      <c r="L32" s="32" t="s">
        <v>1031</v>
      </c>
      <c r="M32" s="32" t="s">
        <v>987</v>
      </c>
    </row>
    <row r="33" spans="1:156" s="31" customFormat="1" x14ac:dyDescent="0.3">
      <c r="B33" s="32" t="s">
        <v>990</v>
      </c>
      <c r="C33" s="32" t="s">
        <v>103</v>
      </c>
      <c r="D33" s="32" t="s">
        <v>992</v>
      </c>
      <c r="E33" s="41">
        <v>2.9999999999999997E-4</v>
      </c>
      <c r="F33" s="32" t="s">
        <v>10</v>
      </c>
      <c r="G33" s="32">
        <v>1.0000000000000001E-5</v>
      </c>
      <c r="H33" s="31">
        <v>0</v>
      </c>
      <c r="I33" s="31">
        <v>0.03</v>
      </c>
      <c r="J33" s="31" t="s">
        <v>105</v>
      </c>
      <c r="K33" s="31" t="s">
        <v>10</v>
      </c>
      <c r="L33" s="32" t="s">
        <v>1032</v>
      </c>
      <c r="M33" s="32" t="s">
        <v>987</v>
      </c>
    </row>
    <row r="34" spans="1:156" s="31" customFormat="1" x14ac:dyDescent="0.3">
      <c r="B34" s="32" t="s">
        <v>990</v>
      </c>
      <c r="C34" s="32" t="s">
        <v>103</v>
      </c>
      <c r="D34" s="32" t="s">
        <v>993</v>
      </c>
      <c r="E34" s="41">
        <v>2.9999999999999997E-4</v>
      </c>
      <c r="F34" s="32" t="s">
        <v>10</v>
      </c>
      <c r="G34" s="32">
        <v>1.0000000000000001E-5</v>
      </c>
      <c r="H34" s="31">
        <v>0</v>
      </c>
      <c r="I34" s="31">
        <v>0.03</v>
      </c>
      <c r="J34" s="31" t="s">
        <v>105</v>
      </c>
      <c r="K34" s="31" t="s">
        <v>10</v>
      </c>
      <c r="L34" s="32" t="s">
        <v>1033</v>
      </c>
      <c r="M34" s="32" t="s">
        <v>987</v>
      </c>
    </row>
    <row r="35" spans="1:156" s="31" customFormat="1" x14ac:dyDescent="0.3">
      <c r="B35" s="32" t="s">
        <v>990</v>
      </c>
      <c r="C35" s="32" t="s">
        <v>103</v>
      </c>
      <c r="D35" s="32" t="s">
        <v>994</v>
      </c>
      <c r="E35" s="41">
        <v>2.9999999999999997E-4</v>
      </c>
      <c r="F35" s="32" t="s">
        <v>10</v>
      </c>
      <c r="G35" s="32">
        <v>1.0000000000000001E-5</v>
      </c>
      <c r="H35" s="31">
        <v>0</v>
      </c>
      <c r="I35" s="31">
        <v>0.03</v>
      </c>
      <c r="J35" s="31" t="s">
        <v>105</v>
      </c>
      <c r="K35" s="31" t="s">
        <v>10</v>
      </c>
      <c r="L35" s="32" t="s">
        <v>1034</v>
      </c>
      <c r="M35" s="32" t="s">
        <v>987</v>
      </c>
    </row>
    <row r="36" spans="1:156" s="31" customFormat="1" x14ac:dyDescent="0.3">
      <c r="B36" s="32" t="s">
        <v>990</v>
      </c>
      <c r="C36" s="32" t="s">
        <v>103</v>
      </c>
      <c r="D36" s="32" t="s">
        <v>995</v>
      </c>
      <c r="E36" s="41">
        <v>1E-3</v>
      </c>
      <c r="F36" s="32" t="s">
        <v>10</v>
      </c>
      <c r="G36" s="32">
        <v>1.0000000000000001E-5</v>
      </c>
      <c r="H36" s="31">
        <v>0</v>
      </c>
      <c r="I36" s="31">
        <v>0.03</v>
      </c>
      <c r="J36" s="31" t="s">
        <v>105</v>
      </c>
      <c r="K36" s="31" t="s">
        <v>10</v>
      </c>
      <c r="L36" s="32" t="s">
        <v>1035</v>
      </c>
      <c r="M36" s="32" t="s">
        <v>987</v>
      </c>
    </row>
    <row r="37" spans="1:156" s="31" customFormat="1" x14ac:dyDescent="0.3">
      <c r="B37" s="32" t="s">
        <v>990</v>
      </c>
      <c r="C37" s="32" t="s">
        <v>103</v>
      </c>
      <c r="D37" s="32" t="s">
        <v>996</v>
      </c>
      <c r="E37" s="41">
        <v>2E-3</v>
      </c>
      <c r="F37" s="32" t="s">
        <v>10</v>
      </c>
      <c r="G37" s="32">
        <v>1.0000000000000001E-5</v>
      </c>
      <c r="H37" s="31">
        <v>0</v>
      </c>
      <c r="I37" s="31">
        <v>0.03</v>
      </c>
      <c r="J37" s="31" t="s">
        <v>105</v>
      </c>
      <c r="K37" s="31" t="s">
        <v>10</v>
      </c>
      <c r="L37" s="32" t="s">
        <v>1036</v>
      </c>
      <c r="M37" s="32" t="s">
        <v>987</v>
      </c>
    </row>
    <row r="38" spans="1:156" s="31" customFormat="1" x14ac:dyDescent="0.3">
      <c r="B38" s="32" t="s">
        <v>990</v>
      </c>
      <c r="C38" s="32" t="s">
        <v>103</v>
      </c>
      <c r="D38" s="32" t="s">
        <v>997</v>
      </c>
      <c r="E38" s="41">
        <v>2E-3</v>
      </c>
      <c r="F38" s="32" t="s">
        <v>10</v>
      </c>
      <c r="G38" s="32">
        <v>1.0000000000000001E-5</v>
      </c>
      <c r="H38" s="31">
        <v>0</v>
      </c>
      <c r="I38" s="31">
        <v>0.03</v>
      </c>
      <c r="J38" s="31" t="s">
        <v>105</v>
      </c>
      <c r="K38" s="31" t="s">
        <v>10</v>
      </c>
      <c r="L38" s="32" t="s">
        <v>1037</v>
      </c>
      <c r="M38" s="32" t="s">
        <v>987</v>
      </c>
    </row>
    <row r="39" spans="1:156" s="11" customFormat="1" x14ac:dyDescent="0.3">
      <c r="A39"/>
      <c r="B39" s="19" t="s">
        <v>990</v>
      </c>
      <c r="C39" s="19" t="s">
        <v>248</v>
      </c>
      <c r="D39" s="19" t="s">
        <v>253</v>
      </c>
      <c r="E39" s="22">
        <v>0.2</v>
      </c>
      <c r="F39" s="19" t="s">
        <v>9</v>
      </c>
      <c r="G39" s="19"/>
      <c r="H39"/>
      <c r="I39"/>
      <c r="J39" t="s">
        <v>105</v>
      </c>
      <c r="K39" t="s">
        <v>9</v>
      </c>
      <c r="L39" s="19" t="s">
        <v>253</v>
      </c>
      <c r="M39" s="19" t="s">
        <v>987</v>
      </c>
      <c r="N39" s="19" t="s">
        <v>263</v>
      </c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6" s="11" customFormat="1" x14ac:dyDescent="0.3">
      <c r="A40"/>
      <c r="B40" s="19" t="s">
        <v>990</v>
      </c>
      <c r="C40" s="19" t="s">
        <v>248</v>
      </c>
      <c r="D40" s="19" t="s">
        <v>274</v>
      </c>
      <c r="E40" s="22">
        <v>0.2</v>
      </c>
      <c r="F40" s="19" t="s">
        <v>9</v>
      </c>
      <c r="G40" s="19"/>
      <c r="H40"/>
      <c r="I40"/>
      <c r="J40" t="s">
        <v>105</v>
      </c>
      <c r="K40" t="s">
        <v>9</v>
      </c>
      <c r="L40" s="19" t="s">
        <v>274</v>
      </c>
      <c r="M40" s="19" t="s">
        <v>987</v>
      </c>
      <c r="N40" s="19" t="s">
        <v>264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6" s="11" customFormat="1" x14ac:dyDescent="0.3">
      <c r="A41"/>
      <c r="B41" s="19" t="s">
        <v>990</v>
      </c>
      <c r="C41" s="19" t="s">
        <v>248</v>
      </c>
      <c r="D41" s="19" t="s">
        <v>254</v>
      </c>
      <c r="E41" s="22">
        <v>0.2</v>
      </c>
      <c r="F41" s="19" t="s">
        <v>9</v>
      </c>
      <c r="G41" s="19"/>
      <c r="H41"/>
      <c r="I41"/>
      <c r="J41" t="s">
        <v>105</v>
      </c>
      <c r="K41" t="s">
        <v>9</v>
      </c>
      <c r="L41" s="19" t="s">
        <v>254</v>
      </c>
      <c r="M41" s="19" t="s">
        <v>987</v>
      </c>
      <c r="N41" s="19" t="s">
        <v>265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6" s="11" customFormat="1" x14ac:dyDescent="0.3">
      <c r="A42"/>
      <c r="B42" s="19" t="s">
        <v>990</v>
      </c>
      <c r="C42" s="19" t="s">
        <v>248</v>
      </c>
      <c r="D42" s="19" t="s">
        <v>256</v>
      </c>
      <c r="E42" s="22">
        <v>0.2</v>
      </c>
      <c r="F42" s="19" t="s">
        <v>9</v>
      </c>
      <c r="G42" s="19"/>
      <c r="H42"/>
      <c r="I42"/>
      <c r="J42" t="s">
        <v>105</v>
      </c>
      <c r="K42" t="s">
        <v>9</v>
      </c>
      <c r="L42" s="19" t="s">
        <v>256</v>
      </c>
      <c r="M42" s="19" t="s">
        <v>987</v>
      </c>
      <c r="N42" s="19" t="s">
        <v>266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6" s="11" customFormat="1" x14ac:dyDescent="0.3">
      <c r="A43"/>
      <c r="B43" s="19" t="s">
        <v>990</v>
      </c>
      <c r="C43" s="19" t="s">
        <v>248</v>
      </c>
      <c r="D43" s="19" t="s">
        <v>255</v>
      </c>
      <c r="E43" s="22">
        <v>0.2</v>
      </c>
      <c r="F43" s="19" t="s">
        <v>9</v>
      </c>
      <c r="G43" s="19"/>
      <c r="H43"/>
      <c r="I43"/>
      <c r="J43" t="s">
        <v>105</v>
      </c>
      <c r="K43" t="s">
        <v>9</v>
      </c>
      <c r="L43" s="19" t="s">
        <v>255</v>
      </c>
      <c r="M43" s="19" t="s">
        <v>987</v>
      </c>
      <c r="N43" s="19" t="s">
        <v>267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6" s="11" customFormat="1" x14ac:dyDescent="0.3">
      <c r="A44"/>
      <c r="B44" s="19" t="s">
        <v>990</v>
      </c>
      <c r="C44" s="19" t="s">
        <v>248</v>
      </c>
      <c r="D44" s="19" t="s">
        <v>257</v>
      </c>
      <c r="E44" s="22">
        <v>0.2</v>
      </c>
      <c r="F44" s="19" t="s">
        <v>9</v>
      </c>
      <c r="G44" s="19"/>
      <c r="H44"/>
      <c r="I44"/>
      <c r="J44" t="s">
        <v>105</v>
      </c>
      <c r="K44" t="s">
        <v>9</v>
      </c>
      <c r="L44" s="19" t="s">
        <v>257</v>
      </c>
      <c r="M44" s="19" t="s">
        <v>987</v>
      </c>
      <c r="N44" s="19" t="s">
        <v>268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6" s="11" customFormat="1" x14ac:dyDescent="0.3">
      <c r="A45"/>
      <c r="B45" s="19" t="s">
        <v>990</v>
      </c>
      <c r="C45" s="19" t="s">
        <v>248</v>
      </c>
      <c r="D45" s="19" t="s">
        <v>258</v>
      </c>
      <c r="E45" s="22">
        <v>0.2</v>
      </c>
      <c r="F45" s="19" t="s">
        <v>9</v>
      </c>
      <c r="G45" s="19"/>
      <c r="H45"/>
      <c r="I45"/>
      <c r="J45" t="s">
        <v>105</v>
      </c>
      <c r="K45" t="s">
        <v>9</v>
      </c>
      <c r="L45" s="19" t="s">
        <v>258</v>
      </c>
      <c r="M45" s="19" t="s">
        <v>987</v>
      </c>
      <c r="N45" s="19" t="s">
        <v>269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6" s="11" customFormat="1" x14ac:dyDescent="0.3">
      <c r="A46"/>
      <c r="B46" s="19" t="s">
        <v>990</v>
      </c>
      <c r="C46" s="19" t="s">
        <v>248</v>
      </c>
      <c r="D46" s="19" t="s">
        <v>259</v>
      </c>
      <c r="E46" s="22">
        <v>0.2</v>
      </c>
      <c r="F46" s="19" t="s">
        <v>9</v>
      </c>
      <c r="G46" s="19"/>
      <c r="H46"/>
      <c r="I46"/>
      <c r="J46" t="s">
        <v>105</v>
      </c>
      <c r="K46" t="s">
        <v>9</v>
      </c>
      <c r="L46" s="19" t="s">
        <v>259</v>
      </c>
      <c r="M46" s="19" t="s">
        <v>987</v>
      </c>
      <c r="N46" s="19" t="s">
        <v>270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6" s="11" customFormat="1" x14ac:dyDescent="0.3">
      <c r="A47"/>
      <c r="B47" s="19" t="s">
        <v>990</v>
      </c>
      <c r="C47" s="19" t="s">
        <v>248</v>
      </c>
      <c r="D47" s="19" t="s">
        <v>260</v>
      </c>
      <c r="E47" s="22">
        <v>0.2</v>
      </c>
      <c r="F47" s="19" t="s">
        <v>9</v>
      </c>
      <c r="G47" s="19"/>
      <c r="H47"/>
      <c r="I47"/>
      <c r="J47" t="s">
        <v>105</v>
      </c>
      <c r="K47" t="s">
        <v>9</v>
      </c>
      <c r="L47" s="19" t="s">
        <v>260</v>
      </c>
      <c r="M47" s="19" t="s">
        <v>987</v>
      </c>
      <c r="N47" s="19" t="s">
        <v>271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6" s="11" customFormat="1" x14ac:dyDescent="0.3">
      <c r="A48"/>
      <c r="B48" s="19" t="s">
        <v>990</v>
      </c>
      <c r="C48" s="19" t="s">
        <v>248</v>
      </c>
      <c r="D48" s="19" t="s">
        <v>261</v>
      </c>
      <c r="E48" s="22">
        <v>0.2</v>
      </c>
      <c r="F48" s="19" t="s">
        <v>9</v>
      </c>
      <c r="G48" s="19"/>
      <c r="H48"/>
      <c r="I48"/>
      <c r="J48" t="s">
        <v>105</v>
      </c>
      <c r="K48" t="s">
        <v>9</v>
      </c>
      <c r="L48" s="19" t="s">
        <v>261</v>
      </c>
      <c r="M48" s="19" t="s">
        <v>987</v>
      </c>
      <c r="N48" s="19" t="s">
        <v>272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1:156" s="11" customFormat="1" x14ac:dyDescent="0.3">
      <c r="A49"/>
      <c r="B49" s="19" t="s">
        <v>990</v>
      </c>
      <c r="C49" s="19" t="s">
        <v>248</v>
      </c>
      <c r="D49" s="19" t="s">
        <v>262</v>
      </c>
      <c r="E49" s="22">
        <v>0.2</v>
      </c>
      <c r="F49" s="19" t="s">
        <v>9</v>
      </c>
      <c r="G49" s="19"/>
      <c r="H49"/>
      <c r="I49"/>
      <c r="J49" t="s">
        <v>105</v>
      </c>
      <c r="K49" t="s">
        <v>9</v>
      </c>
      <c r="L49" s="19" t="s">
        <v>262</v>
      </c>
      <c r="M49" s="19" t="s">
        <v>987</v>
      </c>
      <c r="N49" s="19" t="s">
        <v>273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1:156" s="31" customFormat="1" x14ac:dyDescent="0.3">
      <c r="B50" s="32" t="s">
        <v>990</v>
      </c>
      <c r="C50" s="32" t="s">
        <v>1048</v>
      </c>
      <c r="D50" s="32" t="s">
        <v>998</v>
      </c>
      <c r="E50" s="42">
        <v>0.1</v>
      </c>
      <c r="F50" s="32" t="s">
        <v>10</v>
      </c>
      <c r="G50" s="32">
        <v>1E-3</v>
      </c>
      <c r="H50" s="31">
        <v>0</v>
      </c>
      <c r="I50" s="31">
        <v>0.3</v>
      </c>
      <c r="J50" s="31" t="s">
        <v>105</v>
      </c>
      <c r="K50" s="31" t="s">
        <v>9</v>
      </c>
      <c r="L50" s="32" t="s">
        <v>1019</v>
      </c>
      <c r="M50" s="32" t="s">
        <v>987</v>
      </c>
    </row>
    <row r="51" spans="1:156" s="31" customFormat="1" x14ac:dyDescent="0.3">
      <c r="B51" s="32" t="s">
        <v>990</v>
      </c>
      <c r="C51" s="32" t="s">
        <v>1048</v>
      </c>
      <c r="D51" s="32" t="s">
        <v>999</v>
      </c>
      <c r="E51" s="42">
        <v>0.1</v>
      </c>
      <c r="F51" s="32" t="s">
        <v>10</v>
      </c>
      <c r="G51" s="32">
        <v>1E-3</v>
      </c>
      <c r="H51" s="31">
        <v>0</v>
      </c>
      <c r="I51" s="31">
        <v>0.3</v>
      </c>
      <c r="J51" s="31" t="s">
        <v>105</v>
      </c>
      <c r="K51" s="31" t="s">
        <v>9</v>
      </c>
      <c r="L51" s="32" t="s">
        <v>1020</v>
      </c>
      <c r="M51" s="32" t="s">
        <v>987</v>
      </c>
    </row>
    <row r="52" spans="1:156" s="31" customFormat="1" x14ac:dyDescent="0.3">
      <c r="B52" s="32" t="s">
        <v>990</v>
      </c>
      <c r="C52" s="32" t="s">
        <v>1048</v>
      </c>
      <c r="D52" s="32" t="s">
        <v>1000</v>
      </c>
      <c r="E52" s="42">
        <v>0.05</v>
      </c>
      <c r="F52" s="32" t="s">
        <v>10</v>
      </c>
      <c r="G52" s="32">
        <v>1E-3</v>
      </c>
      <c r="H52" s="31">
        <v>0</v>
      </c>
      <c r="I52" s="31">
        <v>0.3</v>
      </c>
      <c r="J52" s="31" t="s">
        <v>105</v>
      </c>
      <c r="K52" s="31" t="s">
        <v>9</v>
      </c>
      <c r="L52" s="32" t="s">
        <v>1021</v>
      </c>
      <c r="M52" s="32" t="s">
        <v>987</v>
      </c>
    </row>
    <row r="53" spans="1:156" s="31" customFormat="1" x14ac:dyDescent="0.3">
      <c r="B53" s="32" t="s">
        <v>990</v>
      </c>
      <c r="C53" s="32" t="s">
        <v>1048</v>
      </c>
      <c r="D53" s="32" t="s">
        <v>1001</v>
      </c>
      <c r="E53" s="42">
        <v>3.4000000000000002E-2</v>
      </c>
      <c r="F53" s="32" t="s">
        <v>10</v>
      </c>
      <c r="G53" s="32">
        <v>1E-3</v>
      </c>
      <c r="H53" s="31">
        <v>0</v>
      </c>
      <c r="I53" s="31">
        <v>0.3</v>
      </c>
      <c r="J53" s="31" t="s">
        <v>105</v>
      </c>
      <c r="K53" s="31" t="s">
        <v>9</v>
      </c>
      <c r="L53" s="32" t="s">
        <v>1022</v>
      </c>
      <c r="M53" s="32" t="s">
        <v>987</v>
      </c>
    </row>
    <row r="54" spans="1:156" s="31" customFormat="1" x14ac:dyDescent="0.3">
      <c r="B54" s="32" t="s">
        <v>990</v>
      </c>
      <c r="C54" s="32" t="s">
        <v>1048</v>
      </c>
      <c r="D54" s="32" t="s">
        <v>1002</v>
      </c>
      <c r="E54" s="42">
        <v>0.1</v>
      </c>
      <c r="F54" s="32" t="s">
        <v>10</v>
      </c>
      <c r="G54" s="32">
        <v>1E-3</v>
      </c>
      <c r="H54" s="31">
        <v>0</v>
      </c>
      <c r="I54" s="31">
        <v>0.3</v>
      </c>
      <c r="J54" s="31" t="s">
        <v>105</v>
      </c>
      <c r="K54" s="31" t="s">
        <v>9</v>
      </c>
      <c r="L54" s="32" t="s">
        <v>1023</v>
      </c>
      <c r="M54" s="32" t="s">
        <v>987</v>
      </c>
    </row>
    <row r="55" spans="1:156" s="31" customFormat="1" x14ac:dyDescent="0.3">
      <c r="B55" s="32" t="s">
        <v>990</v>
      </c>
      <c r="C55" s="32" t="s">
        <v>1048</v>
      </c>
      <c r="D55" s="32" t="s">
        <v>1003</v>
      </c>
      <c r="E55" s="42">
        <v>0.05</v>
      </c>
      <c r="F55" s="32" t="s">
        <v>10</v>
      </c>
      <c r="G55" s="32">
        <v>1E-3</v>
      </c>
      <c r="H55" s="31">
        <v>0</v>
      </c>
      <c r="I55" s="31">
        <v>0.3</v>
      </c>
      <c r="J55" s="31" t="s">
        <v>105</v>
      </c>
      <c r="K55" s="31" t="s">
        <v>9</v>
      </c>
      <c r="L55" s="32" t="s">
        <v>1024</v>
      </c>
      <c r="M55" s="32" t="s">
        <v>987</v>
      </c>
    </row>
    <row r="56" spans="1:156" s="31" customFormat="1" x14ac:dyDescent="0.3">
      <c r="B56" s="32" t="s">
        <v>990</v>
      </c>
      <c r="C56" s="32" t="s">
        <v>1049</v>
      </c>
      <c r="D56" s="32" t="s">
        <v>1004</v>
      </c>
      <c r="E56" s="42">
        <v>0.124</v>
      </c>
      <c r="F56" s="32" t="s">
        <v>10</v>
      </c>
      <c r="G56" s="32">
        <v>1E-3</v>
      </c>
      <c r="H56" s="31">
        <v>0</v>
      </c>
      <c r="I56" s="31">
        <v>0.3</v>
      </c>
      <c r="J56" s="31" t="s">
        <v>105</v>
      </c>
      <c r="K56" s="31" t="s">
        <v>9</v>
      </c>
      <c r="L56" s="32" t="s">
        <v>1025</v>
      </c>
      <c r="M56" s="32" t="s">
        <v>987</v>
      </c>
    </row>
    <row r="57" spans="1:156" s="31" customFormat="1" x14ac:dyDescent="0.3">
      <c r="B57" s="32" t="s">
        <v>990</v>
      </c>
      <c r="C57" s="32" t="s">
        <v>1049</v>
      </c>
      <c r="D57" s="32" t="s">
        <v>1005</v>
      </c>
      <c r="E57" s="42">
        <v>7.1999999999999995E-2</v>
      </c>
      <c r="F57" s="32" t="s">
        <v>10</v>
      </c>
      <c r="G57" s="32">
        <v>1E-3</v>
      </c>
      <c r="H57" s="31">
        <v>0</v>
      </c>
      <c r="I57" s="31">
        <v>0.3</v>
      </c>
      <c r="J57" s="31" t="s">
        <v>105</v>
      </c>
      <c r="K57" s="31" t="s">
        <v>9</v>
      </c>
      <c r="L57" s="32" t="s">
        <v>1026</v>
      </c>
      <c r="M57" s="32" t="s">
        <v>987</v>
      </c>
    </row>
    <row r="58" spans="1:156" s="31" customFormat="1" x14ac:dyDescent="0.3">
      <c r="B58" s="32" t="s">
        <v>990</v>
      </c>
      <c r="C58" s="32" t="s">
        <v>1049</v>
      </c>
      <c r="D58" s="32" t="s">
        <v>1006</v>
      </c>
      <c r="E58" s="42">
        <v>0.2</v>
      </c>
      <c r="F58" s="32" t="s">
        <v>10</v>
      </c>
      <c r="G58" s="32">
        <v>1E-3</v>
      </c>
      <c r="H58" s="31">
        <v>0</v>
      </c>
      <c r="I58" s="31">
        <v>0.3</v>
      </c>
      <c r="J58" s="31" t="s">
        <v>105</v>
      </c>
      <c r="K58" s="31" t="s">
        <v>9</v>
      </c>
      <c r="L58" s="32" t="s">
        <v>1027</v>
      </c>
      <c r="M58" s="32" t="s">
        <v>987</v>
      </c>
    </row>
    <row r="59" spans="1:156" s="31" customFormat="1" x14ac:dyDescent="0.3">
      <c r="B59" s="32" t="s">
        <v>990</v>
      </c>
      <c r="C59" s="32" t="s">
        <v>1049</v>
      </c>
      <c r="D59" s="32" t="s">
        <v>1007</v>
      </c>
      <c r="E59" s="42">
        <v>0.2</v>
      </c>
      <c r="F59" s="32" t="s">
        <v>10</v>
      </c>
      <c r="G59" s="32">
        <v>1E-3</v>
      </c>
      <c r="H59" s="31">
        <v>0</v>
      </c>
      <c r="I59" s="31">
        <v>0.3</v>
      </c>
      <c r="J59" s="31" t="s">
        <v>105</v>
      </c>
      <c r="K59" s="31" t="s">
        <v>9</v>
      </c>
      <c r="L59" s="32" t="s">
        <v>1028</v>
      </c>
      <c r="M59" s="32" t="s">
        <v>987</v>
      </c>
    </row>
    <row r="60" spans="1:156" s="31" customFormat="1" x14ac:dyDescent="0.3">
      <c r="B60" s="32" t="s">
        <v>990</v>
      </c>
      <c r="C60" s="32" t="s">
        <v>1049</v>
      </c>
      <c r="D60" s="32" t="s">
        <v>1008</v>
      </c>
      <c r="E60" s="42">
        <v>0.2</v>
      </c>
      <c r="F60" s="32" t="s">
        <v>10</v>
      </c>
      <c r="G60" s="32">
        <v>1E-3</v>
      </c>
      <c r="H60" s="31">
        <v>0</v>
      </c>
      <c r="I60" s="31">
        <v>0.3</v>
      </c>
      <c r="J60" s="31" t="s">
        <v>105</v>
      </c>
      <c r="K60" s="31" t="s">
        <v>9</v>
      </c>
      <c r="L60" s="32" t="s">
        <v>1029</v>
      </c>
      <c r="M60" s="32" t="s">
        <v>987</v>
      </c>
    </row>
    <row r="61" spans="1:156" s="31" customFormat="1" x14ac:dyDescent="0.3">
      <c r="B61" s="32" t="s">
        <v>990</v>
      </c>
      <c r="C61" s="32" t="s">
        <v>1050</v>
      </c>
      <c r="D61" s="32" t="s">
        <v>998</v>
      </c>
      <c r="E61" s="43">
        <v>2.41</v>
      </c>
      <c r="F61" s="32" t="s">
        <v>10</v>
      </c>
      <c r="G61" s="32">
        <v>1E-3</v>
      </c>
      <c r="H61" s="31">
        <v>0</v>
      </c>
      <c r="I61" s="31">
        <v>5</v>
      </c>
      <c r="J61" s="31" t="s">
        <v>806</v>
      </c>
      <c r="K61" s="31" t="s">
        <v>9</v>
      </c>
      <c r="L61" s="32" t="s">
        <v>1019</v>
      </c>
      <c r="M61" s="32" t="s">
        <v>987</v>
      </c>
      <c r="O61" s="31" t="s">
        <v>807</v>
      </c>
    </row>
    <row r="62" spans="1:156" s="31" customFormat="1" x14ac:dyDescent="0.3">
      <c r="B62" s="32" t="s">
        <v>990</v>
      </c>
      <c r="C62" s="32" t="s">
        <v>1050</v>
      </c>
      <c r="D62" s="32" t="s">
        <v>999</v>
      </c>
      <c r="E62" s="43">
        <v>1.66</v>
      </c>
      <c r="F62" s="32" t="s">
        <v>10</v>
      </c>
      <c r="G62" s="32">
        <v>1E-3</v>
      </c>
      <c r="H62" s="31">
        <v>0</v>
      </c>
      <c r="I62" s="31">
        <v>5</v>
      </c>
      <c r="J62" s="31" t="s">
        <v>806</v>
      </c>
      <c r="K62" s="31" t="s">
        <v>9</v>
      </c>
      <c r="L62" s="32" t="s">
        <v>1020</v>
      </c>
      <c r="M62" s="32" t="s">
        <v>987</v>
      </c>
    </row>
    <row r="63" spans="1:156" s="31" customFormat="1" x14ac:dyDescent="0.3">
      <c r="B63" s="32" t="s">
        <v>990</v>
      </c>
      <c r="C63" s="32" t="s">
        <v>1050</v>
      </c>
      <c r="D63" s="32" t="s">
        <v>1000</v>
      </c>
      <c r="E63" s="43">
        <v>0</v>
      </c>
      <c r="F63" s="32" t="s">
        <v>10</v>
      </c>
      <c r="G63" s="32">
        <v>1E-3</v>
      </c>
      <c r="H63" s="31">
        <v>0</v>
      </c>
      <c r="I63" s="31">
        <v>5</v>
      </c>
      <c r="J63" s="31" t="s">
        <v>806</v>
      </c>
      <c r="K63" s="31" t="s">
        <v>9</v>
      </c>
      <c r="L63" s="32" t="s">
        <v>1021</v>
      </c>
      <c r="M63" s="32" t="s">
        <v>987</v>
      </c>
    </row>
    <row r="64" spans="1:156" s="31" customFormat="1" x14ac:dyDescent="0.3">
      <c r="B64" s="32" t="s">
        <v>990</v>
      </c>
      <c r="C64" s="32" t="s">
        <v>1050</v>
      </c>
      <c r="D64" s="32" t="s">
        <v>1001</v>
      </c>
      <c r="E64" s="43">
        <v>0</v>
      </c>
      <c r="F64" s="32" t="s">
        <v>10</v>
      </c>
      <c r="G64" s="32">
        <v>1E-3</v>
      </c>
      <c r="H64" s="31">
        <v>0</v>
      </c>
      <c r="I64" s="31">
        <v>5</v>
      </c>
      <c r="J64" s="31" t="s">
        <v>806</v>
      </c>
      <c r="K64" s="31" t="s">
        <v>9</v>
      </c>
      <c r="L64" s="32" t="s">
        <v>1022</v>
      </c>
      <c r="M64" s="32" t="s">
        <v>987</v>
      </c>
    </row>
    <row r="65" spans="1:156" s="31" customFormat="1" x14ac:dyDescent="0.3">
      <c r="B65" s="32" t="s">
        <v>990</v>
      </c>
      <c r="C65" s="32" t="s">
        <v>1050</v>
      </c>
      <c r="D65" s="32" t="s">
        <v>1002</v>
      </c>
      <c r="E65" s="43">
        <v>0</v>
      </c>
      <c r="F65" s="32" t="s">
        <v>10</v>
      </c>
      <c r="G65" s="32">
        <v>1E-3</v>
      </c>
      <c r="H65" s="31">
        <v>0</v>
      </c>
      <c r="I65" s="31">
        <v>5</v>
      </c>
      <c r="J65" s="31" t="s">
        <v>806</v>
      </c>
      <c r="K65" s="31" t="s">
        <v>9</v>
      </c>
      <c r="L65" s="32" t="s">
        <v>1030</v>
      </c>
      <c r="M65" s="32" t="s">
        <v>987</v>
      </c>
    </row>
    <row r="66" spans="1:156" s="31" customFormat="1" x14ac:dyDescent="0.3">
      <c r="B66" s="32" t="s">
        <v>990</v>
      </c>
      <c r="C66" s="32" t="s">
        <v>1050</v>
      </c>
      <c r="D66" s="32" t="s">
        <v>1003</v>
      </c>
      <c r="E66" s="43">
        <v>0</v>
      </c>
      <c r="F66" s="32" t="s">
        <v>10</v>
      </c>
      <c r="G66" s="32">
        <v>1E-3</v>
      </c>
      <c r="H66" s="31">
        <v>0</v>
      </c>
      <c r="I66" s="31">
        <v>5</v>
      </c>
      <c r="J66" s="31" t="s">
        <v>806</v>
      </c>
      <c r="K66" s="31" t="s">
        <v>9</v>
      </c>
      <c r="L66" s="32" t="s">
        <v>1024</v>
      </c>
      <c r="M66" s="32" t="s">
        <v>987</v>
      </c>
    </row>
    <row r="67" spans="1:156" s="31" customFormat="1" x14ac:dyDescent="0.3">
      <c r="B67" s="32" t="s">
        <v>990</v>
      </c>
      <c r="C67" s="32" t="s">
        <v>1050</v>
      </c>
      <c r="D67" s="32" t="s">
        <v>1004</v>
      </c>
      <c r="E67" s="43">
        <v>1.71</v>
      </c>
      <c r="F67" s="32" t="s">
        <v>10</v>
      </c>
      <c r="G67" s="32">
        <v>1E-3</v>
      </c>
      <c r="H67" s="31">
        <v>0</v>
      </c>
      <c r="I67" s="31">
        <v>5</v>
      </c>
      <c r="J67" s="31" t="s">
        <v>806</v>
      </c>
      <c r="K67" s="31" t="s">
        <v>9</v>
      </c>
      <c r="L67" s="32" t="s">
        <v>1025</v>
      </c>
      <c r="M67" s="32" t="s">
        <v>987</v>
      </c>
    </row>
    <row r="68" spans="1:156" s="31" customFormat="1" x14ac:dyDescent="0.3">
      <c r="B68" s="32" t="s">
        <v>990</v>
      </c>
      <c r="C68" s="32" t="s">
        <v>1050</v>
      </c>
      <c r="D68" s="32" t="s">
        <v>1005</v>
      </c>
      <c r="E68" s="43">
        <v>1.75</v>
      </c>
      <c r="F68" s="32" t="s">
        <v>10</v>
      </c>
      <c r="G68" s="32">
        <v>1E-3</v>
      </c>
      <c r="H68" s="31">
        <v>0</v>
      </c>
      <c r="I68" s="31">
        <v>5</v>
      </c>
      <c r="J68" s="31" t="s">
        <v>806</v>
      </c>
      <c r="K68" s="31" t="s">
        <v>9</v>
      </c>
      <c r="L68" s="32" t="s">
        <v>1026</v>
      </c>
      <c r="M68" s="32" t="s">
        <v>987</v>
      </c>
    </row>
    <row r="69" spans="1:156" s="31" customFormat="1" x14ac:dyDescent="0.3">
      <c r="B69" s="32" t="s">
        <v>990</v>
      </c>
      <c r="C69" s="32" t="s">
        <v>1050</v>
      </c>
      <c r="D69" s="32" t="s">
        <v>1006</v>
      </c>
      <c r="E69" s="43">
        <v>0</v>
      </c>
      <c r="F69" s="32" t="s">
        <v>10</v>
      </c>
      <c r="G69" s="32">
        <v>1E-3</v>
      </c>
      <c r="H69" s="31">
        <v>0</v>
      </c>
      <c r="I69" s="31">
        <v>5</v>
      </c>
      <c r="J69" s="31" t="s">
        <v>806</v>
      </c>
      <c r="K69" s="31" t="s">
        <v>9</v>
      </c>
      <c r="L69" s="32" t="s">
        <v>1027</v>
      </c>
      <c r="M69" s="32" t="s">
        <v>987</v>
      </c>
    </row>
    <row r="70" spans="1:156" s="31" customFormat="1" x14ac:dyDescent="0.3">
      <c r="B70" s="32" t="s">
        <v>990</v>
      </c>
      <c r="C70" s="32" t="s">
        <v>1050</v>
      </c>
      <c r="D70" s="32" t="s">
        <v>1007</v>
      </c>
      <c r="E70" s="43">
        <v>0</v>
      </c>
      <c r="F70" s="32" t="s">
        <v>10</v>
      </c>
      <c r="G70" s="32">
        <v>1E-3</v>
      </c>
      <c r="H70" s="31">
        <v>0</v>
      </c>
      <c r="I70" s="31">
        <v>5</v>
      </c>
      <c r="J70" s="31" t="s">
        <v>806</v>
      </c>
      <c r="K70" s="31" t="s">
        <v>9</v>
      </c>
      <c r="L70" s="32" t="s">
        <v>1028</v>
      </c>
      <c r="M70" s="32" t="s">
        <v>987</v>
      </c>
    </row>
    <row r="71" spans="1:156" s="31" customFormat="1" x14ac:dyDescent="0.3">
      <c r="B71" s="32" t="s">
        <v>990</v>
      </c>
      <c r="C71" s="32" t="s">
        <v>1050</v>
      </c>
      <c r="D71" s="32" t="s">
        <v>1008</v>
      </c>
      <c r="E71" s="43">
        <v>0</v>
      </c>
      <c r="F71" s="32" t="s">
        <v>10</v>
      </c>
      <c r="G71" s="32">
        <v>1E-3</v>
      </c>
      <c r="H71" s="31">
        <v>0</v>
      </c>
      <c r="I71" s="31">
        <v>5</v>
      </c>
      <c r="J71" s="31" t="s">
        <v>806</v>
      </c>
      <c r="K71" s="31" t="s">
        <v>9</v>
      </c>
      <c r="L71" s="32" t="s">
        <v>1029</v>
      </c>
      <c r="M71" s="32" t="s">
        <v>987</v>
      </c>
    </row>
    <row r="72" spans="1:156" s="11" customFormat="1" x14ac:dyDescent="0.3">
      <c r="A72"/>
      <c r="B72" s="19" t="s">
        <v>990</v>
      </c>
      <c r="C72" s="19" t="s">
        <v>31</v>
      </c>
      <c r="D72" s="19" t="s">
        <v>278</v>
      </c>
      <c r="E72" s="26">
        <v>6.8</v>
      </c>
      <c r="F72" s="19" t="s">
        <v>9</v>
      </c>
      <c r="G72" s="19"/>
      <c r="H72"/>
      <c r="I72"/>
      <c r="J72" t="s">
        <v>21</v>
      </c>
      <c r="K72" t="s">
        <v>9</v>
      </c>
      <c r="L72" s="19" t="s">
        <v>278</v>
      </c>
      <c r="M72" s="19" t="s">
        <v>987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</row>
    <row r="73" spans="1:156" s="11" customFormat="1" x14ac:dyDescent="0.3">
      <c r="A73"/>
      <c r="B73" s="19" t="s">
        <v>990</v>
      </c>
      <c r="C73" s="19" t="s">
        <v>19</v>
      </c>
      <c r="D73" s="19" t="s">
        <v>275</v>
      </c>
      <c r="E73" s="23">
        <v>3.5999999999999997E-2</v>
      </c>
      <c r="F73" s="19" t="s">
        <v>9</v>
      </c>
      <c r="G73" s="19"/>
      <c r="H73"/>
      <c r="I73"/>
      <c r="J73" t="s">
        <v>28</v>
      </c>
      <c r="K73" t="s">
        <v>9</v>
      </c>
      <c r="L73" s="19" t="s">
        <v>275</v>
      </c>
      <c r="M73" s="19" t="s">
        <v>987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</row>
    <row r="74" spans="1:156" s="11" customFormat="1" x14ac:dyDescent="0.3">
      <c r="A74"/>
      <c r="B74" s="19" t="s">
        <v>990</v>
      </c>
      <c r="C74" s="19" t="s">
        <v>19</v>
      </c>
      <c r="D74" s="19" t="s">
        <v>493</v>
      </c>
      <c r="E74" s="23">
        <v>0.13300000000000001</v>
      </c>
      <c r="F74" s="19" t="s">
        <v>9</v>
      </c>
      <c r="G74" s="19"/>
      <c r="H74"/>
      <c r="I74"/>
      <c r="J74" t="s">
        <v>28</v>
      </c>
      <c r="K74" t="s">
        <v>9</v>
      </c>
      <c r="L74" s="19" t="s">
        <v>493</v>
      </c>
      <c r="M74" s="19" t="s">
        <v>987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</row>
    <row r="75" spans="1:156" s="11" customFormat="1" x14ac:dyDescent="0.3">
      <c r="A75"/>
      <c r="B75" s="19" t="s">
        <v>990</v>
      </c>
      <c r="C75" s="19" t="s">
        <v>19</v>
      </c>
      <c r="D75" s="19" t="s">
        <v>836</v>
      </c>
      <c r="E75" s="23">
        <v>0.128</v>
      </c>
      <c r="F75" s="19" t="s">
        <v>9</v>
      </c>
      <c r="G75" s="19"/>
      <c r="H75"/>
      <c r="I75"/>
      <c r="J75" t="s">
        <v>28</v>
      </c>
      <c r="K75" t="s">
        <v>9</v>
      </c>
      <c r="L75" s="19" t="s">
        <v>836</v>
      </c>
      <c r="M75" s="19" t="s">
        <v>987</v>
      </c>
      <c r="N75"/>
      <c r="O75" t="s">
        <v>808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</row>
    <row r="76" spans="1:156" s="11" customFormat="1" x14ac:dyDescent="0.3">
      <c r="A76"/>
      <c r="B76" s="19" t="s">
        <v>990</v>
      </c>
      <c r="C76" s="19" t="s">
        <v>19</v>
      </c>
      <c r="D76" s="19" t="s">
        <v>837</v>
      </c>
      <c r="E76" s="23">
        <v>0.24099999999999999</v>
      </c>
      <c r="F76" s="19" t="s">
        <v>9</v>
      </c>
      <c r="G76" s="19"/>
      <c r="H76"/>
      <c r="I76"/>
      <c r="J76" t="s">
        <v>28</v>
      </c>
      <c r="K76" t="s">
        <v>9</v>
      </c>
      <c r="L76" s="19" t="s">
        <v>837</v>
      </c>
      <c r="M76" s="19" t="s">
        <v>987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</row>
    <row r="77" spans="1:156" s="11" customFormat="1" x14ac:dyDescent="0.3">
      <c r="A77"/>
      <c r="B77" s="19" t="s">
        <v>990</v>
      </c>
      <c r="C77" s="19" t="s">
        <v>19</v>
      </c>
      <c r="D77" s="19" t="s">
        <v>838</v>
      </c>
      <c r="E77" s="23">
        <v>4.4999999999999998E-2</v>
      </c>
      <c r="F77" s="19" t="s">
        <v>9</v>
      </c>
      <c r="G77" s="19"/>
      <c r="H77"/>
      <c r="I77"/>
      <c r="J77" t="s">
        <v>28</v>
      </c>
      <c r="K77" t="s">
        <v>9</v>
      </c>
      <c r="L77" s="19" t="s">
        <v>838</v>
      </c>
      <c r="M77" s="19" t="s">
        <v>987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</row>
    <row r="78" spans="1:156" s="11" customFormat="1" x14ac:dyDescent="0.3">
      <c r="A78"/>
      <c r="B78" s="19" t="s">
        <v>990</v>
      </c>
      <c r="C78" s="19" t="s">
        <v>19</v>
      </c>
      <c r="D78" s="19" t="s">
        <v>839</v>
      </c>
      <c r="E78" s="23">
        <v>0.26500000000000001</v>
      </c>
      <c r="F78" s="19" t="s">
        <v>9</v>
      </c>
      <c r="G78" s="19"/>
      <c r="H78"/>
      <c r="I78"/>
      <c r="J78" t="s">
        <v>28</v>
      </c>
      <c r="K78" t="s">
        <v>9</v>
      </c>
      <c r="L78" s="19" t="s">
        <v>839</v>
      </c>
      <c r="M78" s="19" t="s">
        <v>987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</row>
    <row r="79" spans="1:156" s="11" customFormat="1" x14ac:dyDescent="0.3">
      <c r="A79"/>
      <c r="B79" s="19" t="s">
        <v>990</v>
      </c>
      <c r="C79" s="19" t="s">
        <v>235</v>
      </c>
      <c r="D79" s="45" t="s">
        <v>277</v>
      </c>
      <c r="E79" s="23">
        <v>0</v>
      </c>
      <c r="F79" s="45" t="s">
        <v>9</v>
      </c>
      <c r="G79" s="45"/>
      <c r="H79" s="46"/>
      <c r="I79" s="46"/>
      <c r="J79" t="s">
        <v>28</v>
      </c>
      <c r="K79" t="s">
        <v>9</v>
      </c>
      <c r="L79" s="19" t="s">
        <v>277</v>
      </c>
      <c r="M79" s="19" t="s">
        <v>987</v>
      </c>
      <c r="N79" t="s">
        <v>236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</row>
    <row r="80" spans="1:156" s="11" customFormat="1" x14ac:dyDescent="0.3">
      <c r="A80"/>
      <c r="B80" s="19" t="s">
        <v>990</v>
      </c>
      <c r="C80" s="19" t="s">
        <v>235</v>
      </c>
      <c r="D80" s="45" t="s">
        <v>487</v>
      </c>
      <c r="E80" s="23">
        <f>(1-E73)</f>
        <v>0.96399999999999997</v>
      </c>
      <c r="F80" s="45" t="s">
        <v>9</v>
      </c>
      <c r="G80" s="45"/>
      <c r="H80" s="46"/>
      <c r="I80" s="46"/>
      <c r="J80" t="s">
        <v>28</v>
      </c>
      <c r="K80" t="s">
        <v>9</v>
      </c>
      <c r="L80" s="19" t="s">
        <v>487</v>
      </c>
      <c r="M80" s="19" t="s">
        <v>987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</row>
    <row r="81" spans="1:156" s="11" customFormat="1" x14ac:dyDescent="0.3">
      <c r="A81"/>
      <c r="B81" s="19" t="s">
        <v>990</v>
      </c>
      <c r="C81" s="19" t="s">
        <v>235</v>
      </c>
      <c r="D81" s="45" t="s">
        <v>488</v>
      </c>
      <c r="E81" s="23">
        <f>(1-E74)</f>
        <v>0.86699999999999999</v>
      </c>
      <c r="F81" s="45" t="s">
        <v>9</v>
      </c>
      <c r="G81" s="45"/>
      <c r="H81" s="46"/>
      <c r="I81" s="46"/>
      <c r="J81" t="s">
        <v>28</v>
      </c>
      <c r="K81" t="s">
        <v>9</v>
      </c>
      <c r="L81" s="19" t="s">
        <v>488</v>
      </c>
      <c r="M81" s="19" t="s">
        <v>987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</row>
    <row r="82" spans="1:156" s="11" customFormat="1" x14ac:dyDescent="0.3">
      <c r="A82"/>
      <c r="B82" s="19" t="s">
        <v>990</v>
      </c>
      <c r="C82" s="19" t="s">
        <v>235</v>
      </c>
      <c r="D82" s="45" t="s">
        <v>489</v>
      </c>
      <c r="E82" s="23">
        <f>(1-E75)</f>
        <v>0.872</v>
      </c>
      <c r="F82" s="45" t="s">
        <v>9</v>
      </c>
      <c r="G82" s="45"/>
      <c r="H82" s="46"/>
      <c r="I82" s="46"/>
      <c r="J82" t="s">
        <v>28</v>
      </c>
      <c r="K82" t="s">
        <v>9</v>
      </c>
      <c r="L82" s="19" t="s">
        <v>489</v>
      </c>
      <c r="M82" s="19" t="s">
        <v>987</v>
      </c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</row>
    <row r="83" spans="1:156" s="11" customFormat="1" x14ac:dyDescent="0.3">
      <c r="A83"/>
      <c r="B83" s="19" t="s">
        <v>990</v>
      </c>
      <c r="C83" s="19" t="s">
        <v>235</v>
      </c>
      <c r="D83" s="45" t="s">
        <v>490</v>
      </c>
      <c r="E83" s="23">
        <f>(1-E76)</f>
        <v>0.75900000000000001</v>
      </c>
      <c r="F83" s="45" t="s">
        <v>9</v>
      </c>
      <c r="G83" s="45"/>
      <c r="H83" s="46"/>
      <c r="I83" s="46"/>
      <c r="J83" t="s">
        <v>28</v>
      </c>
      <c r="K83" t="s">
        <v>9</v>
      </c>
      <c r="L83" s="19" t="s">
        <v>490</v>
      </c>
      <c r="M83" s="19" t="s">
        <v>987</v>
      </c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</row>
    <row r="84" spans="1:156" s="11" customFormat="1" x14ac:dyDescent="0.3">
      <c r="A84"/>
      <c r="B84" s="19" t="s">
        <v>990</v>
      </c>
      <c r="C84" s="19" t="s">
        <v>235</v>
      </c>
      <c r="D84" s="45" t="s">
        <v>491</v>
      </c>
      <c r="E84" s="23">
        <f t="shared" ref="E84:E85" si="0">(1-E77)</f>
        <v>0.95499999999999996</v>
      </c>
      <c r="F84" s="45" t="s">
        <v>9</v>
      </c>
      <c r="G84" s="45"/>
      <c r="H84" s="46"/>
      <c r="I84" s="46"/>
      <c r="J84" t="s">
        <v>28</v>
      </c>
      <c r="K84" t="s">
        <v>9</v>
      </c>
      <c r="L84" s="19" t="s">
        <v>491</v>
      </c>
      <c r="M84" s="19" t="s">
        <v>987</v>
      </c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</row>
    <row r="85" spans="1:156" s="11" customFormat="1" x14ac:dyDescent="0.3">
      <c r="A85"/>
      <c r="B85" s="19" t="s">
        <v>990</v>
      </c>
      <c r="C85" s="19" t="s">
        <v>235</v>
      </c>
      <c r="D85" s="45" t="s">
        <v>492</v>
      </c>
      <c r="E85" s="23">
        <f t="shared" si="0"/>
        <v>0.73499999999999999</v>
      </c>
      <c r="F85" s="45" t="s">
        <v>9</v>
      </c>
      <c r="G85" s="45"/>
      <c r="H85" s="46"/>
      <c r="I85" s="46"/>
      <c r="J85" t="s">
        <v>28</v>
      </c>
      <c r="K85" t="s">
        <v>9</v>
      </c>
      <c r="L85" s="19" t="s">
        <v>492</v>
      </c>
      <c r="M85" s="19" t="s">
        <v>987</v>
      </c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</row>
    <row r="86" spans="1:156" s="11" customFormat="1" x14ac:dyDescent="0.3">
      <c r="A86"/>
      <c r="B86" s="19" t="s">
        <v>990</v>
      </c>
      <c r="C86" s="19" t="s">
        <v>149</v>
      </c>
      <c r="D86" s="19" t="s">
        <v>106</v>
      </c>
      <c r="E86" s="25">
        <v>4500</v>
      </c>
      <c r="F86" t="s">
        <v>9</v>
      </c>
      <c r="G86"/>
      <c r="H86">
        <v>0</v>
      </c>
      <c r="I86">
        <v>100000</v>
      </c>
      <c r="J86" t="s">
        <v>1043</v>
      </c>
      <c r="K86" t="s">
        <v>9</v>
      </c>
      <c r="L86" s="19" t="s">
        <v>106</v>
      </c>
      <c r="M86" s="19" t="s">
        <v>987</v>
      </c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</row>
    <row r="87" spans="1:156" s="31" customFormat="1" x14ac:dyDescent="0.3">
      <c r="B87" s="32" t="s">
        <v>990</v>
      </c>
      <c r="C87" s="32" t="s">
        <v>250</v>
      </c>
      <c r="D87" s="32" t="s">
        <v>276</v>
      </c>
      <c r="E87" s="40">
        <v>0</v>
      </c>
      <c r="F87" s="32" t="s">
        <v>10</v>
      </c>
      <c r="G87" s="31">
        <v>1</v>
      </c>
      <c r="H87" s="31">
        <v>0</v>
      </c>
      <c r="I87" s="31">
        <v>2000</v>
      </c>
      <c r="J87" s="31" t="s">
        <v>1043</v>
      </c>
      <c r="K87" s="31" t="s">
        <v>10</v>
      </c>
      <c r="L87" s="44" t="s">
        <v>1045</v>
      </c>
      <c r="M87" s="32" t="s">
        <v>987</v>
      </c>
    </row>
    <row r="88" spans="1:156" s="31" customFormat="1" x14ac:dyDescent="0.3">
      <c r="B88" s="32" t="s">
        <v>990</v>
      </c>
      <c r="C88" s="32" t="s">
        <v>250</v>
      </c>
      <c r="D88" s="32" t="s">
        <v>1016</v>
      </c>
      <c r="E88" s="39">
        <v>900</v>
      </c>
      <c r="F88" s="32" t="s">
        <v>10</v>
      </c>
      <c r="G88" s="32">
        <v>1</v>
      </c>
      <c r="H88" s="31">
        <v>0</v>
      </c>
      <c r="I88" s="31">
        <v>2000</v>
      </c>
      <c r="J88" s="31" t="s">
        <v>1043</v>
      </c>
      <c r="K88" s="31" t="s">
        <v>10</v>
      </c>
      <c r="L88" s="32" t="s">
        <v>1044</v>
      </c>
      <c r="M88" s="32" t="s">
        <v>987</v>
      </c>
    </row>
    <row r="89" spans="1:156" s="31" customFormat="1" x14ac:dyDescent="0.3">
      <c r="B89" s="32" t="s">
        <v>990</v>
      </c>
      <c r="C89" s="31" t="s">
        <v>1053</v>
      </c>
      <c r="D89" s="32" t="s">
        <v>1009</v>
      </c>
      <c r="E89" s="40">
        <v>526</v>
      </c>
      <c r="F89" s="32" t="s">
        <v>10</v>
      </c>
      <c r="G89" s="32">
        <v>1</v>
      </c>
      <c r="H89" s="31">
        <v>0</v>
      </c>
      <c r="I89" s="31">
        <v>10000</v>
      </c>
      <c r="J89" s="31" t="s">
        <v>1043</v>
      </c>
      <c r="K89" s="31" t="s">
        <v>10</v>
      </c>
      <c r="L89" s="32" t="s">
        <v>1019</v>
      </c>
      <c r="M89" s="32" t="s">
        <v>987</v>
      </c>
      <c r="N89" s="31" t="s">
        <v>486</v>
      </c>
    </row>
    <row r="90" spans="1:156" s="31" customFormat="1" x14ac:dyDescent="0.3">
      <c r="B90" s="32" t="s">
        <v>990</v>
      </c>
      <c r="C90" s="31" t="s">
        <v>1053</v>
      </c>
      <c r="D90" s="32" t="s">
        <v>1010</v>
      </c>
      <c r="E90" s="40">
        <v>445</v>
      </c>
      <c r="F90" s="32" t="s">
        <v>10</v>
      </c>
      <c r="G90" s="32">
        <v>1</v>
      </c>
      <c r="H90" s="31">
        <v>0</v>
      </c>
      <c r="I90" s="31">
        <v>10000</v>
      </c>
      <c r="J90" s="31" t="s">
        <v>1043</v>
      </c>
      <c r="K90" s="31" t="s">
        <v>10</v>
      </c>
      <c r="L90" s="32" t="s">
        <v>1020</v>
      </c>
      <c r="M90" s="32" t="s">
        <v>987</v>
      </c>
    </row>
    <row r="91" spans="1:156" s="31" customFormat="1" x14ac:dyDescent="0.3">
      <c r="B91" s="32" t="s">
        <v>990</v>
      </c>
      <c r="C91" s="31" t="s">
        <v>1053</v>
      </c>
      <c r="D91" s="31" t="s">
        <v>1011</v>
      </c>
      <c r="E91" s="40">
        <v>0</v>
      </c>
      <c r="F91" s="32" t="s">
        <v>10</v>
      </c>
      <c r="G91" s="32">
        <v>1</v>
      </c>
      <c r="H91" s="31">
        <v>0</v>
      </c>
      <c r="I91" s="31">
        <v>10000</v>
      </c>
      <c r="J91" s="31" t="s">
        <v>1043</v>
      </c>
      <c r="K91" s="31" t="s">
        <v>10</v>
      </c>
      <c r="L91" s="32" t="s">
        <v>1022</v>
      </c>
      <c r="M91" s="32" t="s">
        <v>987</v>
      </c>
    </row>
    <row r="92" spans="1:156" s="31" customFormat="1" x14ac:dyDescent="0.3">
      <c r="B92" s="32" t="s">
        <v>990</v>
      </c>
      <c r="C92" s="31" t="s">
        <v>1053</v>
      </c>
      <c r="D92" s="32" t="s">
        <v>1012</v>
      </c>
      <c r="E92" s="40">
        <v>0</v>
      </c>
      <c r="F92" s="32" t="s">
        <v>10</v>
      </c>
      <c r="G92" s="32">
        <v>1</v>
      </c>
      <c r="H92" s="31">
        <v>0</v>
      </c>
      <c r="I92" s="31">
        <v>10000</v>
      </c>
      <c r="J92" s="31" t="s">
        <v>1043</v>
      </c>
      <c r="K92" s="31" t="s">
        <v>10</v>
      </c>
      <c r="L92" s="32" t="s">
        <v>1023</v>
      </c>
      <c r="M92" s="32" t="s">
        <v>987</v>
      </c>
    </row>
    <row r="93" spans="1:156" s="31" customFormat="1" x14ac:dyDescent="0.3">
      <c r="B93" s="32" t="s">
        <v>990</v>
      </c>
      <c r="C93" s="31" t="s">
        <v>1053</v>
      </c>
      <c r="D93" s="32" t="s">
        <v>1013</v>
      </c>
      <c r="E93" s="40">
        <v>0</v>
      </c>
      <c r="F93" s="32" t="s">
        <v>10</v>
      </c>
      <c r="G93" s="32">
        <v>1</v>
      </c>
      <c r="H93" s="31">
        <v>0</v>
      </c>
      <c r="I93" s="31">
        <v>10000</v>
      </c>
      <c r="J93" s="31" t="s">
        <v>1043</v>
      </c>
      <c r="K93" s="31" t="s">
        <v>10</v>
      </c>
      <c r="L93" s="32" t="s">
        <v>1024</v>
      </c>
      <c r="M93" s="32" t="s">
        <v>987</v>
      </c>
    </row>
    <row r="94" spans="1:156" s="31" customFormat="1" x14ac:dyDescent="0.3">
      <c r="B94" s="32" t="s">
        <v>990</v>
      </c>
      <c r="C94" s="31" t="s">
        <v>1053</v>
      </c>
      <c r="D94" s="32" t="s">
        <v>1014</v>
      </c>
      <c r="E94" s="40">
        <v>1193</v>
      </c>
      <c r="F94" s="32" t="s">
        <v>10</v>
      </c>
      <c r="G94" s="32">
        <v>1</v>
      </c>
      <c r="H94" s="31">
        <v>0</v>
      </c>
      <c r="I94" s="31">
        <v>10000</v>
      </c>
      <c r="J94" s="31" t="s">
        <v>1043</v>
      </c>
      <c r="K94" s="31" t="s">
        <v>10</v>
      </c>
      <c r="L94" s="32" t="s">
        <v>1025</v>
      </c>
      <c r="M94" s="32" t="s">
        <v>987</v>
      </c>
    </row>
    <row r="95" spans="1:156" s="31" customFormat="1" x14ac:dyDescent="0.3">
      <c r="B95" s="32" t="s">
        <v>990</v>
      </c>
      <c r="C95" s="31" t="s">
        <v>1053</v>
      </c>
      <c r="D95" s="32" t="s">
        <v>1015</v>
      </c>
      <c r="E95" s="40">
        <v>0</v>
      </c>
      <c r="F95" s="32" t="s">
        <v>10</v>
      </c>
      <c r="G95" s="32">
        <v>1</v>
      </c>
      <c r="H95" s="31">
        <v>0</v>
      </c>
      <c r="I95" s="31">
        <v>10000</v>
      </c>
      <c r="J95" s="31" t="s">
        <v>1043</v>
      </c>
      <c r="K95" s="31" t="s">
        <v>10</v>
      </c>
      <c r="L95" s="32" t="s">
        <v>1026</v>
      </c>
      <c r="M95" s="32" t="s">
        <v>987</v>
      </c>
      <c r="N95" s="31" t="s">
        <v>984</v>
      </c>
    </row>
    <row r="96" spans="1:156" s="11" customFormat="1" x14ac:dyDescent="0.3">
      <c r="A96"/>
      <c r="B96" s="19" t="s">
        <v>990</v>
      </c>
      <c r="C96" t="s">
        <v>193</v>
      </c>
      <c r="D96" t="s">
        <v>194</v>
      </c>
      <c r="E96" s="25">
        <v>1</v>
      </c>
      <c r="F96" s="19" t="s">
        <v>9</v>
      </c>
      <c r="G96" s="19"/>
      <c r="H96"/>
      <c r="I96"/>
      <c r="J96" t="s">
        <v>234</v>
      </c>
      <c r="K96" t="s">
        <v>9</v>
      </c>
      <c r="L96" t="s">
        <v>194</v>
      </c>
      <c r="M96" s="19" t="s">
        <v>987</v>
      </c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</row>
    <row r="97" spans="1:156" s="11" customFormat="1" x14ac:dyDescent="0.3">
      <c r="A97"/>
      <c r="B97" s="19" t="s">
        <v>990</v>
      </c>
      <c r="C97" t="s">
        <v>193</v>
      </c>
      <c r="D97" t="s">
        <v>195</v>
      </c>
      <c r="E97" s="25">
        <v>2</v>
      </c>
      <c r="F97" s="19" t="s">
        <v>9</v>
      </c>
      <c r="G97" s="19"/>
      <c r="H97"/>
      <c r="I97"/>
      <c r="J97" t="s">
        <v>234</v>
      </c>
      <c r="K97" t="s">
        <v>9</v>
      </c>
      <c r="L97" t="s">
        <v>195</v>
      </c>
      <c r="M97" s="19" t="s">
        <v>987</v>
      </c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</row>
    <row r="98" spans="1:156" s="11" customFormat="1" x14ac:dyDescent="0.3">
      <c r="A98"/>
      <c r="B98" s="19" t="s">
        <v>990</v>
      </c>
      <c r="C98" t="s">
        <v>193</v>
      </c>
      <c r="D98" t="s">
        <v>196</v>
      </c>
      <c r="E98" s="25">
        <v>3</v>
      </c>
      <c r="F98" s="19" t="s">
        <v>9</v>
      </c>
      <c r="G98" s="19"/>
      <c r="H98"/>
      <c r="I98"/>
      <c r="J98" t="s">
        <v>234</v>
      </c>
      <c r="K98" t="s">
        <v>9</v>
      </c>
      <c r="L98" t="s">
        <v>196</v>
      </c>
      <c r="M98" s="19" t="s">
        <v>987</v>
      </c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</row>
    <row r="99" spans="1:156" s="11" customFormat="1" x14ac:dyDescent="0.3">
      <c r="A99"/>
      <c r="B99" s="19" t="s">
        <v>990</v>
      </c>
      <c r="C99" t="s">
        <v>193</v>
      </c>
      <c r="D99" t="s">
        <v>197</v>
      </c>
      <c r="E99" s="25">
        <v>4</v>
      </c>
      <c r="F99" s="19" t="s">
        <v>9</v>
      </c>
      <c r="G99" s="19"/>
      <c r="H99"/>
      <c r="I99"/>
      <c r="J99" t="s">
        <v>234</v>
      </c>
      <c r="K99" t="s">
        <v>9</v>
      </c>
      <c r="L99" t="s">
        <v>197</v>
      </c>
      <c r="M99" s="19" t="s">
        <v>987</v>
      </c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</row>
    <row r="100" spans="1:156" s="11" customFormat="1" x14ac:dyDescent="0.3">
      <c r="A100"/>
      <c r="B100" s="19" t="s">
        <v>990</v>
      </c>
      <c r="C100" t="s">
        <v>193</v>
      </c>
      <c r="D100" t="s">
        <v>198</v>
      </c>
      <c r="E100" s="25">
        <v>5</v>
      </c>
      <c r="F100" s="19" t="s">
        <v>9</v>
      </c>
      <c r="G100" s="19"/>
      <c r="H100"/>
      <c r="I100"/>
      <c r="J100" t="s">
        <v>234</v>
      </c>
      <c r="K100" t="s">
        <v>9</v>
      </c>
      <c r="L100" t="s">
        <v>198</v>
      </c>
      <c r="M100" s="19" t="s">
        <v>987</v>
      </c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</row>
    <row r="101" spans="1:156" s="11" customFormat="1" x14ac:dyDescent="0.3">
      <c r="A101"/>
      <c r="B101" s="19" t="s">
        <v>990</v>
      </c>
      <c r="C101" t="s">
        <v>193</v>
      </c>
      <c r="D101" t="s">
        <v>199</v>
      </c>
      <c r="E101" s="25">
        <v>6</v>
      </c>
      <c r="F101" s="19" t="s">
        <v>9</v>
      </c>
      <c r="G101" s="19"/>
      <c r="H101"/>
      <c r="I101"/>
      <c r="J101" t="s">
        <v>234</v>
      </c>
      <c r="K101" t="s">
        <v>9</v>
      </c>
      <c r="L101" t="s">
        <v>199</v>
      </c>
      <c r="M101" s="19" t="s">
        <v>987</v>
      </c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</row>
    <row r="102" spans="1:156" s="11" customFormat="1" x14ac:dyDescent="0.3">
      <c r="A102"/>
      <c r="B102" s="19" t="s">
        <v>990</v>
      </c>
      <c r="C102" t="s">
        <v>193</v>
      </c>
      <c r="D102" t="s">
        <v>200</v>
      </c>
      <c r="E102" s="25">
        <v>7</v>
      </c>
      <c r="F102" s="19" t="s">
        <v>9</v>
      </c>
      <c r="G102" s="19"/>
      <c r="H102"/>
      <c r="I102"/>
      <c r="J102" t="s">
        <v>234</v>
      </c>
      <c r="K102" t="s">
        <v>9</v>
      </c>
      <c r="L102" t="s">
        <v>200</v>
      </c>
      <c r="M102" s="19" t="s">
        <v>987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</row>
    <row r="103" spans="1:156" s="11" customFormat="1" x14ac:dyDescent="0.3">
      <c r="A103"/>
      <c r="B103" s="19" t="s">
        <v>990</v>
      </c>
      <c r="C103" t="s">
        <v>193</v>
      </c>
      <c r="D103" t="s">
        <v>201</v>
      </c>
      <c r="E103" s="25">
        <v>8</v>
      </c>
      <c r="F103" s="19" t="s">
        <v>9</v>
      </c>
      <c r="G103" s="19"/>
      <c r="H103"/>
      <c r="I103"/>
      <c r="J103" t="s">
        <v>234</v>
      </c>
      <c r="K103" t="s">
        <v>9</v>
      </c>
      <c r="L103" t="s">
        <v>201</v>
      </c>
      <c r="M103" s="19" t="s">
        <v>987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</row>
    <row r="104" spans="1:156" s="11" customFormat="1" x14ac:dyDescent="0.3">
      <c r="A104"/>
      <c r="B104" s="19" t="s">
        <v>990</v>
      </c>
      <c r="C104" t="s">
        <v>193</v>
      </c>
      <c r="D104" t="s">
        <v>202</v>
      </c>
      <c r="E104" s="25">
        <v>9</v>
      </c>
      <c r="F104" s="19" t="s">
        <v>9</v>
      </c>
      <c r="G104" s="19"/>
      <c r="H104"/>
      <c r="I104"/>
      <c r="J104" t="s">
        <v>234</v>
      </c>
      <c r="K104" t="s">
        <v>9</v>
      </c>
      <c r="L104" t="s">
        <v>202</v>
      </c>
      <c r="M104" s="19" t="s">
        <v>987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</row>
    <row r="105" spans="1:156" s="11" customFormat="1" x14ac:dyDescent="0.3">
      <c r="A105"/>
      <c r="B105" s="19" t="s">
        <v>990</v>
      </c>
      <c r="C105" t="s">
        <v>193</v>
      </c>
      <c r="D105" t="s">
        <v>203</v>
      </c>
      <c r="E105" s="25">
        <v>10</v>
      </c>
      <c r="F105" s="19" t="s">
        <v>9</v>
      </c>
      <c r="G105" s="19"/>
      <c r="H105"/>
      <c r="I105"/>
      <c r="J105" t="s">
        <v>234</v>
      </c>
      <c r="K105" t="s">
        <v>9</v>
      </c>
      <c r="L105" t="s">
        <v>203</v>
      </c>
      <c r="M105" s="19" t="s">
        <v>987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</row>
    <row r="106" spans="1:156" s="11" customFormat="1" x14ac:dyDescent="0.3">
      <c r="A106"/>
      <c r="B106" s="19" t="s">
        <v>990</v>
      </c>
      <c r="C106" t="s">
        <v>193</v>
      </c>
      <c r="D106" t="s">
        <v>204</v>
      </c>
      <c r="E106" s="25">
        <v>11</v>
      </c>
      <c r="F106" s="19" t="s">
        <v>9</v>
      </c>
      <c r="G106" s="19"/>
      <c r="H106"/>
      <c r="I106"/>
      <c r="J106" t="s">
        <v>234</v>
      </c>
      <c r="K106" t="s">
        <v>9</v>
      </c>
      <c r="L106" t="s">
        <v>204</v>
      </c>
      <c r="M106" s="19" t="s">
        <v>987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</row>
    <row r="107" spans="1:156" s="11" customFormat="1" x14ac:dyDescent="0.3">
      <c r="A107"/>
      <c r="B107" s="19" t="s">
        <v>990</v>
      </c>
      <c r="C107" t="s">
        <v>193</v>
      </c>
      <c r="D107" t="s">
        <v>205</v>
      </c>
      <c r="E107" s="25">
        <v>12</v>
      </c>
      <c r="F107" s="19" t="s">
        <v>9</v>
      </c>
      <c r="G107" s="19"/>
      <c r="H107"/>
      <c r="I107"/>
      <c r="J107" t="s">
        <v>234</v>
      </c>
      <c r="K107" t="s">
        <v>9</v>
      </c>
      <c r="L107" t="s">
        <v>205</v>
      </c>
      <c r="M107" s="19" t="s">
        <v>987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</row>
    <row r="108" spans="1:156" s="11" customFormat="1" x14ac:dyDescent="0.3">
      <c r="A108"/>
      <c r="B108" s="19" t="s">
        <v>990</v>
      </c>
      <c r="C108" t="s">
        <v>193</v>
      </c>
      <c r="D108" t="s">
        <v>206</v>
      </c>
      <c r="E108" s="25">
        <v>13</v>
      </c>
      <c r="F108" s="19" t="s">
        <v>9</v>
      </c>
      <c r="G108" s="19"/>
      <c r="H108"/>
      <c r="I108"/>
      <c r="J108" t="s">
        <v>234</v>
      </c>
      <c r="K108" t="s">
        <v>9</v>
      </c>
      <c r="L108" t="s">
        <v>206</v>
      </c>
      <c r="M108" s="19" t="s">
        <v>987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</row>
    <row r="109" spans="1:156" s="11" customFormat="1" x14ac:dyDescent="0.3">
      <c r="A109"/>
      <c r="B109" s="19" t="s">
        <v>990</v>
      </c>
      <c r="C109" t="s">
        <v>193</v>
      </c>
      <c r="D109" t="s">
        <v>207</v>
      </c>
      <c r="E109" s="25">
        <v>14</v>
      </c>
      <c r="F109" s="19" t="s">
        <v>9</v>
      </c>
      <c r="G109" s="19"/>
      <c r="H109"/>
      <c r="I109"/>
      <c r="J109" t="s">
        <v>234</v>
      </c>
      <c r="K109" t="s">
        <v>9</v>
      </c>
      <c r="L109" t="s">
        <v>207</v>
      </c>
      <c r="M109" s="19" t="s">
        <v>987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</row>
    <row r="110" spans="1:156" s="11" customFormat="1" x14ac:dyDescent="0.3">
      <c r="A110"/>
      <c r="B110" s="19" t="s">
        <v>990</v>
      </c>
      <c r="C110" t="s">
        <v>193</v>
      </c>
      <c r="D110" t="s">
        <v>208</v>
      </c>
      <c r="E110" s="25">
        <v>15</v>
      </c>
      <c r="F110" s="19" t="s">
        <v>9</v>
      </c>
      <c r="G110" s="19"/>
      <c r="H110"/>
      <c r="I110"/>
      <c r="J110" t="s">
        <v>234</v>
      </c>
      <c r="K110" t="s">
        <v>9</v>
      </c>
      <c r="L110" t="s">
        <v>208</v>
      </c>
      <c r="M110" s="19" t="s">
        <v>987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</row>
    <row r="111" spans="1:156" s="11" customFormat="1" x14ac:dyDescent="0.3">
      <c r="A111"/>
      <c r="B111" s="19" t="s">
        <v>990</v>
      </c>
      <c r="C111" t="s">
        <v>193</v>
      </c>
      <c r="D111" t="s">
        <v>209</v>
      </c>
      <c r="E111" s="25">
        <v>16</v>
      </c>
      <c r="F111" s="19" t="s">
        <v>9</v>
      </c>
      <c r="G111" s="19"/>
      <c r="H111"/>
      <c r="I111"/>
      <c r="J111" t="s">
        <v>234</v>
      </c>
      <c r="K111" t="s">
        <v>9</v>
      </c>
      <c r="L111" t="s">
        <v>209</v>
      </c>
      <c r="M111" s="19" t="s">
        <v>987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</row>
    <row r="112" spans="1:156" s="11" customFormat="1" x14ac:dyDescent="0.3">
      <c r="A112"/>
      <c r="B112" s="19" t="s">
        <v>990</v>
      </c>
      <c r="C112" t="s">
        <v>193</v>
      </c>
      <c r="D112" t="s">
        <v>210</v>
      </c>
      <c r="E112" s="25">
        <v>17</v>
      </c>
      <c r="F112" s="19" t="s">
        <v>9</v>
      </c>
      <c r="G112" s="19"/>
      <c r="H112"/>
      <c r="I112"/>
      <c r="J112" t="s">
        <v>234</v>
      </c>
      <c r="K112" t="s">
        <v>9</v>
      </c>
      <c r="L112" t="s">
        <v>210</v>
      </c>
      <c r="M112" s="19" t="s">
        <v>987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</row>
    <row r="113" spans="1:156" s="11" customFormat="1" x14ac:dyDescent="0.3">
      <c r="A113"/>
      <c r="B113" s="19" t="s">
        <v>990</v>
      </c>
      <c r="C113" t="s">
        <v>193</v>
      </c>
      <c r="D113" t="s">
        <v>211</v>
      </c>
      <c r="E113" s="25">
        <v>18</v>
      </c>
      <c r="F113" s="19" t="s">
        <v>9</v>
      </c>
      <c r="G113" s="19"/>
      <c r="H113"/>
      <c r="I113"/>
      <c r="J113" t="s">
        <v>234</v>
      </c>
      <c r="K113" t="s">
        <v>9</v>
      </c>
      <c r="L113" t="s">
        <v>211</v>
      </c>
      <c r="M113" s="19" t="s">
        <v>987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</row>
    <row r="114" spans="1:156" s="11" customFormat="1" x14ac:dyDescent="0.3">
      <c r="A114"/>
      <c r="B114" s="19" t="s">
        <v>990</v>
      </c>
      <c r="C114" t="s">
        <v>193</v>
      </c>
      <c r="D114" t="s">
        <v>212</v>
      </c>
      <c r="E114" s="25">
        <v>19</v>
      </c>
      <c r="F114" s="19" t="s">
        <v>9</v>
      </c>
      <c r="G114" s="19"/>
      <c r="H114"/>
      <c r="I114"/>
      <c r="J114" t="s">
        <v>234</v>
      </c>
      <c r="K114" t="s">
        <v>9</v>
      </c>
      <c r="L114" t="s">
        <v>212</v>
      </c>
      <c r="M114" s="19" t="s">
        <v>987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</row>
    <row r="115" spans="1:156" s="11" customFormat="1" x14ac:dyDescent="0.3">
      <c r="A115"/>
      <c r="B115" s="19" t="s">
        <v>990</v>
      </c>
      <c r="C115" t="s">
        <v>193</v>
      </c>
      <c r="D115" t="s">
        <v>213</v>
      </c>
      <c r="E115" s="25">
        <v>20</v>
      </c>
      <c r="F115" s="19" t="s">
        <v>9</v>
      </c>
      <c r="G115" s="19"/>
      <c r="H115"/>
      <c r="I115"/>
      <c r="J115" t="s">
        <v>234</v>
      </c>
      <c r="K115" t="s">
        <v>9</v>
      </c>
      <c r="L115" t="s">
        <v>213</v>
      </c>
      <c r="M115" s="19" t="s">
        <v>987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</row>
    <row r="116" spans="1:156" s="11" customFormat="1" x14ac:dyDescent="0.3">
      <c r="A116"/>
      <c r="B116" s="19" t="s">
        <v>990</v>
      </c>
      <c r="C116" t="s">
        <v>193</v>
      </c>
      <c r="D116" t="s">
        <v>214</v>
      </c>
      <c r="E116" s="25">
        <v>21</v>
      </c>
      <c r="F116" s="19" t="s">
        <v>9</v>
      </c>
      <c r="G116" s="19"/>
      <c r="H116"/>
      <c r="I116"/>
      <c r="J116" t="s">
        <v>234</v>
      </c>
      <c r="K116" t="s">
        <v>9</v>
      </c>
      <c r="L116" t="s">
        <v>214</v>
      </c>
      <c r="M116" s="19" t="s">
        <v>987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</row>
    <row r="117" spans="1:156" s="11" customFormat="1" x14ac:dyDescent="0.3">
      <c r="A117"/>
      <c r="B117" s="19" t="s">
        <v>990</v>
      </c>
      <c r="C117" t="s">
        <v>193</v>
      </c>
      <c r="D117" t="s">
        <v>215</v>
      </c>
      <c r="E117" s="25">
        <v>22</v>
      </c>
      <c r="F117" s="19" t="s">
        <v>9</v>
      </c>
      <c r="G117" s="19"/>
      <c r="H117"/>
      <c r="I117"/>
      <c r="J117" t="s">
        <v>234</v>
      </c>
      <c r="K117" t="s">
        <v>9</v>
      </c>
      <c r="L117" t="s">
        <v>215</v>
      </c>
      <c r="M117" s="19" t="s">
        <v>987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</row>
    <row r="118" spans="1:156" s="11" customFormat="1" x14ac:dyDescent="0.3">
      <c r="A118"/>
      <c r="B118" s="19" t="s">
        <v>990</v>
      </c>
      <c r="C118" t="s">
        <v>193</v>
      </c>
      <c r="D118" t="s">
        <v>216</v>
      </c>
      <c r="E118" s="25">
        <v>23</v>
      </c>
      <c r="F118" s="19" t="s">
        <v>9</v>
      </c>
      <c r="G118" s="19"/>
      <c r="H118"/>
      <c r="I118"/>
      <c r="J118" t="s">
        <v>234</v>
      </c>
      <c r="K118" t="s">
        <v>9</v>
      </c>
      <c r="L118" t="s">
        <v>216</v>
      </c>
      <c r="M118" s="19" t="s">
        <v>987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</row>
    <row r="119" spans="1:156" s="11" customFormat="1" x14ac:dyDescent="0.3">
      <c r="A119"/>
      <c r="B119" s="19" t="s">
        <v>990</v>
      </c>
      <c r="C119" t="s">
        <v>193</v>
      </c>
      <c r="D119" t="s">
        <v>217</v>
      </c>
      <c r="E119" s="25">
        <v>24</v>
      </c>
      <c r="F119" s="19" t="s">
        <v>9</v>
      </c>
      <c r="G119" s="19"/>
      <c r="H119"/>
      <c r="I119"/>
      <c r="J119" t="s">
        <v>234</v>
      </c>
      <c r="K119" t="s">
        <v>9</v>
      </c>
      <c r="L119" t="s">
        <v>217</v>
      </c>
      <c r="M119" s="19" t="s">
        <v>987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</row>
    <row r="120" spans="1:156" s="11" customFormat="1" x14ac:dyDescent="0.3">
      <c r="A120"/>
      <c r="B120" s="19" t="s">
        <v>990</v>
      </c>
      <c r="C120" t="s">
        <v>193</v>
      </c>
      <c r="D120" t="s">
        <v>218</v>
      </c>
      <c r="E120" s="25">
        <v>25</v>
      </c>
      <c r="F120" s="19" t="s">
        <v>9</v>
      </c>
      <c r="G120" s="19"/>
      <c r="H120"/>
      <c r="I120"/>
      <c r="J120" t="s">
        <v>234</v>
      </c>
      <c r="K120" t="s">
        <v>9</v>
      </c>
      <c r="L120" t="s">
        <v>218</v>
      </c>
      <c r="M120" s="19" t="s">
        <v>987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</row>
    <row r="121" spans="1:156" s="11" customFormat="1" x14ac:dyDescent="0.3">
      <c r="A121"/>
      <c r="B121" s="19" t="s">
        <v>990</v>
      </c>
      <c r="C121" t="s">
        <v>193</v>
      </c>
      <c r="D121" t="s">
        <v>219</v>
      </c>
      <c r="E121" s="25">
        <v>26</v>
      </c>
      <c r="F121" s="19" t="s">
        <v>9</v>
      </c>
      <c r="G121" s="19"/>
      <c r="H121"/>
      <c r="I121"/>
      <c r="J121" t="s">
        <v>234</v>
      </c>
      <c r="K121" t="s">
        <v>9</v>
      </c>
      <c r="L121" t="s">
        <v>219</v>
      </c>
      <c r="M121" s="19" t="s">
        <v>987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</row>
    <row r="122" spans="1:156" s="11" customFormat="1" x14ac:dyDescent="0.3">
      <c r="A122"/>
      <c r="B122" s="19" t="s">
        <v>990</v>
      </c>
      <c r="C122" t="s">
        <v>193</v>
      </c>
      <c r="D122" t="s">
        <v>220</v>
      </c>
      <c r="E122" s="25">
        <v>27</v>
      </c>
      <c r="F122" s="19" t="s">
        <v>9</v>
      </c>
      <c r="G122" s="19"/>
      <c r="H122"/>
      <c r="I122"/>
      <c r="J122" t="s">
        <v>234</v>
      </c>
      <c r="K122" t="s">
        <v>9</v>
      </c>
      <c r="L122" t="s">
        <v>220</v>
      </c>
      <c r="M122" s="19" t="s">
        <v>987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</row>
    <row r="123" spans="1:156" s="11" customFormat="1" x14ac:dyDescent="0.3">
      <c r="A123"/>
      <c r="B123" s="19" t="s">
        <v>990</v>
      </c>
      <c r="C123" t="s">
        <v>193</v>
      </c>
      <c r="D123" t="s">
        <v>221</v>
      </c>
      <c r="E123" s="25">
        <v>28</v>
      </c>
      <c r="F123" s="19" t="s">
        <v>9</v>
      </c>
      <c r="G123" s="19"/>
      <c r="H123"/>
      <c r="I123"/>
      <c r="J123" t="s">
        <v>234</v>
      </c>
      <c r="K123" t="s">
        <v>9</v>
      </c>
      <c r="L123" t="s">
        <v>221</v>
      </c>
      <c r="M123" s="19" t="s">
        <v>987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</row>
    <row r="124" spans="1:156" s="11" customFormat="1" x14ac:dyDescent="0.3">
      <c r="A124"/>
      <c r="B124" s="19" t="s">
        <v>990</v>
      </c>
      <c r="C124" t="s">
        <v>193</v>
      </c>
      <c r="D124" t="s">
        <v>222</v>
      </c>
      <c r="E124" s="25">
        <v>29</v>
      </c>
      <c r="F124" s="19" t="s">
        <v>9</v>
      </c>
      <c r="G124" s="19"/>
      <c r="H124"/>
      <c r="I124"/>
      <c r="J124" t="s">
        <v>234</v>
      </c>
      <c r="K124" t="s">
        <v>9</v>
      </c>
      <c r="L124" t="s">
        <v>222</v>
      </c>
      <c r="M124" s="19" t="s">
        <v>987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</row>
    <row r="125" spans="1:156" s="11" customFormat="1" x14ac:dyDescent="0.3">
      <c r="A125"/>
      <c r="B125" s="19" t="s">
        <v>990</v>
      </c>
      <c r="C125" t="s">
        <v>193</v>
      </c>
      <c r="D125" t="s">
        <v>223</v>
      </c>
      <c r="E125" s="25">
        <v>30</v>
      </c>
      <c r="F125" s="19" t="s">
        <v>9</v>
      </c>
      <c r="G125" s="19"/>
      <c r="H125"/>
      <c r="I125"/>
      <c r="J125" t="s">
        <v>234</v>
      </c>
      <c r="K125" t="s">
        <v>9</v>
      </c>
      <c r="L125" t="s">
        <v>223</v>
      </c>
      <c r="M125" s="19" t="s">
        <v>987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</row>
    <row r="126" spans="1:156" s="11" customFormat="1" x14ac:dyDescent="0.3">
      <c r="A126"/>
      <c r="B126" s="19" t="s">
        <v>990</v>
      </c>
      <c r="C126" t="s">
        <v>193</v>
      </c>
      <c r="D126" t="s">
        <v>224</v>
      </c>
      <c r="E126" s="25">
        <v>31</v>
      </c>
      <c r="F126" s="19" t="s">
        <v>9</v>
      </c>
      <c r="G126" s="19"/>
      <c r="H126"/>
      <c r="I126"/>
      <c r="J126" t="s">
        <v>234</v>
      </c>
      <c r="K126" t="s">
        <v>9</v>
      </c>
      <c r="L126" t="s">
        <v>224</v>
      </c>
      <c r="M126" s="19" t="s">
        <v>987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</row>
    <row r="127" spans="1:156" s="11" customFormat="1" x14ac:dyDescent="0.3">
      <c r="A127"/>
      <c r="B127" s="19" t="s">
        <v>990</v>
      </c>
      <c r="C127" t="s">
        <v>193</v>
      </c>
      <c r="D127" t="s">
        <v>225</v>
      </c>
      <c r="E127" s="25">
        <v>32</v>
      </c>
      <c r="F127" s="19" t="s">
        <v>9</v>
      </c>
      <c r="G127" s="19"/>
      <c r="H127"/>
      <c r="I127"/>
      <c r="J127" t="s">
        <v>234</v>
      </c>
      <c r="K127" t="s">
        <v>9</v>
      </c>
      <c r="L127" t="s">
        <v>225</v>
      </c>
      <c r="M127" s="19" t="s">
        <v>987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</row>
    <row r="128" spans="1:156" s="11" customFormat="1" x14ac:dyDescent="0.3">
      <c r="A128"/>
      <c r="B128" s="19" t="s">
        <v>990</v>
      </c>
      <c r="C128" t="s">
        <v>193</v>
      </c>
      <c r="D128" t="s">
        <v>226</v>
      </c>
      <c r="E128" s="25">
        <v>33</v>
      </c>
      <c r="F128" s="19" t="s">
        <v>9</v>
      </c>
      <c r="G128" s="19"/>
      <c r="H128"/>
      <c r="I128"/>
      <c r="J128" t="s">
        <v>234</v>
      </c>
      <c r="K128" t="s">
        <v>9</v>
      </c>
      <c r="L128" t="s">
        <v>226</v>
      </c>
      <c r="M128" s="19" t="s">
        <v>987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</row>
    <row r="129" spans="1:156" s="11" customFormat="1" x14ac:dyDescent="0.3">
      <c r="A129"/>
      <c r="B129" s="19" t="s">
        <v>990</v>
      </c>
      <c r="C129" t="s">
        <v>193</v>
      </c>
      <c r="D129" t="s">
        <v>227</v>
      </c>
      <c r="E129" s="25">
        <v>34</v>
      </c>
      <c r="F129" s="19" t="s">
        <v>9</v>
      </c>
      <c r="G129" s="19"/>
      <c r="H129"/>
      <c r="I129"/>
      <c r="J129" t="s">
        <v>234</v>
      </c>
      <c r="K129" t="s">
        <v>9</v>
      </c>
      <c r="L129" t="s">
        <v>227</v>
      </c>
      <c r="M129" s="19" t="s">
        <v>987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</row>
    <row r="130" spans="1:156" s="11" customFormat="1" x14ac:dyDescent="0.3">
      <c r="A130"/>
      <c r="B130" s="19" t="s">
        <v>990</v>
      </c>
      <c r="C130" t="s">
        <v>193</v>
      </c>
      <c r="D130" t="s">
        <v>228</v>
      </c>
      <c r="E130" s="25">
        <v>35</v>
      </c>
      <c r="F130" s="19" t="s">
        <v>9</v>
      </c>
      <c r="G130" s="19"/>
      <c r="H130"/>
      <c r="I130"/>
      <c r="J130" t="s">
        <v>234</v>
      </c>
      <c r="K130" t="s">
        <v>9</v>
      </c>
      <c r="L130" t="s">
        <v>228</v>
      </c>
      <c r="M130" s="19" t="s">
        <v>987</v>
      </c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</row>
    <row r="131" spans="1:156" s="11" customFormat="1" x14ac:dyDescent="0.3">
      <c r="A131"/>
      <c r="B131" s="19" t="s">
        <v>990</v>
      </c>
      <c r="C131" t="s">
        <v>193</v>
      </c>
      <c r="D131" t="s">
        <v>229</v>
      </c>
      <c r="E131" s="25">
        <v>36</v>
      </c>
      <c r="F131" s="19" t="s">
        <v>9</v>
      </c>
      <c r="G131" s="19"/>
      <c r="H131"/>
      <c r="I131"/>
      <c r="J131" t="s">
        <v>234</v>
      </c>
      <c r="K131" t="s">
        <v>9</v>
      </c>
      <c r="L131" t="s">
        <v>229</v>
      </c>
      <c r="M131" s="19" t="s">
        <v>987</v>
      </c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</row>
    <row r="132" spans="1:156" s="11" customFormat="1" x14ac:dyDescent="0.3">
      <c r="A132"/>
      <c r="B132" s="19" t="s">
        <v>990</v>
      </c>
      <c r="C132" t="s">
        <v>193</v>
      </c>
      <c r="D132" t="s">
        <v>230</v>
      </c>
      <c r="E132" s="25">
        <v>37</v>
      </c>
      <c r="F132" s="19" t="s">
        <v>9</v>
      </c>
      <c r="G132" s="19"/>
      <c r="H132"/>
      <c r="I132"/>
      <c r="J132" t="s">
        <v>234</v>
      </c>
      <c r="K132" t="s">
        <v>9</v>
      </c>
      <c r="L132" t="s">
        <v>230</v>
      </c>
      <c r="M132" s="19" t="s">
        <v>987</v>
      </c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</row>
    <row r="133" spans="1:156" s="11" customFormat="1" x14ac:dyDescent="0.3">
      <c r="A133"/>
      <c r="B133" s="19" t="s">
        <v>990</v>
      </c>
      <c r="C133" t="s">
        <v>193</v>
      </c>
      <c r="D133" t="s">
        <v>231</v>
      </c>
      <c r="E133" s="25">
        <v>38</v>
      </c>
      <c r="F133" s="19" t="s">
        <v>9</v>
      </c>
      <c r="G133" s="19"/>
      <c r="H133"/>
      <c r="I133"/>
      <c r="J133" t="s">
        <v>234</v>
      </c>
      <c r="K133" t="s">
        <v>9</v>
      </c>
      <c r="L133" t="s">
        <v>231</v>
      </c>
      <c r="M133" s="19" t="s">
        <v>987</v>
      </c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</row>
    <row r="134" spans="1:156" s="11" customFormat="1" x14ac:dyDescent="0.3">
      <c r="A134"/>
      <c r="B134" s="19" t="s">
        <v>990</v>
      </c>
      <c r="C134" t="s">
        <v>193</v>
      </c>
      <c r="D134" t="s">
        <v>232</v>
      </c>
      <c r="E134" s="25">
        <v>39</v>
      </c>
      <c r="F134" s="19" t="s">
        <v>9</v>
      </c>
      <c r="G134" s="19"/>
      <c r="H134"/>
      <c r="I134"/>
      <c r="J134" t="s">
        <v>234</v>
      </c>
      <c r="K134" t="s">
        <v>9</v>
      </c>
      <c r="L134" t="s">
        <v>232</v>
      </c>
      <c r="M134" s="19" t="s">
        <v>987</v>
      </c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</row>
    <row r="135" spans="1:156" s="11" customFormat="1" x14ac:dyDescent="0.3">
      <c r="A135"/>
      <c r="B135" s="19" t="s">
        <v>990</v>
      </c>
      <c r="C135" t="s">
        <v>193</v>
      </c>
      <c r="D135" t="s">
        <v>233</v>
      </c>
      <c r="E135" s="25">
        <v>40</v>
      </c>
      <c r="F135" s="19" t="s">
        <v>9</v>
      </c>
      <c r="G135" s="19"/>
      <c r="H135"/>
      <c r="I135"/>
      <c r="J135" t="s">
        <v>234</v>
      </c>
      <c r="K135" t="s">
        <v>9</v>
      </c>
      <c r="L135" t="s">
        <v>233</v>
      </c>
      <c r="M135" s="19" t="s">
        <v>987</v>
      </c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</row>
    <row r="136" spans="1:156" x14ac:dyDescent="0.3">
      <c r="E136" s="6"/>
    </row>
    <row r="137" spans="1:156" x14ac:dyDescent="0.3">
      <c r="E137" s="6"/>
    </row>
    <row r="138" spans="1:156" x14ac:dyDescent="0.3">
      <c r="E138" s="6"/>
    </row>
    <row r="139" spans="1:156" x14ac:dyDescent="0.3">
      <c r="E139" s="6"/>
    </row>
    <row r="140" spans="1:156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125" s="9" customFormat="1" ht="21" x14ac:dyDescent="0.4">
      <c r="A1" s="27" t="s">
        <v>0</v>
      </c>
      <c r="B1" s="27" t="s">
        <v>1</v>
      </c>
      <c r="C1" s="27" t="s">
        <v>11</v>
      </c>
      <c r="D1" s="27" t="s">
        <v>13</v>
      </c>
      <c r="E1" s="27" t="s">
        <v>143</v>
      </c>
    </row>
    <row r="2" spans="1:125" s="14" customFormat="1" x14ac:dyDescent="0.3">
      <c r="A2" t="s">
        <v>16</v>
      </c>
      <c r="B2" t="s">
        <v>17</v>
      </c>
      <c r="C2" t="s">
        <v>35</v>
      </c>
      <c r="D2" s="28">
        <f>inputs!E3/(1 - inputs!E4/1000)</f>
        <v>647799.41772914364</v>
      </c>
      <c r="E2" t="str">
        <f ca="1">_xlfn.FORMULATEXT(D2)</f>
        <v>=inputs!E3/(1 - inputs!E4/1000)</v>
      </c>
      <c r="F2" s="2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3">
      <c r="A3" t="s">
        <v>16</v>
      </c>
      <c r="B3" t="s">
        <v>17</v>
      </c>
      <c r="C3" t="s">
        <v>36</v>
      </c>
      <c r="D3" s="2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05" customHeight="1" x14ac:dyDescent="0.3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05" customHeight="1" x14ac:dyDescent="0.3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05" customHeight="1" x14ac:dyDescent="0.3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05" customHeight="1" x14ac:dyDescent="0.3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05" customHeight="1" x14ac:dyDescent="0.3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05" customHeight="1" x14ac:dyDescent="0.3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05" customHeight="1" x14ac:dyDescent="0.3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05" customHeight="1" x14ac:dyDescent="0.3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05" customHeight="1" x14ac:dyDescent="0.3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05" customHeight="1" x14ac:dyDescent="0.3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05" customHeight="1" x14ac:dyDescent="0.3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05" customHeight="1" x14ac:dyDescent="0.3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05" customHeight="1" x14ac:dyDescent="0.3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05" customHeight="1" x14ac:dyDescent="0.3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05" customHeight="1" x14ac:dyDescent="0.3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05" customHeight="1" x14ac:dyDescent="0.3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05" customHeight="1" x14ac:dyDescent="0.3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05" customHeight="1" x14ac:dyDescent="0.3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05" customHeight="1" x14ac:dyDescent="0.3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05" customHeight="1" x14ac:dyDescent="0.3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05" customHeight="1" x14ac:dyDescent="0.3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05" customHeight="1" x14ac:dyDescent="0.3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05" customHeight="1" x14ac:dyDescent="0.3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05" customHeight="1" x14ac:dyDescent="0.3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05" customHeight="1" x14ac:dyDescent="0.3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05" customHeight="1" x14ac:dyDescent="0.3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05" customHeight="1" x14ac:dyDescent="0.3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05" customHeight="1" x14ac:dyDescent="0.3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05" customHeight="1" x14ac:dyDescent="0.3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05" customHeight="1" x14ac:dyDescent="0.3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05" customHeight="1" x14ac:dyDescent="0.3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05" customHeight="1" x14ac:dyDescent="0.3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05" customHeight="1" x14ac:dyDescent="0.3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05" customHeight="1" x14ac:dyDescent="0.3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05" customHeight="1" x14ac:dyDescent="0.3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05" customHeight="1" x14ac:dyDescent="0.3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05" customHeight="1" x14ac:dyDescent="0.3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05" customHeight="1" x14ac:dyDescent="0.3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05" customHeight="1" x14ac:dyDescent="0.3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05" customHeight="1" x14ac:dyDescent="0.3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05" customHeight="1" x14ac:dyDescent="0.3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05" customHeight="1" x14ac:dyDescent="0.3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05" customHeight="1" x14ac:dyDescent="0.3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05" customHeight="1" x14ac:dyDescent="0.3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05" customHeight="1" x14ac:dyDescent="0.3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05" customHeight="1" x14ac:dyDescent="0.3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05" customHeight="1" x14ac:dyDescent="0.3">
      <c r="A50" t="s">
        <v>16</v>
      </c>
      <c r="B50" t="s">
        <v>107</v>
      </c>
      <c r="C50" t="s">
        <v>150</v>
      </c>
      <c r="D50" s="3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3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3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3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3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3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3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3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3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3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3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3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3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3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3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3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3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3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3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3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3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3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3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3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3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3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3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3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3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3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3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3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3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3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3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3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3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3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3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3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3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3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3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3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3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3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3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3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3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3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3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3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3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3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3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3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3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3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3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3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3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3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3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3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3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3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3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3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3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3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3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3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3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3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3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3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3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3">
      <c r="A127" t="s">
        <v>16</v>
      </c>
      <c r="B127" t="s">
        <v>191</v>
      </c>
      <c r="C127" t="s">
        <v>826</v>
      </c>
      <c r="D127" s="18">
        <f>(($D$16+$D$28)*inputs!$E$28)/(inputs!$E$31^2)</f>
        <v>13471014.904126221</v>
      </c>
      <c r="E127" s="17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3">
      <c r="A128" t="s">
        <v>16</v>
      </c>
      <c r="B128" t="s">
        <v>191</v>
      </c>
      <c r="C128" t="s">
        <v>827</v>
      </c>
      <c r="D128" s="18">
        <f>(($D$17+$D$29)*inputs!$E$28)/(inputs!$E$31^3)</f>
        <v>13069500.188051781</v>
      </c>
      <c r="E128" s="17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3">
      <c r="A129" t="s">
        <v>16</v>
      </c>
      <c r="B129" t="s">
        <v>191</v>
      </c>
      <c r="C129" t="s">
        <v>828</v>
      </c>
      <c r="D129" s="18">
        <f>(($D$18+$D$30)*inputs!$E$28)/(inputs!$E$31^4)</f>
        <v>12679952.949437035</v>
      </c>
      <c r="E129" s="17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3">
      <c r="A130" t="s">
        <v>16</v>
      </c>
      <c r="B130" t="s">
        <v>191</v>
      </c>
      <c r="C130" t="s">
        <v>829</v>
      </c>
      <c r="D130" s="18">
        <f>(($D$19+$D$31)*inputs!$E$28)/(inputs!$E$31^5)</f>
        <v>12302016.487740226</v>
      </c>
      <c r="E130" s="17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3">
      <c r="A131" t="s">
        <v>16</v>
      </c>
      <c r="B131" t="s">
        <v>191</v>
      </c>
      <c r="C131" t="s">
        <v>830</v>
      </c>
      <c r="D131" s="18">
        <f>(($D$20+$D$32)*inputs!$E$28)/(inputs!$E$31^6)</f>
        <v>11935344.734173598</v>
      </c>
      <c r="E131" s="17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3">
      <c r="A132" t="s">
        <v>16</v>
      </c>
      <c r="B132" t="s">
        <v>191</v>
      </c>
      <c r="C132" t="s">
        <v>831</v>
      </c>
      <c r="D132" s="18">
        <f>(($D$21+$D$33)*inputs!$E$28)/(inputs!$E$31^7)</f>
        <v>11579601.934815221</v>
      </c>
      <c r="E132" s="17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3">
      <c r="A133" t="s">
        <v>16</v>
      </c>
      <c r="B133" t="s">
        <v>191</v>
      </c>
      <c r="C133" t="s">
        <v>832</v>
      </c>
      <c r="D133" s="18">
        <f>(($D$22+$D$34)*inputs!$E$28)/(inputs!$E$31^8)</f>
        <v>11234462.343165873</v>
      </c>
      <c r="E133" s="17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3">
      <c r="A134" t="s">
        <v>16</v>
      </c>
      <c r="B134" t="s">
        <v>191</v>
      </c>
      <c r="C134" t="s">
        <v>833</v>
      </c>
      <c r="D134" s="18">
        <f>(($D$23+$D$35)*inputs!$E$28)/(inputs!$E$31^9)</f>
        <v>10899609.921869569</v>
      </c>
      <c r="E134" s="17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3">
      <c r="A135" t="s">
        <v>16</v>
      </c>
      <c r="B135" t="s">
        <v>191</v>
      </c>
      <c r="C135" t="s">
        <v>834</v>
      </c>
      <c r="D135" s="18">
        <f>(($D$24+$D$36)*inputs!$E$28)/(inputs!$E$31^10)</f>
        <v>10574738.053324526</v>
      </c>
      <c r="E135" s="17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3">
      <c r="A136" t="s">
        <v>16</v>
      </c>
      <c r="B136" t="s">
        <v>191</v>
      </c>
      <c r="C136" t="s">
        <v>835</v>
      </c>
      <c r="D136" s="18">
        <f>(($D$25+$D$37)*inputs!$E$28)/(inputs!$E$31^11)</f>
        <v>10259549.258919608</v>
      </c>
      <c r="E136" s="17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3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3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3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3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3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3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3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3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3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3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3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3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3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3">
      <c r="A150" t="s">
        <v>32</v>
      </c>
      <c r="B150" t="s">
        <v>289</v>
      </c>
      <c r="C150" t="s">
        <v>279</v>
      </c>
      <c r="D150" s="2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3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3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3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3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3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3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3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3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3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3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3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3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3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3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3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3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3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3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3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3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3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3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3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3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3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3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3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3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3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3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3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3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3">
      <c r="A183" t="s">
        <v>32</v>
      </c>
      <c r="B183" t="s">
        <v>290</v>
      </c>
      <c r="C183" t="s">
        <v>314</v>
      </c>
      <c r="D183" s="18">
        <f>D182-D182*inputs!$E$36</f>
        <v>27057.163128686396</v>
      </c>
      <c r="E183" s="17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3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3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3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3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3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3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3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3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3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3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3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3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3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3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3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3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3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3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3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3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3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3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3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3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3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3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3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3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3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3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3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3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3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3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3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3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3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3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3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3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3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3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3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3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3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3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3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3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3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3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3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3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3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3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3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3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3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3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3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3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3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3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3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3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3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3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3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3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3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3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3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3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3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3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3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3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3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3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3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3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3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3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3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3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3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3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3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3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3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3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3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3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3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3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3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3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3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3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3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3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3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3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3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3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3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3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3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3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3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3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3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3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3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3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3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3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3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3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3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3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3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3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3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3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3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3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3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3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3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3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3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3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3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3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3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3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3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3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3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3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3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3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3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3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3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3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3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3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3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3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3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3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3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3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3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3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3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3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3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3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3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3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3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3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3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3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3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3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3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3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3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3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3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3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3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3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3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3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3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3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3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3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3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3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3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3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3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3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3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3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3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3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3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3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3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3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3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3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3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3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3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3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3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3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3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3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3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3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3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3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3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3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3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3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3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3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3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3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3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3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3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3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3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3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3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3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3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3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3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3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3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3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3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3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3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3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3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3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3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3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3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3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3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3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3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3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3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3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3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3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3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3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3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3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3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3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3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3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3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3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3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3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3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3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3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3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3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3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3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3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3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3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3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3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3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3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3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3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3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3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3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3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3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3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3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3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3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3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3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3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3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3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3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3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3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3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3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3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3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3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3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3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3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3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3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3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3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3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3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3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3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3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3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3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3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3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3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3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3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3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3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3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3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3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3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3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3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3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3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3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3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3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3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3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3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3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3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3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3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3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3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3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3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3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3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3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3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3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3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3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3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3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3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3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3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3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3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3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3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3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3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3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3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3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3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3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3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3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3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3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3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3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3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3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3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3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3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3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3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3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3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3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3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3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3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3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3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3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3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3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3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3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3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3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3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3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3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3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3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3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3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3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3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3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3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3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3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3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3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3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3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3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3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3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3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3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3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3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3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3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3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3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3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3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3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3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3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3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3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3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3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3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3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3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3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3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3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3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3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0"/>
    </row>
    <row r="14" spans="2:5" hidden="1" x14ac:dyDescent="0.3">
      <c r="B14" t="s">
        <v>770</v>
      </c>
      <c r="C14" t="s">
        <v>759</v>
      </c>
      <c r="D14" t="s">
        <v>777</v>
      </c>
      <c r="E14" s="10"/>
    </row>
    <row r="15" spans="2:5" hidden="1" x14ac:dyDescent="0.3">
      <c r="B15" t="s">
        <v>770</v>
      </c>
      <c r="C15" t="s">
        <v>759</v>
      </c>
      <c r="D15" t="s">
        <v>778</v>
      </c>
      <c r="E15" s="10"/>
    </row>
    <row r="16" spans="2:5" hidden="1" x14ac:dyDescent="0.3">
      <c r="B16" t="s">
        <v>770</v>
      </c>
      <c r="C16" t="s">
        <v>759</v>
      </c>
      <c r="D16" t="s">
        <v>779</v>
      </c>
      <c r="E16" s="10"/>
    </row>
    <row r="17" spans="2:7" hidden="1" x14ac:dyDescent="0.3">
      <c r="B17" t="s">
        <v>770</v>
      </c>
      <c r="C17" t="s">
        <v>759</v>
      </c>
      <c r="D17" t="s">
        <v>780</v>
      </c>
      <c r="E17" s="10"/>
    </row>
    <row r="18" spans="2:7" hidden="1" x14ac:dyDescent="0.3">
      <c r="B18" t="s">
        <v>770</v>
      </c>
      <c r="C18" t="s">
        <v>759</v>
      </c>
      <c r="D18" t="s">
        <v>781</v>
      </c>
      <c r="E18" s="10"/>
    </row>
    <row r="19" spans="2:7" hidden="1" x14ac:dyDescent="0.3">
      <c r="B19" t="s">
        <v>770</v>
      </c>
      <c r="C19" t="s">
        <v>759</v>
      </c>
      <c r="D19" t="s">
        <v>782</v>
      </c>
      <c r="E19" s="10"/>
    </row>
    <row r="20" spans="2:7" hidden="1" x14ac:dyDescent="0.3">
      <c r="B20" t="s">
        <v>770</v>
      </c>
      <c r="C20" t="s">
        <v>759</v>
      </c>
      <c r="D20" t="s">
        <v>783</v>
      </c>
      <c r="E20" s="10"/>
    </row>
    <row r="21" spans="2:7" hidden="1" x14ac:dyDescent="0.3">
      <c r="B21" t="s">
        <v>770</v>
      </c>
      <c r="C21" t="s">
        <v>759</v>
      </c>
      <c r="D21" t="s">
        <v>784</v>
      </c>
      <c r="E21" s="10"/>
    </row>
    <row r="22" spans="2:7" hidden="1" x14ac:dyDescent="0.3">
      <c r="B22" t="s">
        <v>770</v>
      </c>
      <c r="C22" t="s">
        <v>759</v>
      </c>
      <c r="D22" t="s">
        <v>785</v>
      </c>
      <c r="E22" s="10"/>
    </row>
    <row r="23" spans="2:7" hidden="1" x14ac:dyDescent="0.3">
      <c r="B23" t="s">
        <v>770</v>
      </c>
      <c r="C23" t="s">
        <v>759</v>
      </c>
      <c r="D23" t="s">
        <v>786</v>
      </c>
      <c r="E23" s="10"/>
    </row>
    <row r="24" spans="2:7" x14ac:dyDescent="0.3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0"/>
    </row>
    <row r="26" spans="2:7" hidden="1" x14ac:dyDescent="0.3">
      <c r="B26" t="s">
        <v>771</v>
      </c>
      <c r="C26" t="s">
        <v>759</v>
      </c>
      <c r="D26" t="s">
        <v>789</v>
      </c>
      <c r="E26" s="10"/>
    </row>
    <row r="27" spans="2:7" hidden="1" x14ac:dyDescent="0.3">
      <c r="B27" t="s">
        <v>771</v>
      </c>
      <c r="C27" t="s">
        <v>759</v>
      </c>
      <c r="D27" t="s">
        <v>790</v>
      </c>
      <c r="E27" s="10"/>
    </row>
    <row r="28" spans="2:7" hidden="1" x14ac:dyDescent="0.3">
      <c r="B28" t="s">
        <v>771</v>
      </c>
      <c r="C28" t="s">
        <v>759</v>
      </c>
      <c r="D28" t="s">
        <v>791</v>
      </c>
      <c r="E28" s="10"/>
    </row>
    <row r="29" spans="2:7" hidden="1" x14ac:dyDescent="0.3">
      <c r="B29" t="s">
        <v>771</v>
      </c>
      <c r="C29" t="s">
        <v>759</v>
      </c>
      <c r="D29" t="s">
        <v>792</v>
      </c>
      <c r="E29" s="10"/>
    </row>
    <row r="30" spans="2:7" hidden="1" x14ac:dyDescent="0.3">
      <c r="B30" t="s">
        <v>771</v>
      </c>
      <c r="C30" t="s">
        <v>759</v>
      </c>
      <c r="D30" t="s">
        <v>793</v>
      </c>
      <c r="E30" s="10"/>
    </row>
    <row r="31" spans="2:7" hidden="1" x14ac:dyDescent="0.3">
      <c r="B31" t="s">
        <v>771</v>
      </c>
      <c r="C31" t="s">
        <v>759</v>
      </c>
      <c r="D31" t="s">
        <v>794</v>
      </c>
      <c r="E31" s="10"/>
    </row>
    <row r="32" spans="2:7" hidden="1" x14ac:dyDescent="0.3">
      <c r="B32" t="s">
        <v>771</v>
      </c>
      <c r="C32" t="s">
        <v>759</v>
      </c>
      <c r="D32" t="s">
        <v>795</v>
      </c>
      <c r="E32" s="10"/>
    </row>
    <row r="33" spans="2:7" hidden="1" x14ac:dyDescent="0.3">
      <c r="B33" t="s">
        <v>771</v>
      </c>
      <c r="C33" t="s">
        <v>759</v>
      </c>
      <c r="D33" t="s">
        <v>796</v>
      </c>
      <c r="E33" s="10"/>
    </row>
    <row r="34" spans="2:7" hidden="1" x14ac:dyDescent="0.3">
      <c r="B34" t="s">
        <v>771</v>
      </c>
      <c r="C34" t="s">
        <v>759</v>
      </c>
      <c r="D34" t="s">
        <v>797</v>
      </c>
      <c r="E34" s="10"/>
    </row>
    <row r="35" spans="2:7" hidden="1" x14ac:dyDescent="0.3">
      <c r="B35" t="s">
        <v>771</v>
      </c>
      <c r="C35" t="s">
        <v>759</v>
      </c>
      <c r="D35" t="s">
        <v>798</v>
      </c>
      <c r="E35" s="10"/>
    </row>
    <row r="36" spans="2:7" x14ac:dyDescent="0.3">
      <c r="B36" t="s">
        <v>772</v>
      </c>
      <c r="C36" t="s">
        <v>759</v>
      </c>
      <c r="D36" t="s">
        <v>799</v>
      </c>
      <c r="E36" s="10">
        <f>SUM(computations!D645:D744)</f>
        <v>270652592.81171632</v>
      </c>
      <c r="G36" s="10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0"/>
    </row>
    <row r="38" spans="2:7" hidden="1" x14ac:dyDescent="0.3">
      <c r="B38" t="s">
        <v>772</v>
      </c>
      <c r="C38" t="s">
        <v>759</v>
      </c>
      <c r="D38" t="s">
        <v>800</v>
      </c>
      <c r="E38" s="10"/>
    </row>
    <row r="39" spans="2:7" hidden="1" x14ac:dyDescent="0.3">
      <c r="B39" t="s">
        <v>772</v>
      </c>
      <c r="C39" t="s">
        <v>759</v>
      </c>
      <c r="D39" t="s">
        <v>802</v>
      </c>
      <c r="E39" s="10"/>
    </row>
    <row r="40" spans="2:7" hidden="1" x14ac:dyDescent="0.3">
      <c r="B40" t="s">
        <v>772</v>
      </c>
      <c r="C40" t="s">
        <v>759</v>
      </c>
      <c r="D40" t="s">
        <v>803</v>
      </c>
      <c r="E40" s="10"/>
    </row>
    <row r="41" spans="2:7" x14ac:dyDescent="0.3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0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2026-03-06T14:24:00Z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